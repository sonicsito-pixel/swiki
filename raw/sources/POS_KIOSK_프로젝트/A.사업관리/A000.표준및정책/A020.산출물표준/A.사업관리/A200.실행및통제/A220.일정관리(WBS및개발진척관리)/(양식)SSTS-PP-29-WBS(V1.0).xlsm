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mc:AlternateContent xmlns:mc="http://schemas.openxmlformats.org/markup-compatibility/2006">
    <mc:Choice Requires="x15">
      <x15ac:absPath xmlns:x15ac="http://schemas.microsoft.com/office/spreadsheetml/2010/11/ac" url="D:\1000.SSTS\A.사업관리\A000.표준및정책\A020.산출물표준\A.사업관리\A200.실행및통제\A220.일정관리(WBS및개발진척관리)\"/>
    </mc:Choice>
  </mc:AlternateContent>
  <bookViews>
    <workbookView xWindow="0" yWindow="600" windowWidth="23040" windowHeight="10404" tabRatio="636" activeTab="2"/>
  </bookViews>
  <sheets>
    <sheet name="표지" sheetId="32" r:id="rId1"/>
    <sheet name="개정이력" sheetId="33" r:id="rId2"/>
    <sheet name="Schedule" sheetId="31" r:id="rId3"/>
    <sheet name="(참조)" sheetId="34" r:id="rId4"/>
    <sheet name="Progress" sheetId="3" r:id="rId5"/>
    <sheet name="AnalysisReport" sheetId="4" r:id="rId6"/>
    <sheet name="Calendar" sheetId="5" r:id="rId7"/>
    <sheet name="TranslatedLanguages" sheetId="7" state="hidden" r:id="rId8"/>
    <sheet name="Workload" sheetId="8" r:id="rId9"/>
    <sheet name="Help" sheetId="9" r:id="rId10"/>
    <sheet name="Settings" sheetId="6" state="veryHidden" r:id="rId11"/>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2">Schedule!$D$1:$CP$262</definedName>
    <definedName name="RATE_GAP">Progress!$B$24</definedName>
    <definedName name="RNG_ACTUAL_END_DATE_COL_NAME" localSheetId="2">Schedule!$X$3</definedName>
    <definedName name="RNG_ACTUAL_RATE_COL_NAME" localSheetId="2">Schedule!$AE$3</definedName>
    <definedName name="RNG_ACTUAL_START_DATE_COL_NAME" localSheetId="2">Schedule!$W$3</definedName>
    <definedName name="RNG_ACTUAL_TOTAL_DURATION_COL_NAME" localSheetId="2">Schedule!$Z$3</definedName>
    <definedName name="RNG_ACTUAL_TOTAL_WORKLOAD_COL_NAME" localSheetId="2">Schedule!$Y$3</definedName>
    <definedName name="RNG_CALENDAR_COL_NAME" localSheetId="2">Schedule!$R$3</definedName>
    <definedName name="RNG_DELIVERABLES_COL_NAME" localSheetId="2">Schedule!$AC$3</definedName>
    <definedName name="RNG_END_DATE_COL_NAME" localSheetId="2">Schedule!$Q$3</definedName>
    <definedName name="RNG_ETC_COL_NAME" localSheetId="2">Schedule!$O$3</definedName>
    <definedName name="RNG_GANTT_AREA_FIRST_COL_NAME" localSheetId="2">Schedule!$AF$4</definedName>
    <definedName name="RNG_PLAN_DURATION_COL_NAME" localSheetId="2">Schedule!$V$3</definedName>
    <definedName name="RNG_PLAN_RATE_COL_NAME" localSheetId="2">Schedule!$AD$3</definedName>
    <definedName name="RNG_PLAN_WORKLOAD_COL_NAME" localSheetId="2">Schedule!$T$3</definedName>
    <definedName name="RNG_RESOURCE_COL_NAME" localSheetId="2">Schedule!$AB$3</definedName>
    <definedName name="RNG_RESOURCE_WEIGHT_COL_NAME" localSheetId="2">Schedule!$AA$3</definedName>
    <definedName name="RNG_START_DATE_COL_NAME" localSheetId="2">Schedule!$P$3</definedName>
    <definedName name="RNG_TASK_FIRST_COL_NAME" localSheetId="2">Schedule!$E$3</definedName>
    <definedName name="RNG_TOTAL_DURATION_COL_NAME" localSheetId="2">Schedule!$U$3</definedName>
    <definedName name="RNG_TOTAL_WORKLOAD_COL_NAME" localSheetId="2">Schedule!$S$3</definedName>
    <definedName name="RNG_WBS_AREA_LAST_COL_NAME" localSheetId="2">Schedule!$AE$3</definedName>
    <definedName name="RNG_WBS_COL_NAME" localSheetId="2">Schedule!$D$3</definedName>
    <definedName name="RNG_WBS_LEVEL_COL_NAME" localSheetId="2">Schedule!$C$3</definedName>
    <definedName name="STD_CAL">Calendar!$B$5:$B$304</definedName>
    <definedName name="TOTAL_WORKLOAD">Progress!$B$6</definedName>
    <definedName name="UD_CAL1">Calendar!$E$5:$E$304</definedName>
    <definedName name="UD_CAL2">Calendar!$H$5:$H$304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M5" i="31" l="1"/>
  <c r="CE5" i="31"/>
  <c r="AF6" i="31"/>
  <c r="AF7" i="31"/>
  <c r="AF8" i="31"/>
  <c r="AF9" i="31"/>
  <c r="AF10" i="31"/>
  <c r="AF11" i="31"/>
  <c r="AF12" i="31"/>
  <c r="AF13" i="31"/>
  <c r="AF14" i="31"/>
  <c r="AF15" i="31"/>
  <c r="AF16" i="31"/>
  <c r="AH17" i="31"/>
  <c r="CD17" i="31"/>
  <c r="BF18" i="31"/>
  <c r="CD18" i="31"/>
  <c r="AH19" i="31"/>
  <c r="BA20" i="31"/>
  <c r="CD21" i="31"/>
  <c r="AH22" i="31"/>
  <c r="CD22" i="31"/>
  <c r="AG23" i="31"/>
  <c r="AH24" i="31"/>
  <c r="AI25" i="31"/>
  <c r="AJ26" i="31"/>
  <c r="AK27" i="31"/>
  <c r="AL28" i="31"/>
  <c r="AM29" i="31"/>
  <c r="AN30" i="31"/>
  <c r="AO31" i="31"/>
  <c r="AP32" i="31"/>
  <c r="AQ33" i="31"/>
  <c r="AR34" i="31"/>
  <c r="AS35" i="31"/>
  <c r="AT36" i="31"/>
  <c r="AU37" i="31"/>
  <c r="AV38" i="31"/>
  <c r="AW39" i="31"/>
  <c r="AX40" i="31"/>
  <c r="AY41" i="31"/>
  <c r="AZ42" i="31"/>
  <c r="BA43" i="31"/>
  <c r="BB44" i="31"/>
  <c r="BC45" i="31"/>
  <c r="BD46" i="31"/>
  <c r="BE47" i="31"/>
  <c r="BF48" i="31"/>
  <c r="BG49" i="31"/>
  <c r="BH50" i="31"/>
  <c r="BI51" i="31"/>
  <c r="BJ52" i="31"/>
  <c r="BK53" i="31"/>
  <c r="BL54" i="31"/>
  <c r="BM55" i="31"/>
  <c r="BN56" i="31"/>
  <c r="BO57" i="31"/>
  <c r="BP58" i="31"/>
  <c r="BQ59" i="31"/>
  <c r="BR60" i="31"/>
  <c r="BS61" i="31"/>
  <c r="BT62" i="31"/>
  <c r="BU63" i="31"/>
  <c r="BV64" i="31"/>
  <c r="BW65" i="31"/>
  <c r="BX66" i="31"/>
  <c r="BY67" i="31"/>
  <c r="BZ68" i="31"/>
  <c r="CA69" i="31"/>
  <c r="CB70" i="31"/>
  <c r="CC71" i="31"/>
  <c r="CD72" i="31"/>
  <c r="AN73" i="31"/>
  <c r="BW73" i="31"/>
  <c r="AN74" i="31"/>
  <c r="BF75" i="31"/>
  <c r="BN76" i="31"/>
  <c r="BW77" i="31"/>
  <c r="AJ78" i="31"/>
  <c r="BO78" i="31"/>
  <c r="AJ79" i="31"/>
  <c r="AJ80" i="31"/>
  <c r="AY81" i="31"/>
  <c r="AY82" i="31"/>
  <c r="AZ83" i="31"/>
  <c r="BA84" i="31"/>
  <c r="BL85" i="31"/>
  <c r="BO85" i="31"/>
  <c r="BL86" i="31"/>
  <c r="BL87" i="31"/>
  <c r="BN88" i="31"/>
  <c r="BO89" i="31"/>
  <c r="BI90" i="31"/>
  <c r="BL90" i="31"/>
  <c r="BI91" i="31"/>
  <c r="BL91" i="31"/>
  <c r="BI92" i="31"/>
  <c r="BJ93" i="31"/>
  <c r="BJ94" i="31"/>
  <c r="BJ95" i="31"/>
  <c r="BJ96" i="31"/>
  <c r="BJ97" i="31"/>
  <c r="BJ98" i="31"/>
  <c r="BJ99" i="31"/>
  <c r="BK100" i="31"/>
  <c r="BL101" i="31"/>
  <c r="BJ102" i="31"/>
  <c r="BJ103" i="31"/>
  <c r="BJ104" i="31"/>
  <c r="BJ105" i="31"/>
  <c r="CD106" i="31"/>
  <c r="CD107" i="31"/>
  <c r="CD108" i="31"/>
  <c r="CE109" i="31"/>
  <c r="AF110" i="31"/>
  <c r="BB110" i="31"/>
  <c r="AF111" i="31"/>
  <c r="AM111" i="31"/>
  <c r="AF112" i="31"/>
  <c r="AI112" i="31"/>
  <c r="AF113" i="31"/>
  <c r="AI113" i="31"/>
  <c r="AG114" i="31"/>
  <c r="AH115" i="31"/>
  <c r="AH116" i="31"/>
  <c r="AH117" i="31"/>
  <c r="AI118" i="31"/>
  <c r="AM118" i="31"/>
  <c r="AI122" i="31"/>
  <c r="AI123" i="31"/>
  <c r="AI124" i="31"/>
  <c r="AJ125" i="31"/>
  <c r="AL126" i="31"/>
  <c r="AL127" i="31"/>
  <c r="AI128" i="31"/>
  <c r="BB128" i="31"/>
  <c r="AI129" i="31"/>
  <c r="AZ129" i="31"/>
  <c r="AJ130" i="31"/>
  <c r="AZ130" i="31"/>
  <c r="AJ132" i="31"/>
  <c r="AJ133" i="31"/>
  <c r="AK134" i="31"/>
  <c r="AK135" i="31"/>
  <c r="AM136" i="31"/>
  <c r="AM137" i="31"/>
  <c r="AO138" i="31"/>
  <c r="AT138" i="31"/>
  <c r="AU139" i="31"/>
  <c r="AZ139" i="31"/>
  <c r="AI140" i="31"/>
  <c r="AI141" i="31"/>
  <c r="AJ142" i="31"/>
  <c r="AJ143" i="31"/>
  <c r="AL144" i="31"/>
  <c r="AQ144" i="31"/>
  <c r="AL145" i="31"/>
  <c r="AL146" i="31"/>
  <c r="AN147" i="31"/>
  <c r="AN148" i="31"/>
  <c r="AP149" i="31"/>
  <c r="AL150" i="31"/>
  <c r="AP150" i="31"/>
  <c r="AL151" i="31"/>
  <c r="AP151" i="31"/>
  <c r="AL152" i="31"/>
  <c r="AP152" i="31"/>
  <c r="AX153" i="31"/>
  <c r="BB153" i="31"/>
  <c r="AX154" i="31"/>
  <c r="BB154" i="31"/>
  <c r="AX155" i="31"/>
  <c r="AX156" i="31"/>
  <c r="AX157" i="31"/>
  <c r="BA158" i="31"/>
  <c r="AZ159" i="31"/>
  <c r="AZ160" i="31"/>
  <c r="AZ161" i="31"/>
  <c r="AZ162" i="31"/>
  <c r="AZ163" i="31"/>
  <c r="AZ164" i="31"/>
  <c r="BA165" i="31"/>
  <c r="BA166" i="31"/>
  <c r="BA167" i="31"/>
  <c r="AF168" i="31"/>
  <c r="BY168" i="31"/>
  <c r="AF169" i="31"/>
  <c r="AN169" i="31"/>
  <c r="AF170" i="31"/>
  <c r="AF171" i="31"/>
  <c r="AI171" i="31"/>
  <c r="AJ172" i="31"/>
  <c r="AM172" i="31"/>
  <c r="AK173" i="31"/>
  <c r="AN173" i="31"/>
  <c r="AF174" i="31"/>
  <c r="AF175" i="31"/>
  <c r="AF176" i="31"/>
  <c r="AF177" i="31"/>
  <c r="AF178" i="31"/>
  <c r="AT178" i="31"/>
  <c r="AF179" i="31"/>
  <c r="AP180" i="31"/>
  <c r="AP181" i="31"/>
  <c r="AR182" i="31"/>
  <c r="AF183" i="31"/>
  <c r="AF184" i="31"/>
  <c r="AF185" i="31"/>
  <c r="AF186" i="31"/>
  <c r="AF187" i="31"/>
  <c r="BA187" i="31"/>
  <c r="AF188" i="31"/>
  <c r="AI188" i="31"/>
  <c r="AJ191" i="31"/>
  <c r="AR191" i="31"/>
  <c r="AK192" i="31"/>
  <c r="AZ192" i="31"/>
  <c r="AW193" i="31"/>
  <c r="BA193" i="31"/>
  <c r="AF194" i="31"/>
  <c r="BG194" i="31"/>
  <c r="AF195" i="31"/>
  <c r="AI195" i="31"/>
  <c r="AM196" i="31"/>
  <c r="AN197" i="31"/>
  <c r="AO198" i="31"/>
  <c r="AP199" i="31"/>
  <c r="AJ200" i="31"/>
  <c r="AR200" i="31"/>
  <c r="AK201" i="31"/>
  <c r="AZ201" i="31"/>
  <c r="AW202" i="31"/>
  <c r="BA202" i="31"/>
  <c r="AS203" i="31"/>
  <c r="AV203" i="31"/>
  <c r="BB204" i="31"/>
  <c r="BG204" i="31"/>
  <c r="BF205" i="31"/>
  <c r="AW206" i="31"/>
  <c r="BN206" i="31"/>
  <c r="AW207" i="31"/>
  <c r="BC207" i="31"/>
  <c r="AW208" i="31"/>
  <c r="BA208" i="31"/>
  <c r="BB209" i="31"/>
  <c r="BC210" i="31"/>
  <c r="BD211" i="31"/>
  <c r="BD212" i="31"/>
  <c r="BE213" i="31"/>
  <c r="BF214" i="31"/>
  <c r="BI214" i="31"/>
  <c r="BF215" i="31"/>
  <c r="BH216" i="31"/>
  <c r="BI217" i="31"/>
  <c r="BL218" i="31"/>
  <c r="BL219" i="31"/>
  <c r="BN220" i="31"/>
  <c r="AW221" i="31"/>
  <c r="BK221" i="31"/>
  <c r="AW222" i="31"/>
  <c r="AZ222" i="31"/>
  <c r="AW223" i="31"/>
  <c r="AX224" i="31"/>
  <c r="AZ225" i="31"/>
  <c r="BA226" i="31"/>
  <c r="BD226" i="31"/>
  <c r="BA227" i="31"/>
  <c r="BD227" i="31"/>
  <c r="BD228" i="31"/>
  <c r="BE229" i="31"/>
  <c r="BK229" i="31"/>
  <c r="BE230" i="31"/>
  <c r="BK230" i="31"/>
  <c r="BH231" i="31"/>
  <c r="BK231" i="31"/>
  <c r="BB232" i="31"/>
  <c r="BK232" i="31"/>
  <c r="BB233" i="31"/>
  <c r="BB234" i="31"/>
  <c r="BC235" i="31"/>
  <c r="BD236" i="31"/>
  <c r="BC237" i="31"/>
  <c r="BK237" i="31"/>
  <c r="BC238" i="31"/>
  <c r="BJ239" i="31"/>
  <c r="BK240" i="31"/>
  <c r="BC241" i="31"/>
  <c r="BY241" i="31"/>
  <c r="BC242" i="31"/>
  <c r="BW242" i="31"/>
  <c r="BC243" i="31"/>
  <c r="BF244" i="31"/>
  <c r="BH245" i="31"/>
  <c r="BY245" i="31"/>
  <c r="BC246" i="31"/>
  <c r="CF246" i="31"/>
  <c r="BC247" i="31"/>
  <c r="BL247" i="31"/>
  <c r="BC248" i="31"/>
  <c r="BH249" i="31"/>
  <c r="BL249" i="31"/>
  <c r="BL250" i="31"/>
  <c r="BX250" i="31"/>
  <c r="BL251" i="31"/>
  <c r="BP251" i="31"/>
  <c r="BQ252" i="31"/>
  <c r="BX252" i="31"/>
  <c r="BU253" i="31"/>
  <c r="CC253" i="31"/>
  <c r="BU254" i="31"/>
  <c r="BY255" i="31"/>
  <c r="CC255" i="31"/>
  <c r="BC256" i="31"/>
  <c r="CF256" i="31"/>
  <c r="BC257" i="31"/>
  <c r="BW257" i="31"/>
  <c r="BH258" i="31"/>
  <c r="CF258" i="31"/>
  <c r="BQ259" i="31"/>
  <c r="CE259" i="31"/>
  <c r="BQ260" i="31"/>
  <c r="BX260" i="31"/>
  <c r="BW261" i="31"/>
  <c r="CA262" i="31"/>
  <c r="CE262" i="31"/>
  <c r="F7" i="4" l="1"/>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31" a="1"/>
  <c r="AE2" i="31" a="1"/>
  <c r="D1" i="31" a="1"/>
  <c r="AE1" i="31" l="1"/>
  <c r="AE2" i="31"/>
  <c r="D1" i="31"/>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<sst xmlns="http://schemas.openxmlformats.org/spreadsheetml/2006/main" count="3925" uniqueCount="2092">
  <si>
    <t>Man/Day</t>
    <phoneticPr fontId="6" type="noConversion"/>
  </si>
  <si>
    <t>Man-Day</t>
  </si>
  <si>
    <t>Man-Month</t>
  </si>
  <si>
    <t>VALUE3</t>
  </si>
  <si>
    <t>INSERTED_DATE</t>
    <phoneticPr fontId="6" type="noConversion"/>
  </si>
  <si>
    <t>UPDATED_DATE</t>
    <phoneticPr fontId="6" type="noConversion"/>
  </si>
  <si>
    <t>COMPANY</t>
    <phoneticPr fontId="6" type="noConversion"/>
  </si>
  <si>
    <t>XLWorks</t>
    <phoneticPr fontId="6" type="noConversion"/>
  </si>
  <si>
    <t>DO NOT UPDATE</t>
    <phoneticPr fontId="6" type="noConversion"/>
  </si>
  <si>
    <t>AUTHOR_EMAIL</t>
    <phoneticPr fontId="6" type="noConversion"/>
  </si>
  <si>
    <t>PROGRAM_NAME</t>
    <phoneticPr fontId="6" type="noConversion"/>
  </si>
  <si>
    <t>XLGantt</t>
  </si>
  <si>
    <t>PROGRAM_SITE</t>
    <phoneticPr fontId="6" type="noConversion"/>
  </si>
  <si>
    <t>PROGRAM_SITE_DISP</t>
    <phoneticPr fontId="6" type="noConversion"/>
  </si>
  <si>
    <t>VERSION</t>
    <phoneticPr fontId="6" type="noConversion"/>
  </si>
  <si>
    <t>RELEASE_DATE</t>
    <phoneticPr fontId="6" type="noConversion"/>
  </si>
  <si>
    <t>LICENSE</t>
    <phoneticPr fontId="6" type="noConversion"/>
  </si>
  <si>
    <t>Freeware</t>
    <phoneticPr fontId="6"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</si>
  <si>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</si>
  <si>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</si>
  <si>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</si>
  <si>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</si>
  <si>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</si>
  <si>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</si>
  <si>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</si>
  <si>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</si>
  <si>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</si>
  <si>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</si>
  <si>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</si>
  <si>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</si>
  <si>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</si>
  <si>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</si>
  <si>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</si>
  <si>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</si>
  <si>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</si>
  <si>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</si>
  <si>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</si>
  <si>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</si>
  <si>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</si>
  <si>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</si>
  <si>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</si>
  <si>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</si>
  <si>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</si>
  <si>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</si>
  <si>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</si>
  <si>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</si>
  <si>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</si>
  <si>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</si>
  <si>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</si>
  <si>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</si>
  <si>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</si>
  <si>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</si>
  <si>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</si>
  <si>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</si>
  <si>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</si>
  <si>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</si>
  <si>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</si>
  <si>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</si>
  <si>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</si>
  <si>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</si>
  <si>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</si>
  <si>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</si>
  <si>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</si>
  <si>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</si>
  <si>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</si>
  <si>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</si>
  <si>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</si>
  <si>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</si>
  <si>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</si>
  <si>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</si>
  <si>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</si>
  <si>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</si>
  <si>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</si>
  <si>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</si>
  <si>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</si>
  <si>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</si>
  <si>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</si>
  <si>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</si>
  <si>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</si>
  <si>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</si>
  <si>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</si>
  <si>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</si>
  <si>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</si>
  <si>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</si>
  <si>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</si>
  <si>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</si>
  <si>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</si>
  <si>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</si>
  <si>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</si>
  <si>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</si>
  <si>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</si>
  <si>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</si>
  <si>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</si>
  <si>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</si>
  <si>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</si>
  <si>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</si>
  <si>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</si>
  <si>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</si>
  <si>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</si>
  <si>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</si>
  <si>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</si>
  <si>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</si>
  <si>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</si>
  <si>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</si>
  <si>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</si>
  <si>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</si>
  <si>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</si>
  <si>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</si>
  <si>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</si>
  <si>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</si>
  <si>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</si>
  <si>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</si>
  <si>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</si>
  <si>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</si>
  <si>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</si>
  <si>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</si>
  <si>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</si>
  <si>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</si>
  <si>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</si>
  <si>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</si>
  <si>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</si>
  <si>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</si>
  <si>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</si>
  <si>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</si>
  <si>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</si>
  <si>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</si>
  <si>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</si>
  <si>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</si>
  <si>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</si>
  <si>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</si>
  <si>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</si>
  <si>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</si>
  <si>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</si>
  <si>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</si>
  <si>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</si>
  <si>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</si>
  <si>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</si>
  <si>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</si>
  <si>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</si>
  <si>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</si>
  <si>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</si>
  <si>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</si>
  <si>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</si>
  <si>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</si>
  <si>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</si>
  <si>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</si>
  <si>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</si>
  <si>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</si>
  <si>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</si>
  <si>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</si>
  <si>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</si>
  <si>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</si>
  <si>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</si>
  <si>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</si>
  <si>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</si>
  <si>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</si>
  <si>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</si>
  <si>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</si>
  <si>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</si>
  <si>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</si>
  <si>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</si>
  <si>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</si>
  <si>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</si>
  <si>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</si>
  <si>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</si>
  <si>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</si>
  <si>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</si>
  <si>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</si>
  <si>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</si>
  <si>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</si>
  <si>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</si>
  <si>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</si>
  <si>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</si>
  <si>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</si>
  <si>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</si>
  <si>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</si>
  <si>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</si>
  <si>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</si>
  <si>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</si>
  <si>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</si>
  <si>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</si>
  <si>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</si>
  <si>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</si>
  <si>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</si>
  <si>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</si>
  <si>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</si>
  <si>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</si>
  <si>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</si>
  <si>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</si>
  <si>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</si>
  <si>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</si>
  <si>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</si>
  <si>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</si>
  <si>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</si>
  <si>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</si>
  <si>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</si>
  <si>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</si>
  <si>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</si>
  <si>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</si>
  <si>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</si>
  <si>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</si>
  <si>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</si>
  <si>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</si>
  <si>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</si>
  <si>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</si>
  <si>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</si>
  <si>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</si>
  <si>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</si>
  <si>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</si>
  <si>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</si>
  <si>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</si>
  <si>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</si>
  <si>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</si>
  <si>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</si>
  <si>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</si>
  <si>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</si>
  <si>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</si>
  <si>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</si>
  <si>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</si>
  <si>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</si>
  <si>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</si>
  <si>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</si>
  <si>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</si>
  <si>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</si>
  <si>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</si>
  <si>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</si>
  <si>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</si>
  <si>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</si>
  <si>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</si>
  <si>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</si>
  <si>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</si>
  <si>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</si>
  <si>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</si>
  <si>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</si>
  <si>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</si>
  <si>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</si>
  <si>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</si>
  <si>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</si>
  <si>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</si>
  <si>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</si>
  <si>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</si>
  <si>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</si>
  <si>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</si>
  <si>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</si>
  <si>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</si>
  <si>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</si>
  <si>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</si>
  <si>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</si>
  <si>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</si>
  <si>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</si>
  <si>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</si>
  <si>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</si>
  <si>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</si>
  <si>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</si>
  <si>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</si>
  <si>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</si>
  <si>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</si>
  <si>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</si>
  <si>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</si>
  <si>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</si>
  <si>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</si>
  <si>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</si>
  <si>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</si>
  <si>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</si>
  <si>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</si>
  <si>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</si>
  <si>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</si>
  <si>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</si>
  <si>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</si>
  <si>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</si>
  <si>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</si>
  <si>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</si>
  <si>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</si>
  <si>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</si>
  <si>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</si>
  <si>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</si>
  <si>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</si>
  <si>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</si>
  <si>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</si>
  <si>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</si>
  <si>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</si>
  <si>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</si>
  <si>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</si>
  <si>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</si>
  <si>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</si>
  <si>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</si>
  <si>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</si>
  <si>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</si>
  <si>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</si>
  <si>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</si>
  <si>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</si>
  <si>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</si>
  <si>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</si>
  <si>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</si>
  <si>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</si>
  <si>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</si>
  <si>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</si>
  <si>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</si>
  <si>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</si>
  <si>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</si>
  <si>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</si>
  <si>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</si>
  <si>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</si>
  <si>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</si>
  <si>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</si>
  <si>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</si>
  <si>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</si>
  <si>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</si>
  <si>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</si>
  <si>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</si>
  <si>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</si>
  <si>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</si>
  <si>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</si>
  <si>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</si>
  <si>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</si>
  <si>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</si>
  <si>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</si>
  <si>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</si>
  <si>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</si>
  <si>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</si>
  <si>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</si>
  <si>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</si>
  <si>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</si>
  <si>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</si>
  <si>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</si>
  <si>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</si>
  <si>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</si>
  <si>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</si>
  <si>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</si>
  <si>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</si>
  <si>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</si>
  <si>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</si>
  <si>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</si>
  <si>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</si>
  <si>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</si>
  <si>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</si>
  <si>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</si>
  <si>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</si>
  <si>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6" type="noConversion"/>
  </si>
  <si>
    <t>admin@xlworks.net</t>
    <phoneticPr fontId="6"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</si>
  <si>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</si>
  <si>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</si>
  <si>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</si>
  <si>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</si>
  <si>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</si>
  <si>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</si>
  <si>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</si>
  <si>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</si>
  <si>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</si>
  <si>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</si>
  <si>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</si>
  <si>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</si>
  <si>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</si>
  <si>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</si>
  <si>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</si>
  <si>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</si>
  <si>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</si>
  <si>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</si>
  <si>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</si>
  <si>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</si>
  <si>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</si>
  <si>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</si>
  <si>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</si>
  <si>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</si>
  <si>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</si>
  <si>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</si>
  <si>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</si>
  <si>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</si>
  <si>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</si>
  <si>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</si>
  <si>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</si>
  <si>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</si>
  <si>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</si>
  <si>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</si>
  <si>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</si>
  <si>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</si>
  <si>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</si>
  <si>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</si>
  <si>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</si>
  <si>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</si>
  <si>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</si>
  <si>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</si>
  <si>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</si>
  <si>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</si>
  <si>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</si>
  <si>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</si>
  <si>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</si>
  <si>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</si>
  <si>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</si>
  <si>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</si>
  <si>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</si>
  <si>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</si>
  <si>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</si>
  <si>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</si>
  <si>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</si>
  <si>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</si>
  <si>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</si>
  <si>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</si>
  <si>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</si>
  <si>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</si>
  <si>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</si>
  <si>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</si>
  <si>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</si>
  <si>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</si>
  <si>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</si>
  <si>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</si>
  <si>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</si>
  <si>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</si>
  <si>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</si>
  <si>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</si>
  <si>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</si>
  <si>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</si>
  <si>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</si>
  <si>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</si>
  <si>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6"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</si>
  <si>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</si>
  <si>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</si>
  <si>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</si>
  <si>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</si>
  <si>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4" type="noConversion"/>
  </si>
  <si>
    <t>Total__Duration</t>
    <phoneticPr fontId="6" type="noConversion"/>
  </si>
  <si>
    <t>Saturdays, Sundays and the dates entered in the Calendar sheet_x000D_</t>
    <phoneticPr fontId="4" type="noConversion"/>
  </si>
  <si>
    <t>Actual__Total Work</t>
    <phoneticPr fontId="6" type="noConversion"/>
  </si>
  <si>
    <t>Reserved</t>
    <phoneticPr fontId="6" type="noConversion"/>
  </si>
  <si>
    <t>Text Index</t>
    <phoneticPr fontId="6" type="noConversion"/>
  </si>
  <si>
    <t>Description</t>
    <phoneticPr fontId="6"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</si>
  <si>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4"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</si>
  <si>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4"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</si>
  <si>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4" type="noConversion"/>
  </si>
  <si>
    <t>* You can import  files created in XLGantt._x000D_
* You can import files if the version is 0.9.7 or higher than 0.9.7_x000D_
* You can import up to 10,000 records._x000D_
* You can import multiple files simultaneously.</t>
    <phoneticPr fontId="4"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</si>
  <si>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4" type="noConversion"/>
  </si>
  <si>
    <t>%Work__Complete</t>
    <phoneticPr fontId="6" type="noConversion"/>
  </si>
  <si>
    <t>manual input</t>
    <phoneticPr fontId="4" type="noConversion"/>
  </si>
  <si>
    <t>Actual</t>
    <phoneticPr fontId="4" type="noConversion"/>
  </si>
  <si>
    <t>Actual Total__Duration</t>
    <phoneticPr fontId="6" type="noConversion"/>
  </si>
  <si>
    <t>Actual__Finish</t>
    <phoneticPr fontId="6" type="noConversion"/>
  </si>
  <si>
    <t>Actual__Start</t>
    <phoneticPr fontId="6" type="noConversion"/>
  </si>
  <si>
    <t>Actual__Total Duration</t>
    <phoneticPr fontId="6" type="noConversion"/>
  </si>
  <si>
    <t>Actual\nStart-Finish</t>
    <phoneticPr fontId="4" type="noConversion"/>
  </si>
  <si>
    <t>yyyy/mm/dd</t>
    <phoneticPr fontId="4" type="noConversion"/>
  </si>
  <si>
    <t>Plan</t>
    <phoneticPr fontId="4" type="noConversion"/>
  </si>
  <si>
    <t>Planned__%Work Complete</t>
    <phoneticPr fontId="6" type="noConversion"/>
  </si>
  <si>
    <t>Planned__Duration</t>
    <phoneticPr fontId="6" type="noConversion"/>
  </si>
  <si>
    <t>Planned__Work</t>
    <phoneticPr fontId="6" type="noConversion"/>
  </si>
  <si>
    <t>Resources</t>
    <phoneticPr fontId="4" type="noConversion"/>
  </si>
  <si>
    <t>The language setting has been changed.\nPress the OK button to start translation. \nIt may take a long time to translate.\nHowever, translation of Ribbon menu and Popup menu takes effect after reopening this XLGantt file.</t>
    <phoneticPr fontId="6" type="noConversion"/>
  </si>
  <si>
    <t>Total__Work</t>
    <phoneticPr fontId="6" type="noConversion"/>
  </si>
  <si>
    <t>Would you like to update the schedule before saving?</t>
    <phoneticPr fontId="6" type="noConversion"/>
  </si>
  <si>
    <t>Group rows</t>
    <phoneticPr fontId="4" type="noConversion"/>
  </si>
  <si>
    <t>Schedule</t>
    <phoneticPr fontId="4" type="noConversion"/>
  </si>
  <si>
    <t>Progress</t>
    <phoneticPr fontId="4" type="noConversion"/>
  </si>
  <si>
    <t>AnalysisReport</t>
    <phoneticPr fontId="4" type="noConversion"/>
  </si>
  <si>
    <t>Calendar</t>
    <phoneticPr fontId="4" type="noConversion"/>
  </si>
  <si>
    <t>TranslatedLanguages</t>
    <phoneticPr fontId="4" type="noConversion"/>
  </si>
  <si>
    <t>Gantt Chart Zoom Ratio(Max 999%)</t>
    <phoneticPr fontId="4" type="noConversion"/>
  </si>
  <si>
    <t>Manual</t>
    <phoneticPr fontId="4" type="noConversion"/>
  </si>
  <si>
    <t>Automatic</t>
    <phoneticPr fontId="4" type="noConversion"/>
  </si>
  <si>
    <t>Automatic Except for Data Tables</t>
    <phoneticPr fontId="4" type="noConversion"/>
  </si>
  <si>
    <t>Calculation Options</t>
    <phoneticPr fontId="4" type="noConversion"/>
  </si>
  <si>
    <t>WBS</t>
    <phoneticPr fontId="6" type="noConversion"/>
  </si>
  <si>
    <t>Total Work</t>
  </si>
  <si>
    <t>Planned Work</t>
  </si>
  <si>
    <t>Total Duration</t>
  </si>
  <si>
    <t>Planned Duration</t>
  </si>
  <si>
    <t>Actual Total Work</t>
  </si>
  <si>
    <t>Actual Total Duration</t>
  </si>
  <si>
    <t>Planned %Work Complete</t>
  </si>
  <si>
    <t>for importOnStartup</t>
    <phoneticPr fontId="4" type="noConversion"/>
  </si>
  <si>
    <t>Invalid field name!</t>
    <phoneticPr fontId="4" type="noConversion"/>
  </si>
  <si>
    <t>Import file format Error! Range A1 should contain "xlgantt_reserved" string.</t>
    <phoneticPr fontId="4" type="noConversion"/>
  </si>
  <si>
    <t>Import file format Error! Range A2 should contain the import result.</t>
    <phoneticPr fontId="4" type="noConversion"/>
  </si>
  <si>
    <t>Successfully imported.</t>
    <phoneticPr fontId="4" type="noConversion"/>
  </si>
  <si>
    <t>Recalculate WBS area after import</t>
    <phoneticPr fontId="4" type="noConversion"/>
  </si>
  <si>
    <t>Do not recalculate WBS area after import</t>
    <phoneticPr fontId="4" type="noConversion"/>
  </si>
  <si>
    <t>Number of "Task" columns(Max 20)</t>
    <phoneticPr fontId="4" type="noConversion"/>
  </si>
  <si>
    <t>Import from Server</t>
    <phoneticPr fontId="4" type="noConversion"/>
  </si>
  <si>
    <t>Choose what to do after Importing Server Data</t>
    <phoneticPr fontId="4" type="noConversion"/>
  </si>
  <si>
    <t xml:space="preserve">Import  Data of "ServerData" sheet on Startup </t>
    <phoneticPr fontId="4" type="noConversion"/>
  </si>
  <si>
    <t>Import has already been completed.</t>
    <phoneticPr fontId="4" type="noConversion"/>
  </si>
  <si>
    <t>No data to import.</t>
    <phoneticPr fontId="4" type="noConversion"/>
  </si>
  <si>
    <t>The number of task columns is not 10. Please retry after changing the sheet to its previous state.</t>
    <phoneticPr fontId="4" type="noConversion"/>
  </si>
  <si>
    <t>The week containing the first Thursday of the year is the first week of the year(ISO 8601 Standard).</t>
    <phoneticPr fontId="4" type="noConversion"/>
  </si>
  <si>
    <t>System 2</t>
    <phoneticPr fontId="4" type="noConversion"/>
  </si>
  <si>
    <t>System 1</t>
    <phoneticPr fontId="4" type="noConversion"/>
  </si>
  <si>
    <t>The week containing January 1 is the first week of the year.</t>
    <phoneticPr fontId="4" type="noConversion"/>
  </si>
  <si>
    <t>for Week Number</t>
    <phoneticPr fontId="4" type="noConversion"/>
  </si>
  <si>
    <t>None</t>
    <phoneticPr fontId="4" type="noConversion"/>
  </si>
  <si>
    <t>Week Numbers Display</t>
    <phoneticPr fontId="4" type="noConversion"/>
  </si>
  <si>
    <t>Group rows(Max 8 Levels)</t>
    <phoneticPr fontId="4" type="noConversion"/>
  </si>
  <si>
    <t>totalWorkload</t>
  </si>
  <si>
    <t>planWorkload</t>
  </si>
  <si>
    <t>actualWorkload</t>
  </si>
  <si>
    <t>resourceWeight</t>
  </si>
  <si>
    <t>planRate</t>
  </si>
  <si>
    <t>actualRate</t>
  </si>
  <si>
    <t>reserved index</t>
    <phoneticPr fontId="4" type="noConversion"/>
  </si>
  <si>
    <t>1</t>
  </si>
  <si>
    <t>Actual Accumulated\nMan-Day</t>
    <phoneticPr fontId="4" type="noConversion"/>
  </si>
  <si>
    <t>Actual Man-Day</t>
    <phoneticPr fontId="4" type="noConversion"/>
  </si>
  <si>
    <t>Actual Progress</t>
    <phoneticPr fontId="4" type="noConversion"/>
  </si>
  <si>
    <t>Project Progresses by Weeks</t>
    <phoneticPr fontId="4" type="noConversion"/>
  </si>
  <si>
    <t>* This sheet shows you project progresses by weeks.</t>
    <phoneticPr fontId="4" type="noConversion"/>
  </si>
  <si>
    <t>timebucketStart</t>
  </si>
  <si>
    <t>timebucketFinish</t>
  </si>
  <si>
    <t>actualStart</t>
  </si>
  <si>
    <t>actualFinish</t>
  </si>
  <si>
    <t>Planned Workload(Man-Day)</t>
    <phoneticPr fontId="4" type="noConversion"/>
  </si>
  <si>
    <t>Planned Workload Accumulated(Man-Day)</t>
    <phoneticPr fontId="4" type="noConversion"/>
  </si>
  <si>
    <t>Actual Workload(Man-Day)</t>
    <phoneticPr fontId="4" type="noConversion"/>
  </si>
  <si>
    <t>Actual Workload Progress</t>
    <phoneticPr fontId="4" type="noConversion"/>
  </si>
  <si>
    <t>Planned Workload Progress</t>
    <phoneticPr fontId="4" type="noConversion"/>
  </si>
  <si>
    <t>Actual Workload Accumulated(Man-Day)</t>
    <phoneticPr fontId="4" type="noConversion"/>
  </si>
  <si>
    <t>Progress by Weeks</t>
    <phoneticPr fontId="4" type="noConversion"/>
  </si>
  <si>
    <t>Progress by Months</t>
    <phoneticPr fontId="4" type="noConversion"/>
  </si>
  <si>
    <t>Project Progresses by Months</t>
    <phoneticPr fontId="4" type="noConversion"/>
  </si>
  <si>
    <t>* This sheet shows you project progresses by months.</t>
    <phoneticPr fontId="4" type="noConversion"/>
  </si>
  <si>
    <t>* You need to click the "Progress by Weeks" button to update the contents.</t>
    <phoneticPr fontId="4" type="noConversion"/>
  </si>
  <si>
    <t>* You need to click the "Progress by Months" button to update the contents.</t>
    <phoneticPr fontId="4" type="noConversion"/>
  </si>
  <si>
    <t>Earned Value(Man-Day)</t>
    <phoneticPr fontId="4" type="noConversion"/>
  </si>
  <si>
    <t>Earned Value Accumulated(Man-Day)</t>
    <phoneticPr fontId="4" type="noConversion"/>
  </si>
  <si>
    <t>Earned Value Progress</t>
    <phoneticPr fontId="4" type="noConversion"/>
  </si>
  <si>
    <t>Earned value on planned schedule</t>
    <phoneticPr fontId="4" type="noConversion"/>
  </si>
  <si>
    <t>Earned value on planned schedule when managing schedule changes(Total Duration x %Work Complete)</t>
    <phoneticPr fontId="4" type="noConversion"/>
  </si>
  <si>
    <t>earnedValue</t>
  </si>
  <si>
    <t>Earned Value(C)\nMan-day</t>
    <phoneticPr fontId="4" type="noConversion"/>
  </si>
  <si>
    <t>wbsLevel01</t>
  </si>
  <si>
    <t>wbsLevel02</t>
  </si>
  <si>
    <t>wbsLevel03</t>
  </si>
  <si>
    <t>wbsLevel04</t>
  </si>
  <si>
    <t>wbsLevel05</t>
  </si>
  <si>
    <t>wbsLevel06</t>
  </si>
  <si>
    <t>wbsLevel07</t>
  </si>
  <si>
    <t>wbsLevel08</t>
  </si>
  <si>
    <t>wbsLevel09</t>
  </si>
  <si>
    <t>wbsLevel10</t>
  </si>
  <si>
    <t>weekNumber</t>
  </si>
  <si>
    <t>wbsLevel</t>
  </si>
  <si>
    <t>Workloads</t>
    <phoneticPr fontId="4" type="noConversion"/>
  </si>
  <si>
    <t>Workload</t>
    <phoneticPr fontId="4" type="noConversion"/>
  </si>
  <si>
    <t>Workload Data</t>
    <phoneticPr fontId="4" type="noConversion"/>
  </si>
  <si>
    <t>Create Workload Data by Weeks</t>
    <phoneticPr fontId="4" type="noConversion"/>
  </si>
  <si>
    <t>Create Workload Data by Months</t>
  </si>
  <si>
    <t>1.1</t>
  </si>
  <si>
    <t>Earned value on planned schedule(Total Duration x %Work Complete)</t>
    <phoneticPr fontId="4" type="noConversion"/>
  </si>
  <si>
    <t>for help sheet</t>
    <phoneticPr fontId="4"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</si>
  <si>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</si>
  <si>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</si>
  <si>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</si>
  <si>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</si>
  <si>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</si>
  <si>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</si>
  <si>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4" type="noConversion"/>
  </si>
  <si>
    <t>Help and the latest version</t>
    <phoneticPr fontId="4" type="noConversion"/>
  </si>
  <si>
    <t>Sheets</t>
    <phoneticPr fontId="4" type="noConversion"/>
  </si>
  <si>
    <t>When you enter a task and a schedule, the progress rate is calculated and the schedule of the task is displayed as a gantt chart.</t>
    <phoneticPr fontId="4" type="noConversion"/>
  </si>
  <si>
    <t>Shows you the progresses and workloads of the project by weeks, months, and resources.</t>
    <phoneticPr fontId="4" type="noConversion"/>
  </si>
  <si>
    <t>Shows you the workloads, progresses, etc.</t>
    <phoneticPr fontId="4" type="noConversion"/>
  </si>
  <si>
    <t>Sets nonworking days.</t>
    <phoneticPr fontId="4" type="noConversion"/>
  </si>
  <si>
    <t>Makes workload data by weekly and monthly. You can do analysis as you want by using Excel features such as pivot.</t>
    <phoneticPr fontId="4" type="noConversion"/>
  </si>
  <si>
    <t>It is used when you want to see schedule data of IT system where server exists separately.</t>
    <phoneticPr fontId="4" type="noConversion"/>
  </si>
  <si>
    <t>Task input, schedule update</t>
    <phoneticPr fontId="4" type="noConversion"/>
  </si>
  <si>
    <t>Setting Gantt chart display style</t>
    <phoneticPr fontId="4" type="noConversion"/>
  </si>
  <si>
    <t>Keeping track of project progress</t>
    <phoneticPr fontId="4" type="noConversion"/>
  </si>
  <si>
    <t>Analysis report</t>
    <phoneticPr fontId="4" type="noConversion"/>
  </si>
  <si>
    <t>Schedule change</t>
    <phoneticPr fontId="4" type="noConversion"/>
  </si>
  <si>
    <t>Adding Tasks to Microsoft Outlook Calendar</t>
    <phoneticPr fontId="4" type="noConversion"/>
  </si>
  <si>
    <t>Importing Schedules from Another File</t>
    <phoneticPr fontId="4" type="noConversion"/>
  </si>
  <si>
    <t>Integration with Excel Features</t>
    <phoneticPr fontId="4" type="noConversion"/>
  </si>
  <si>
    <t>Importing Server Data</t>
    <phoneticPr fontId="4" type="noConversion"/>
  </si>
  <si>
    <t>When you enter task names, start and finish dates, and %work complete values, XLGantt automatically calculates the tasks durations, planned %work complete values.</t>
    <phoneticPr fontId="4" type="noConversion"/>
  </si>
  <si>
    <t>You can click the "Options" button on the ribbon to customize a Gantt chart style.</t>
    <phoneticPr fontId="4" type="noConversion"/>
  </si>
  <si>
    <t>You can use %work complete to keep track of the progress of the project.</t>
    <phoneticPr fontId="4" type="noConversion"/>
  </si>
  <si>
    <t>Provides you with analytical reports such as progress, workload, and workload data for tracking the status of your project.</t>
    <phoneticPr fontId="4" type="noConversion"/>
  </si>
  <si>
    <t>Manages the planned schedule and actual schedule of the project.</t>
    <phoneticPr fontId="4" type="noConversion"/>
  </si>
  <si>
    <t>Specifies the save path of the deliverables and open the deliverables.</t>
    <phoneticPr fontId="4"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</si>
  <si>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4" type="noConversion"/>
  </si>
  <si>
    <t>Imports schedules into XLGantt. You can import the schedules by mapping the fields.</t>
    <phoneticPr fontId="4" type="noConversion"/>
  </si>
  <si>
    <t>You can include the formulas and functions of the Excel in XLGantt.</t>
    <phoneticPr fontId="4" type="noConversion"/>
  </si>
  <si>
    <t>You can use this feature if you want to see the server's schedule data. If you put the schedule data on the Server into the ServerData sheet and download the XLGantt file and open the XLGantt file, the data comes into the Schedule sheet.</t>
    <phoneticPr fontId="4"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</si>
  <si>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4" type="noConversion"/>
  </si>
  <si>
    <t>Getting Started With XLGantt</t>
    <phoneticPr fontId="4" type="noConversion"/>
  </si>
  <si>
    <t>If you want to learn the features quickly and easily, see the "Getting Started With XLGantt".</t>
    <phoneticPr fontId="4" type="noConversion"/>
  </si>
  <si>
    <t>https://xlworks.net/xlgantt-howto-13-server-data/</t>
    <phoneticPr fontId="4"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</si>
  <si>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4"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</si>
  <si>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4" type="noConversion"/>
  </si>
  <si>
    <t>Adds tasks to the Outlook calendar(You must have Microsoft Outlook installed on your PC).</t>
    <phoneticPr fontId="4" type="noConversion"/>
  </si>
  <si>
    <t>reserved index, for help sheet</t>
    <phoneticPr fontId="4" type="noConversion"/>
  </si>
  <si>
    <t>Color Theme</t>
    <phoneticPr fontId="4" type="noConversion"/>
  </si>
  <si>
    <t>Display date on the timescale</t>
    <phoneticPr fontId="4" type="noConversion"/>
  </si>
  <si>
    <t>Display year on the timescale</t>
    <phoneticPr fontId="4" type="noConversion"/>
  </si>
  <si>
    <t>Display project week number on the timescale</t>
    <phoneticPr fontId="4" type="noConversion"/>
  </si>
  <si>
    <t>Appearance</t>
    <phoneticPr fontId="4" type="noConversion"/>
  </si>
  <si>
    <t>Gantt chart title</t>
    <phoneticPr fontId="4" type="noConversion"/>
  </si>
  <si>
    <t>Gantt chart group task bar</t>
    <phoneticPr fontId="4" type="noConversion"/>
  </si>
  <si>
    <t>Gantt chart sub task bar</t>
    <phoneticPr fontId="4" type="noConversion"/>
  </si>
  <si>
    <t>WBS title - input field</t>
    <phoneticPr fontId="4" type="noConversion"/>
  </si>
  <si>
    <t>WBS title - auto calculated field</t>
    <phoneticPr fontId="4" type="noConversion"/>
  </si>
  <si>
    <t>Workload Calculation</t>
    <phoneticPr fontId="4" type="noConversion"/>
  </si>
  <si>
    <t>by Weight</t>
    <phoneticPr fontId="4" type="noConversion"/>
  </si>
  <si>
    <t>Default</t>
    <phoneticPr fontId="4" type="noConversion"/>
  </si>
  <si>
    <t>Purple</t>
    <phoneticPr fontId="4" type="noConversion"/>
  </si>
  <si>
    <t>Green</t>
    <phoneticPr fontId="4" type="noConversion"/>
  </si>
  <si>
    <t>Custom</t>
    <phoneticPr fontId="4" type="noConversion"/>
  </si>
  <si>
    <t>resourceAssignRate</t>
  </si>
  <si>
    <t>(Resources unspecified)</t>
    <phoneticPr fontId="4" type="noConversion"/>
  </si>
  <si>
    <t>by Resource Allocation Ratio</t>
    <phoneticPr fontId="4" type="noConversion"/>
  </si>
  <si>
    <t>Resource Allocation Ratio</t>
    <phoneticPr fontId="4" type="noConversion"/>
  </si>
  <si>
    <t>The resource allocation ratio in the resource field of row number {1} in the {2} sheet is invalid.</t>
    <phoneticPr fontId="4" type="noConversion"/>
  </si>
  <si>
    <t>The resource field should be entered in the following format.</t>
    <phoneticPr fontId="4" type="noConversion"/>
  </si>
  <si>
    <t>Elsa,John[50%]</t>
    <phoneticPr fontId="4" type="noConversion"/>
  </si>
  <si>
    <t>Mark task as milestone</t>
    <phoneticPr fontId="4" type="noConversion"/>
  </si>
  <si>
    <t>Title above WBS</t>
    <phoneticPr fontId="4" type="noConversion"/>
  </si>
  <si>
    <t>projectWeekNumber</t>
  </si>
  <si>
    <t>Title above Gantt chart</t>
    <phoneticPr fontId="4" type="noConversion"/>
  </si>
  <si>
    <t>Black &amp; White</t>
    <phoneticPr fontId="4" type="noConversion"/>
  </si>
  <si>
    <t>Set "the earliest start date and the lastest fisnish date of the tasks" to the Project Start-Finish date.</t>
    <phoneticPr fontId="4" type="noConversion"/>
  </si>
  <si>
    <t>F</t>
    <phoneticPr fontId="4" type="noConversion"/>
  </si>
  <si>
    <t>1:English,82:Korean,999:Custom</t>
    <phoneticPr fontId="4" type="noConversion"/>
  </si>
  <si>
    <t>When not managing schedule changes</t>
    <phoneticPr fontId="4" type="noConversion"/>
  </si>
  <si>
    <t>When managing schedule changes</t>
    <phoneticPr fontId="4" type="noConversion"/>
  </si>
  <si>
    <t>Ahead of schedule</t>
    <phoneticPr fontId="4" type="noConversion"/>
  </si>
  <si>
    <t>On schedule</t>
    <phoneticPr fontId="4" type="noConversion"/>
  </si>
  <si>
    <t>Behind schedule</t>
    <phoneticPr fontId="4" type="noConversion"/>
  </si>
  <si>
    <t>Custom</t>
  </si>
  <si>
    <t>Gantt chart progress line</t>
    <phoneticPr fontId="4" type="noConversion"/>
  </si>
  <si>
    <t>Schedule variance</t>
    <phoneticPr fontId="4" type="noConversion"/>
  </si>
  <si>
    <t>Started earlier than planned</t>
    <phoneticPr fontId="4" type="noConversion"/>
  </si>
  <si>
    <t>Started later than planned</t>
    <phoneticPr fontId="4" type="noConversion"/>
  </si>
  <si>
    <t>Started as planned</t>
    <phoneticPr fontId="4" type="noConversion"/>
  </si>
  <si>
    <t>Star(*) marks-required fields</t>
    <phoneticPr fontId="4" type="noConversion"/>
  </si>
  <si>
    <t>12/1/2018</t>
    <phoneticPr fontId="4" type="noConversion"/>
  </si>
  <si>
    <t>&lt;&lt; Unmap</t>
    <phoneticPr fontId="4" type="noConversion"/>
  </si>
  <si>
    <t>&lt;&lt; Remove</t>
    <phoneticPr fontId="4" type="noConversion"/>
  </si>
  <si>
    <t>TODAY</t>
    <phoneticPr fontId="4" type="noConversion"/>
  </si>
  <si>
    <t>https://xlworks.net/xlgantt-easy-tip/</t>
    <phoneticPr fontId="4" type="noConversion"/>
  </si>
  <si>
    <t>https://xlworks.net/xlgantt-howto-02-task/</t>
    <phoneticPr fontId="4" type="noConversion"/>
  </si>
  <si>
    <t>https://xlworks.net/xlgantt-howto-03-gantt-chart/</t>
    <phoneticPr fontId="4" type="noConversion"/>
  </si>
  <si>
    <t>https://xlworks.net/xlgantt-howto-04-project-progress/</t>
    <phoneticPr fontId="4" type="noConversion"/>
  </si>
  <si>
    <t>Help</t>
    <phoneticPr fontId="4" type="noConversion"/>
  </si>
  <si>
    <t>https://xlworks.net/xlgantt-project-scheduler/</t>
    <phoneticPr fontId="4" type="noConversion"/>
  </si>
  <si>
    <t>How to use</t>
    <phoneticPr fontId="4" type="noConversion"/>
  </si>
  <si>
    <t>https://xlworks.net/xlgantt-howto-05-analysis-report/</t>
    <phoneticPr fontId="4" type="noConversion"/>
  </si>
  <si>
    <t>https://xlworks.net/xlgantt-howto-06-schedule-change-management/</t>
    <phoneticPr fontId="4" type="noConversion"/>
  </si>
  <si>
    <t>https://xlworks.net/xlgantt-howto-07-deliverables/</t>
    <phoneticPr fontId="4" type="noConversion"/>
  </si>
  <si>
    <t>https://xlworks.net/xlgantt-howto-08-add-tasks-to-outlook/</t>
    <phoneticPr fontId="4" type="noConversion"/>
  </si>
  <si>
    <t>XLGantt Version {} Terms of Use</t>
    <phoneticPr fontId="4" type="noConversion"/>
  </si>
  <si>
    <t>Display date or day on the timescale</t>
    <phoneticPr fontId="4" type="noConversion"/>
  </si>
  <si>
    <t>Display font color to gray for the completed tasks</t>
    <phoneticPr fontId="4" type="noConversion"/>
  </si>
  <si>
    <t>Display interior color to gray for the task groups</t>
    <phoneticPr fontId="4" type="noConversion"/>
  </si>
  <si>
    <t>Left</t>
    <phoneticPr fontId="4" type="noConversion"/>
  </si>
  <si>
    <t>Center</t>
    <phoneticPr fontId="4" type="noConversion"/>
  </si>
  <si>
    <t>Right</t>
    <phoneticPr fontId="4" type="noConversion"/>
  </si>
  <si>
    <t>Align WBS Column</t>
    <phoneticPr fontId="4" type="noConversion"/>
  </si>
  <si>
    <t>Date</t>
    <phoneticPr fontId="4" type="noConversion"/>
  </si>
  <si>
    <t>Day</t>
    <phoneticPr fontId="4" type="noConversion"/>
  </si>
  <si>
    <t>The same field name exists.</t>
    <phoneticPr fontId="4" type="noConversion"/>
  </si>
  <si>
    <t>Enter tasks, Update schedule</t>
    <phoneticPr fontId="4" type="noConversion"/>
  </si>
  <si>
    <t>Displayed in %Work complete column</t>
    <phoneticPr fontId="4" type="noConversion"/>
  </si>
  <si>
    <t>CM</t>
  </si>
  <si>
    <t>ITEM</t>
  </si>
  <si>
    <t>VALUE1</t>
  </si>
  <si>
    <t>VALUE2</t>
  </si>
  <si>
    <t>ITEM_GROUP</t>
    <phoneticPr fontId="4" type="noConversion"/>
  </si>
  <si>
    <t>DESCRIPTION</t>
    <phoneticPr fontId="6"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</si>
  <si>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</si>
  <si>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</si>
  <si>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</si>
  <si>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</si>
  <si>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</si>
  <si>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</si>
  <si>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</si>
  <si>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</si>
  <si>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</si>
  <si>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</si>
  <si>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</si>
  <si>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</si>
  <si>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</si>
  <si>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</si>
  <si>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</si>
  <si>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</si>
  <si>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</si>
  <si>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</si>
  <si>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</si>
  <si>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</si>
  <si>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</si>
  <si>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</si>
  <si>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</si>
  <si>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</si>
  <si>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</si>
  <si>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</si>
  <si>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</si>
  <si>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</si>
  <si>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</si>
  <si>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</si>
  <si>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</si>
  <si>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</si>
  <si>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</si>
  <si>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</si>
  <si>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</si>
  <si>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</si>
  <si>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</si>
  <si>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</si>
  <si>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</si>
  <si>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</si>
  <si>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</si>
  <si>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</si>
  <si>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</si>
  <si>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</si>
  <si>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4" type="noConversion"/>
  </si>
  <si>
    <t>C:\Program Files\Autodesk\AutoCAD 2019\acad.exe</t>
    <phoneticPr fontId="4" type="noConversion"/>
  </si>
  <si>
    <t>C:\Program Files\Notepad++\notepad++.exe</t>
    <phoneticPr fontId="4" type="noConversion"/>
  </si>
  <si>
    <t>C:\WINDOWS\system32\notepad.exe</t>
    <phoneticPr fontId="4" type="noConversion"/>
  </si>
  <si>
    <t>AutoCAD</t>
    <phoneticPr fontId="4" type="noConversion"/>
  </si>
  <si>
    <t>메모장</t>
    <phoneticPr fontId="4" type="noConversion"/>
  </si>
  <si>
    <t>Notepad++</t>
    <phoneticPr fontId="4" type="noConversion"/>
  </si>
  <si>
    <t>dwg</t>
    <phoneticPr fontId="4" type="noConversion"/>
  </si>
  <si>
    <t>txt</t>
    <phoneticPr fontId="4" type="noConversion"/>
  </si>
  <si>
    <t>html</t>
    <phoneticPr fontId="4" type="noConversion"/>
  </si>
  <si>
    <t>ppt*</t>
    <phoneticPr fontId="4" type="noConversion"/>
  </si>
  <si>
    <t>xls*</t>
    <phoneticPr fontId="4" type="noConversion"/>
  </si>
  <si>
    <t>doc*</t>
    <phoneticPr fontId="4"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</si>
  <si>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</si>
  <si>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</si>
  <si>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</si>
  <si>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</si>
  <si>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</si>
  <si>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</si>
  <si>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</si>
  <si>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</si>
  <si>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</si>
  <si>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</si>
  <si>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</si>
  <si>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</si>
  <si>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</si>
  <si>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</si>
  <si>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</si>
  <si>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</si>
  <si>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4" type="noConversion"/>
  </si>
  <si>
    <t>OL</t>
    <phoneticPr fontId="4" type="noConversion"/>
  </si>
  <si>
    <t>Select Formula Cells</t>
    <phoneticPr fontId="4" type="noConversion"/>
  </si>
  <si>
    <t>5.0.0</t>
    <phoneticPr fontId="4" type="noConversion"/>
  </si>
  <si>
    <t xml:space="preserve">XLGantt 5.0.0 ©XLWorks </t>
    <phoneticPr fontId="6" type="noConversion"/>
  </si>
  <si>
    <t>W1</t>
  </si>
  <si>
    <t>Average number of working days per month</t>
    <phoneticPr fontId="4" type="noConversion"/>
  </si>
  <si>
    <t>Free space in the print area</t>
    <phoneticPr fontId="4" type="noConversion"/>
  </si>
  <si>
    <t>Automatically adjust height of Schedule sheet rows 1-4</t>
    <phoneticPr fontId="4" type="noConversion"/>
  </si>
  <si>
    <t>Program error has occurred.</t>
    <phoneticPr fontId="4" type="noConversion"/>
  </si>
  <si>
    <t>Program error has occurred, this error can occur because of the following:\n\n1. An incorrect value was entered in the Schedule sheet (eg, a value beginning with an equal sign (=) was entered except in the date field).\n\n2. {1}</t>
    <phoneticPr fontId="4" type="noConversion"/>
  </si>
  <si>
    <t>Program error has occurred.\n\n{1}\nError code:{2}\n\nIf this program file is stored in a cloud storage such as Microsoft OneDrive, move it to a local drive on your PC and use it.</t>
    <phoneticPr fontId="4" type="noConversion"/>
  </si>
  <si>
    <t>Program error has occurred.\n\n{1}\nError code:{2}</t>
    <phoneticPr fontId="4" type="noConversion"/>
  </si>
  <si>
    <t>DO NOT UPDATE, DO NOT MOVE ROW 8 TO ANOTHER ROW</t>
    <phoneticPr fontId="6"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</si>
  <si>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</si>
  <si>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</si>
  <si>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</si>
  <si>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</si>
  <si>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</si>
  <si>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</si>
  <si>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</si>
  <si>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</si>
  <si>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</si>
  <si>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</si>
  <si>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</si>
  <si>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</si>
  <si>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</si>
  <si>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</si>
  <si>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</si>
  <si>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</si>
  <si>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</si>
  <si>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</si>
  <si>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</si>
  <si>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</si>
  <si>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</si>
  <si>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</si>
  <si>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</si>
  <si>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</si>
  <si>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</si>
  <si>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</si>
  <si>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</si>
  <si>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</si>
  <si>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</si>
  <si>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</si>
  <si>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</si>
  <si>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</si>
  <si>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</si>
  <si>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</si>
  <si>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</si>
  <si>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</si>
  <si>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</si>
  <si>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</si>
  <si>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</si>
  <si>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</si>
  <si>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4" type="noConversion"/>
  </si>
  <si>
    <t>OW</t>
    <phoneticPr fontId="4" type="noConversion"/>
  </si>
  <si>
    <t>OD</t>
    <phoneticPr fontId="4" type="noConversion"/>
  </si>
  <si>
    <t>OP</t>
    <phoneticPr fontId="4" type="noConversion"/>
  </si>
  <si>
    <t>https://xlworks.io/xlgantt-project-scheduler/</t>
  </si>
  <si>
    <t>https://xlworks.io/xlgantt-project-scheduler/</t>
    <phoneticPr fontId="6"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</si>
  <si>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</si>
  <si>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</si>
  <si>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</si>
  <si>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</si>
  <si>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</si>
  <si>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</si>
  <si>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</si>
  <si>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</si>
  <si>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</si>
  <si>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</si>
  <si>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</si>
  <si>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</si>
  <si>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</si>
  <si>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4" type="noConversion"/>
  </si>
  <si>
    <t>https://xlworks.net/</t>
    <phoneticPr fontId="4"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</si>
  <si>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</si>
  <si>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4"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</si>
  <si>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</si>
  <si>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</si>
  <si>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</si>
  <si>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</si>
  <si>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4"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</si>
  <si>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</si>
  <si>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4"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</si>
  <si>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4"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</si>
  <si>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</si>
  <si>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4"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</si>
  <si>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4"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</si>
  <si>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4"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</si>
  <si>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</si>
  <si>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</si>
  <si>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</si>
  <si>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</si>
  <si>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</si>
  <si>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</si>
  <si>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</si>
  <si>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</si>
  <si>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</si>
  <si>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</si>
  <si>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</si>
  <si>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</si>
  <si>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</si>
  <si>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4"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</si>
  <si>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</si>
  <si>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</si>
  <si>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</si>
  <si>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4"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</si>
  <si>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4"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</si>
  <si>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</si>
  <si>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</si>
  <si>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</si>
  <si>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</si>
  <si>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4"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</si>
  <si>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4"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</si>
  <si>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</si>
  <si>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</si>
  <si>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</si>
  <si>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</si>
  <si>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</si>
  <si>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</si>
  <si>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</si>
  <si>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</si>
  <si>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</si>
  <si>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4"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</si>
  <si>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</si>
  <si>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</si>
  <si>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4"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</si>
  <si>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</si>
  <si>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</si>
  <si>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</si>
  <si>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</si>
  <si>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</si>
  <si>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4" type="noConversion"/>
  </si>
  <si>
    <r>
      <rPr>
        <sz val="9"/>
        <color theme="1"/>
        <rFont val="맑은 고딕"/>
        <family val="3"/>
        <charset val="129"/>
      </rPr>
      <t>실제진척율</t>
    </r>
    <phoneticPr fontId="4"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</si>
  <si>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</si>
  <si>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</si>
  <si>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</si>
  <si>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</si>
  <si>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</si>
  <si>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</si>
  <si>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</si>
  <si>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</si>
  <si>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</si>
  <si>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6"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</si>
  <si>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</si>
  <si>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6"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</si>
  <si>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4"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</si>
  <si>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4" type="noConversion"/>
  </si>
  <si>
    <r>
      <rPr>
        <sz val="9"/>
        <color theme="1"/>
        <rFont val="맑은 고딕"/>
        <family val="3"/>
        <charset val="129"/>
      </rPr>
      <t>실제작업량</t>
    </r>
    <r>
      <rPr>
        <sz val="9"/>
        <color theme="1"/>
        <rFont val="Calibri"/>
        <family val="2"/>
      </rPr>
      <t>(Man-Day)</t>
    </r>
    <phoneticPr fontId="4"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</si>
  <si>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6"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</si>
  <si>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6"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</si>
  <si>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6"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</si>
  <si>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6"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</si>
  <si>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4"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</si>
  <si>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4"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</si>
  <si>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4"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</si>
  <si>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4"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</si>
  <si>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</si>
  <si>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4"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</si>
  <si>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</si>
  <si>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</si>
  <si>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</si>
  <si>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</si>
  <si>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</si>
  <si>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</si>
  <si>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</si>
  <si>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</si>
  <si>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</si>
  <si>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4"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</si>
  <si>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</si>
  <si>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</si>
  <si>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</si>
  <si>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</si>
  <si>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</si>
  <si>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</si>
  <si>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4" type="noConversion"/>
  </si>
  <si>
    <r>
      <rPr>
        <sz val="9"/>
        <color theme="1"/>
        <rFont val="맑은 고딕"/>
        <family val="3"/>
        <charset val="129"/>
      </rPr>
      <t>자동</t>
    </r>
    <phoneticPr fontId="4"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</si>
  <si>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4"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</si>
  <si>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</si>
  <si>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</si>
  <si>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</si>
  <si>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</si>
  <si>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</si>
  <si>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4" type="noConversion"/>
  </si>
  <si>
    <r>
      <rPr>
        <sz val="9"/>
        <color theme="1"/>
        <rFont val="맑은 고딕"/>
        <family val="3"/>
        <charset val="129"/>
      </rPr>
      <t>흑백</t>
    </r>
    <phoneticPr fontId="4"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</si>
  <si>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</si>
  <si>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</si>
  <si>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4"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</si>
  <si>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4"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</si>
  <si>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4"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</si>
  <si>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</si>
  <si>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</si>
  <si>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</si>
  <si>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4"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</si>
  <si>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</si>
  <si>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</si>
  <si>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4"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</si>
  <si>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</si>
  <si>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</si>
  <si>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</si>
  <si>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</si>
  <si>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</si>
  <si>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</si>
  <si>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</si>
  <si>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</si>
  <si>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</si>
  <si>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4"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</si>
  <si>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</si>
  <si>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4"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</si>
  <si>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</si>
  <si>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</si>
  <si>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</si>
  <si>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4"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</si>
  <si>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</si>
  <si>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4"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</si>
  <si>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</si>
  <si>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</si>
  <si>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</si>
  <si>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</si>
  <si>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4"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</si>
  <si>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</si>
  <si>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</si>
  <si>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</si>
  <si>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</si>
  <si>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</si>
  <si>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4"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</si>
  <si>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</si>
  <si>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</si>
  <si>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</si>
  <si>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4"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</si>
  <si>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</si>
  <si>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</si>
  <si>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</si>
  <si>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</si>
  <si>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4"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</si>
  <si>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4"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</si>
  <si>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</si>
  <si>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4"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</si>
  <si>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</si>
  <si>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</si>
  <si>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</si>
  <si>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</si>
  <si>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4" type="noConversion"/>
  </si>
  <si>
    <r>
      <rPr>
        <sz val="9"/>
        <color theme="1"/>
        <rFont val="맑은 고딕"/>
        <family val="3"/>
        <charset val="129"/>
      </rPr>
      <t>실적기성</t>
    </r>
    <phoneticPr fontId="4"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</si>
  <si>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4"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</si>
  <si>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4"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</si>
  <si>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4" type="noConversion"/>
  </si>
  <si>
    <r>
      <rPr>
        <sz val="9"/>
        <color theme="1"/>
        <rFont val="맑은 고딕"/>
        <family val="3"/>
        <charset val="129"/>
      </rPr>
      <t>실적기성</t>
    </r>
    <r>
      <rPr>
        <sz val="9"/>
        <color theme="1"/>
        <rFont val="Calibri"/>
        <family val="2"/>
      </rPr>
      <t>( C )\nMan-day</t>
    </r>
    <phoneticPr fontId="4" type="noConversion"/>
  </si>
  <si>
    <r>
      <rPr>
        <sz val="9"/>
        <color theme="1"/>
        <rFont val="맑은 고딕"/>
        <family val="3"/>
        <charset val="129"/>
      </rPr>
      <t>실적기성</t>
    </r>
    <r>
      <rPr>
        <sz val="9"/>
        <color theme="1"/>
        <rFont val="Calibri"/>
        <family val="2"/>
      </rPr>
      <t>(Man-Day)</t>
    </r>
    <phoneticPr fontId="4"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</si>
  <si>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</si>
  <si>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4"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</si>
  <si>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</si>
  <si>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</si>
  <si>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</si>
  <si>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</si>
  <si>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</si>
  <si>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4"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</si>
  <si>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</si>
  <si>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</si>
  <si>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</si>
  <si>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</si>
  <si>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</si>
  <si>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</si>
  <si>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</si>
  <si>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</si>
  <si>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</si>
  <si>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</si>
  <si>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</si>
  <si>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</si>
  <si>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</si>
  <si>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</si>
  <si>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</si>
  <si>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</si>
  <si>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4"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</si>
  <si>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4"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</si>
  <si>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4"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</si>
  <si>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4"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</si>
  <si>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</si>
  <si>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4" type="noConversion"/>
  </si>
  <si>
    <r>
      <rPr>
        <sz val="9"/>
        <color theme="1"/>
        <rFont val="맑은 고딕"/>
        <family val="3"/>
        <charset val="129"/>
      </rPr>
      <t>일반</t>
    </r>
    <phoneticPr fontId="4"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</si>
  <si>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</si>
  <si>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4"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</si>
  <si>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4"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</si>
  <si>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4" type="noConversion"/>
  </si>
  <si>
    <r>
      <rPr>
        <sz val="9"/>
        <color theme="1"/>
        <rFont val="맑은 고딕"/>
        <family val="3"/>
        <charset val="129"/>
      </rPr>
      <t>도움말</t>
    </r>
    <phoneticPr fontId="4"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</si>
  <si>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4" type="noConversion"/>
  </si>
  <si>
    <r>
      <rPr>
        <sz val="9"/>
        <color theme="1"/>
        <rFont val="맑은 고딕"/>
        <family val="3"/>
        <charset val="129"/>
      </rPr>
      <t>사용법</t>
    </r>
    <phoneticPr fontId="4"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</si>
  <si>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</si>
  <si>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</si>
  <si>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</si>
  <si>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</si>
  <si>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</si>
  <si>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4"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</si>
  <si>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</si>
  <si>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</si>
  <si>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</si>
  <si>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4"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</si>
  <si>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4"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</si>
  <si>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</si>
  <si>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4"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</si>
  <si>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4"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</si>
  <si>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</si>
  <si>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</si>
  <si>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</si>
  <si>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</si>
  <si>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</si>
  <si>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</si>
  <si>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</si>
  <si>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</si>
  <si>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</si>
  <si>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</si>
  <si>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</si>
  <si>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</si>
  <si>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</si>
  <si>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4"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</si>
  <si>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4"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</si>
  <si>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</si>
  <si>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</si>
  <si>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</si>
  <si>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</si>
  <si>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</si>
  <si>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4"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</si>
  <si>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</si>
  <si>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</si>
  <si>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4"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</si>
  <si>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</si>
  <si>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</si>
  <si>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4"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</si>
  <si>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4"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</si>
  <si>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</si>
  <si>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</si>
  <si>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</si>
  <si>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</si>
  <si>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</si>
  <si>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</si>
  <si>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</si>
  <si>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</si>
  <si>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4"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</si>
  <si>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</si>
  <si>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4"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</si>
  <si>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4"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</si>
  <si>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</si>
  <si>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</si>
  <si>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</si>
  <si>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</si>
  <si>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</si>
  <si>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4"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</si>
  <si>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</si>
  <si>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4"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</si>
  <si>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</si>
  <si>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4"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</si>
  <si>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4"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</si>
  <si>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</si>
  <si>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</si>
  <si>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</si>
  <si>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</si>
  <si>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</si>
  <si>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</si>
  <si>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</si>
  <si>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4" type="noConversion"/>
  </si>
  <si>
    <r>
      <rPr>
        <sz val="9"/>
        <color theme="1"/>
        <rFont val="맑은 고딕"/>
        <family val="3"/>
        <charset val="129"/>
      </rPr>
      <t>계획진척율</t>
    </r>
    <phoneticPr fontId="4"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</si>
  <si>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4"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</si>
  <si>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</si>
  <si>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</si>
  <si>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</si>
  <si>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</si>
  <si>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</si>
  <si>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</si>
  <si>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</si>
  <si>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</si>
  <si>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</si>
  <si>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4"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</si>
  <si>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</si>
  <si>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4" type="noConversion"/>
  </si>
  <si>
    <r>
      <rPr>
        <sz val="9"/>
        <color theme="1"/>
        <rFont val="맑은 고딕"/>
        <family val="3"/>
        <charset val="129"/>
      </rPr>
      <t>계획작업량</t>
    </r>
    <r>
      <rPr>
        <sz val="9"/>
        <color theme="1"/>
        <rFont val="Calibri"/>
        <family val="2"/>
      </rPr>
      <t>(Man-Day)</t>
    </r>
    <phoneticPr fontId="4"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</si>
  <si>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</si>
  <si>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6"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</si>
  <si>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6"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</si>
  <si>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</si>
  <si>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</si>
  <si>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</si>
  <si>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</si>
  <si>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</si>
  <si>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</si>
  <si>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</si>
  <si>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</si>
  <si>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</si>
  <si>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</si>
  <si>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</si>
  <si>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</si>
  <si>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</si>
  <si>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4"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</si>
  <si>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4"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</si>
  <si>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4"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</si>
  <si>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</si>
  <si>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</si>
  <si>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</si>
  <si>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4"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</si>
  <si>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4"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</si>
  <si>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4"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</si>
  <si>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4"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</si>
  <si>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4" type="noConversion"/>
  </si>
  <si>
    <r>
      <rPr>
        <sz val="9"/>
        <color theme="1"/>
        <rFont val="맑은 고딕"/>
        <family val="3"/>
        <charset val="129"/>
      </rPr>
      <t>퍼플</t>
    </r>
    <phoneticPr fontId="4"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</si>
  <si>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4"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</si>
  <si>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4"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</si>
  <si>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</si>
  <si>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</si>
  <si>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4"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</si>
  <si>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</si>
  <si>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</si>
  <si>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</si>
  <si>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4"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</si>
  <si>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</si>
  <si>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</si>
  <si>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</si>
  <si>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</si>
  <si>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4"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</si>
  <si>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</si>
  <si>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</si>
  <si>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</si>
  <si>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</si>
  <si>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</si>
  <si>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</si>
  <si>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</si>
  <si>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</si>
  <si>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</si>
  <si>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4"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</si>
  <si>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</si>
  <si>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</si>
  <si>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</si>
  <si>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</si>
  <si>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</si>
  <si>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</si>
  <si>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4"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</si>
  <si>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</si>
  <si>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</si>
  <si>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</si>
  <si>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</si>
  <si>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</si>
  <si>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4"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</si>
  <si>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4"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</si>
  <si>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4"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</si>
  <si>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</si>
  <si>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4"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</si>
  <si>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</si>
  <si>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4"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</si>
  <si>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</si>
  <si>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4"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</si>
  <si>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</si>
  <si>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</si>
  <si>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</si>
  <si>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</si>
  <si>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</si>
  <si>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</si>
  <si>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</si>
  <si>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</si>
  <si>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</si>
  <si>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</si>
  <si>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</si>
  <si>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</si>
  <si>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</si>
  <si>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</si>
  <si>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</si>
  <si>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</si>
  <si>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</si>
  <si>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</si>
  <si>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</si>
  <si>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</si>
  <si>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</si>
  <si>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</si>
  <si>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</si>
  <si>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</si>
  <si>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</si>
  <si>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</si>
  <si>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</si>
  <si>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</si>
  <si>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</si>
  <si>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</si>
  <si>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</si>
  <si>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</si>
  <si>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</si>
  <si>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</si>
  <si>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</si>
  <si>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</si>
  <si>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</si>
  <si>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</si>
  <si>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</si>
  <si>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</si>
  <si>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</si>
  <si>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</si>
  <si>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</si>
  <si>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</si>
  <si>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</si>
  <si>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</si>
  <si>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</si>
  <si>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</si>
  <si>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6"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</si>
  <si>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</si>
  <si>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</si>
  <si>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</si>
  <si>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</si>
  <si>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4"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</si>
  <si>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</si>
  <si>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</si>
  <si>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</si>
  <si>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</si>
  <si>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4"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</si>
  <si>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</si>
  <si>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</si>
  <si>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</si>
  <si>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</si>
  <si>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</si>
  <si>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</si>
  <si>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4"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</si>
  <si>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4"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</si>
  <si>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</si>
  <si>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</si>
  <si>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</si>
  <si>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</si>
  <si>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</si>
  <si>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</si>
  <si>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</si>
  <si>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</si>
  <si>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</si>
  <si>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</si>
  <si>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</si>
  <si>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</si>
  <si>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</si>
  <si>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</si>
  <si>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</si>
  <si>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4"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</si>
  <si>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4"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</si>
  <si>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</si>
  <si>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</si>
  <si>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</si>
  <si>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</si>
  <si>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</si>
  <si>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</si>
  <si>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</si>
  <si>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</si>
  <si>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</si>
  <si>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</si>
  <si>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6"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</si>
  <si>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6"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</si>
  <si>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</si>
  <si>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</si>
  <si>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</si>
  <si>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</si>
  <si>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</si>
  <si>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</si>
  <si>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4"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</si>
  <si>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</si>
  <si>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</si>
  <si>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</si>
  <si>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</si>
  <si>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</si>
  <si>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</si>
  <si>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</si>
  <si>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4"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</si>
  <si>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4"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</si>
  <si>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</si>
  <si>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4"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</si>
  <si>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</si>
  <si>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</si>
  <si>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</si>
  <si>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</si>
  <si>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</si>
  <si>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4"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</si>
  <si>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4"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</si>
  <si>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4"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</si>
  <si>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</si>
  <si>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</si>
  <si>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4"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</si>
  <si>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</si>
  <si>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</si>
  <si>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</si>
  <si>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</si>
  <si>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6"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</si>
  <si>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4" type="noConversion"/>
  </si>
  <si>
    <r>
      <t xml:space="preserve">XLGantt Version {} </t>
    </r>
    <r>
      <rPr>
        <sz val="9"/>
        <color theme="1"/>
        <rFont val="맑은 고딕"/>
        <family val="3"/>
        <charset val="129"/>
      </rPr>
      <t>사용조건</t>
    </r>
    <phoneticPr fontId="4"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</si>
  <si>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</si>
  <si>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</si>
  <si>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</si>
  <si>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</si>
  <si>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</si>
  <si>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</si>
  <si>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</si>
  <si>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</si>
  <si>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</si>
  <si>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</si>
  <si>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</si>
  <si>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</si>
  <si>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</si>
  <si>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</si>
  <si>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</si>
  <si>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</si>
  <si>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</si>
  <si>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</si>
  <si>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</si>
  <si>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</si>
  <si>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</si>
  <si>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</si>
  <si>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</si>
  <si>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</si>
  <si>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</si>
  <si>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</si>
  <si>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4" type="noConversion"/>
  </si>
  <si>
    <r>
      <rPr>
        <sz val="9"/>
        <color theme="1"/>
        <rFont val="맑은 고딕"/>
        <family val="3"/>
        <charset val="129"/>
      </rPr>
      <t>요일</t>
    </r>
    <phoneticPr fontId="4"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</si>
  <si>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4"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</si>
  <si>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4" type="noConversion"/>
  </si>
  <si>
    <r>
      <rPr>
        <sz val="9"/>
        <color theme="1"/>
        <rFont val="맑은 고딕"/>
        <family val="3"/>
        <charset val="129"/>
      </rPr>
      <t>왼쪽</t>
    </r>
    <phoneticPr fontId="4" type="noConversion"/>
  </si>
  <si>
    <r>
      <rPr>
        <sz val="9"/>
        <color theme="1"/>
        <rFont val="맑은 고딕"/>
        <family val="3"/>
        <charset val="129"/>
      </rPr>
      <t>가운데</t>
    </r>
    <phoneticPr fontId="4" type="noConversion"/>
  </si>
  <si>
    <r>
      <rPr>
        <sz val="9"/>
        <color theme="1"/>
        <rFont val="맑은 고딕"/>
        <family val="3"/>
        <charset val="129"/>
      </rPr>
      <t>오른쪽</t>
    </r>
    <phoneticPr fontId="4"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</si>
  <si>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4"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</si>
  <si>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4"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</si>
  <si>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4"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</si>
  <si>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4"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</si>
  <si>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</si>
  <si>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4"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</si>
  <si>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</si>
  <si>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4" type="noConversion"/>
  </si>
  <si>
    <t>You can select the workload calculation method.</t>
    <phoneticPr fontId="4" type="noConversion"/>
  </si>
  <si>
    <t>You can set the appearance and color of the XLGantt.</t>
    <phoneticPr fontId="4" type="noConversion"/>
  </si>
  <si>
    <t>작업량 계산 방식을 선택할 수 있다.</t>
    <phoneticPr fontId="4" type="noConversion"/>
  </si>
  <si>
    <t>엑셀간트의 모양과 색상을 지정할 수 있다.</t>
    <phoneticPr fontId="4"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</si>
  <si>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4" type="noConversion"/>
  </si>
  <si>
    <t>https://xlworks.io/xlgantt-howto-14-workloads/</t>
    <phoneticPr fontId="4" type="noConversion"/>
  </si>
  <si>
    <t>https://xlworks.io/xlgantt-howto-15-color-theme/</t>
    <phoneticPr fontId="4" type="noConversion"/>
  </si>
  <si>
    <t>https://xlworks.net/xlgantt-howto-14-workloads/</t>
    <phoneticPr fontId="4" type="noConversion"/>
  </si>
  <si>
    <t>https://xlworks.net/xlgantt-howto-15-color-theme/</t>
    <phoneticPr fontId="4" type="noConversion"/>
  </si>
  <si>
    <t>OG</t>
  </si>
  <si>
    <t>XLGanttFileCalcMode</t>
  </si>
  <si>
    <t>Total</t>
  </si>
  <si>
    <t>pdf</t>
    <phoneticPr fontId="4" type="noConversion"/>
  </si>
  <si>
    <t>C:\Program Files\Adobe\Acrobat DC\Acrobat\acrobat.exe</t>
    <phoneticPr fontId="4" type="noConversion"/>
  </si>
  <si>
    <t>Setting Task Dependencies</t>
    <phoneticPr fontId="4" type="noConversion"/>
  </si>
  <si>
    <t>작업 의존관계 설정</t>
    <phoneticPr fontId="4" type="noConversion"/>
  </si>
  <si>
    <t>You can set the Task Dependencies(FS,SS,FF,SF).</t>
    <phoneticPr fontId="4" type="noConversion"/>
  </si>
  <si>
    <t>https://xlworks.io/xlgantt-howto-16-task-dependencies/</t>
    <phoneticPr fontId="4" type="noConversion"/>
  </si>
  <si>
    <t>https://xlworks.net/xlgantt-howto-16-task-dependencies/</t>
    <phoneticPr fontId="4" type="noConversion"/>
  </si>
  <si>
    <t>작업 의존관계(FS,SS,FF,SF)를 설정할 수 있다.</t>
    <phoneticPr fontId="4" type="noConversion"/>
  </si>
  <si>
    <t>파워포인트</t>
    <phoneticPr fontId="4" type="noConversion"/>
  </si>
  <si>
    <t>자동지정</t>
    <phoneticPr fontId="4" type="noConversion"/>
  </si>
  <si>
    <t>워드</t>
    <phoneticPr fontId="4" type="noConversion"/>
  </si>
  <si>
    <t>엑셀</t>
    <phoneticPr fontId="4"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</si>
  <si>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</si>
  <si>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4"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</si>
  <si>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8" type="noConversion"/>
  </si>
  <si>
    <t>시트 구성</t>
    <phoneticPr fontId="18" type="noConversion"/>
  </si>
  <si>
    <t>작업과 일정을 입력하면 진척율이 계산되며 작업의 일정을 간트차트로 표시해 준다.</t>
    <phoneticPr fontId="4" type="noConversion"/>
  </si>
  <si>
    <t>작업량, 진척율 등을 볼 수 있다.</t>
    <phoneticPr fontId="4" type="noConversion"/>
  </si>
  <si>
    <t>담당별 진행율, Workload등 분석용 Report를 만들어서 보여준다.</t>
    <phoneticPr fontId="4" type="noConversion"/>
  </si>
  <si>
    <t>프로젝트의 휴무일을 설정한다.</t>
    <phoneticPr fontId="4" type="noConversion"/>
  </si>
  <si>
    <t>Workload data를 주별/월별로 만들어 준다. 피벗 등의 기능으로 사용자가 원하는대로 분석을 할 수 있다.</t>
    <phoneticPr fontId="4" type="noConversion"/>
  </si>
  <si>
    <t>(숨겨진 시트) 언어별 번역이 들어 있다.</t>
    <phoneticPr fontId="4" type="noConversion"/>
  </si>
  <si>
    <t>사용법</t>
    <phoneticPr fontId="18" type="noConversion"/>
  </si>
  <si>
    <t>간단 사용법</t>
    <phoneticPr fontId="4" type="noConversion"/>
  </si>
  <si>
    <t>간트차트 표시방법 설정</t>
    <phoneticPr fontId="4" type="noConversion"/>
  </si>
  <si>
    <t>프로젝트 전체 진행상황 파악하기</t>
    <phoneticPr fontId="4" type="noConversion"/>
  </si>
  <si>
    <t>분석 리포트</t>
    <phoneticPr fontId="4" type="noConversion"/>
  </si>
  <si>
    <t>일정계획 변경관리</t>
    <phoneticPr fontId="4" type="noConversion"/>
  </si>
  <si>
    <t>산출물</t>
    <phoneticPr fontId="4" type="noConversion"/>
  </si>
  <si>
    <t>Microsoft Outlook작업, 일정등록</t>
    <phoneticPr fontId="4" type="noConversion"/>
  </si>
  <si>
    <t>다국어 지원</t>
    <phoneticPr fontId="4" type="noConversion"/>
  </si>
  <si>
    <t>다른 파일에서 일정 가져오기</t>
    <phoneticPr fontId="4" type="noConversion"/>
  </si>
  <si>
    <t>Excel기능과 통합</t>
    <phoneticPr fontId="4" type="noConversion"/>
  </si>
  <si>
    <t>작업량 계산</t>
    <phoneticPr fontId="4" type="noConversion"/>
  </si>
  <si>
    <t>WBS영역, 컬러테마 설정</t>
    <phoneticPr fontId="4" type="noConversion"/>
  </si>
  <si>
    <t>기능을 간단히 빨리 익히고 싶으면 “간단 사용법”을 참고한다</t>
    <phoneticPr fontId="4" type="noConversion"/>
  </si>
  <si>
    <t>작업명, 시작일, 완료일, 진척율을 입력하면 휴무일, 가중치를 고려하여 자동으로 작업기간, 계획진척율, 실적진척율 등이 계산된다.</t>
    <phoneticPr fontId="4" type="noConversion"/>
  </si>
  <si>
    <t>Bar chart형태로 간트차트를 보여주며 여러 가지 표시방법을 옵션에서 설정할 수 있다.</t>
    <phoneticPr fontId="4" type="noConversion"/>
  </si>
  <si>
    <t>진척율을 이용하여 프로젝트 전체 진행상황을 파악할 수 있다.</t>
    <phoneticPr fontId="4" type="noConversion"/>
  </si>
  <si>
    <t>프로젝트의 현황을 파악할 수 있는 진행율, Workload 등의 분석 리포트와 분석용 Workload data를 제공한다.</t>
    <phoneticPr fontId="4"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</si>
  <si>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4"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</si>
  <si>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4" type="noConversion"/>
  </si>
  <si>
    <t>엑셀간트에서는 Schedule시트에 입력되어 있는 작업을 Microsoft Outlook에 작업이나 일정으로 등록할 수 있는 기능을 제공한다(단, PC에 Microsoft Outlook이 설치되어 있어야 한다).</t>
    <phoneticPr fontId="4" type="noConversion"/>
  </si>
  <si>
    <t>엑셀간트는 다국어를 지원하는데 프로그램을 수정하지 않고 여러 다국어를 추가할 수 있다. 현재는 한국어, 영어 2개 국어가 추가되어 있다.</t>
    <phoneticPr fontId="4" type="noConversion"/>
  </si>
  <si>
    <t>엑셀간트에서는 엑셀간트(XLGantt) 또는 일반 엑셀파일로 만들어진 일정을 가져오는 기능을 제공한다.</t>
    <phoneticPr fontId="4" type="noConversion"/>
  </si>
  <si>
    <t>한주의 시작요일 지정, 휴무일 설정, 주차표시 기능을 제공한다.
리본메뉴 &gt; XLGantt – Project Scheduler &gt; 옵션 &gt; “Calendar” 탭에서 설정할 수 있다.</t>
    <phoneticPr fontId="4"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</si>
  <si>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4" type="noConversion"/>
  </si>
  <si>
    <t>도움말</t>
    <phoneticPr fontId="4" type="noConversion"/>
  </si>
  <si>
    <t>XLGantt Version 5.0.0 사용조건</t>
    <phoneticPr fontId="4"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</si>
  <si>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4" type="noConversion"/>
  </si>
  <si>
    <t>* 프로젝트 작업량과 진척율을 보여줍니다.</t>
    <phoneticPr fontId="6" type="noConversion"/>
  </si>
  <si>
    <t>* "스케줄업데이트" 버튼 클릭 시 아래 항목이 자동계산됩니다.</t>
    <phoneticPr fontId="6" type="noConversion"/>
  </si>
  <si>
    <t>프로젝트 전체 작업량</t>
    <phoneticPr fontId="6" type="noConversion"/>
  </si>
  <si>
    <t>프로젝트 전체의 작업량을 Man/Day로 표시한다. 가중치를 적용한 값이다.</t>
    <phoneticPr fontId="6" type="noConversion"/>
  </si>
  <si>
    <t>현재일까지 계획된 작업량</t>
    <phoneticPr fontId="6" type="noConversion"/>
  </si>
  <si>
    <t>해당작업의 시작일부터 현재일까지의 작업기간을 의미함(현재 날짜까지 진행되었어야 할 기간)</t>
    <phoneticPr fontId="6" type="noConversion"/>
  </si>
  <si>
    <t>실제 투입된 작업량</t>
    <phoneticPr fontId="6" type="noConversion"/>
  </si>
  <si>
    <t>일정변경 관리할 때 현재까지 실제로 투입된 작업기간을 표시함</t>
    <phoneticPr fontId="6" type="noConversion"/>
  </si>
  <si>
    <t>계획 진척율(A)</t>
    <phoneticPr fontId="6" type="noConversion"/>
  </si>
  <si>
    <t>현재날짜까지 계획된 진척율, WBS의 "계획진척율"의 전체 합계 진척율을 표시함</t>
    <phoneticPr fontId="6" type="noConversion"/>
  </si>
  <si>
    <t>실적 진척율(B)</t>
    <phoneticPr fontId="6" type="noConversion"/>
  </si>
  <si>
    <t>현재날짜까지 실제로 진행된 진척율, WBS의 "실적진척율"의 전체 합계 진척율을 표시함</t>
    <phoneticPr fontId="6" type="noConversion"/>
  </si>
  <si>
    <t>차이(B-A)</t>
    <phoneticPr fontId="6" type="noConversion"/>
  </si>
  <si>
    <t>양수이면 계획보다 빨리 진행, 음수이면 지연</t>
    <phoneticPr fontId="6" type="noConversion"/>
  </si>
  <si>
    <t>시작일</t>
  </si>
  <si>
    <t>완료일</t>
  </si>
  <si>
    <t>(담당자미지정)</t>
  </si>
  <si>
    <t xml:space="preserve"> 프로젝트 휴무일 Calendar 설정</t>
    <phoneticPr fontId="6"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</si>
  <si>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6" type="noConversion"/>
  </si>
  <si>
    <t>표준캘린더</t>
    <phoneticPr fontId="6" type="noConversion"/>
  </si>
  <si>
    <t>사용자정의 캘린더1</t>
    <phoneticPr fontId="6" type="noConversion"/>
  </si>
  <si>
    <t>사용자정의 캘린더2</t>
    <phoneticPr fontId="6" type="noConversion"/>
  </si>
  <si>
    <t>휴무일명</t>
    <phoneticPr fontId="6" type="noConversion"/>
  </si>
  <si>
    <t>휴무일자</t>
    <phoneticPr fontId="6" type="noConversion"/>
  </si>
  <si>
    <t>더 이상 입력불가</t>
    <phoneticPr fontId="6" type="noConversion"/>
  </si>
  <si>
    <t>분석</t>
  </si>
  <si>
    <t>1.1.1</t>
  </si>
  <si>
    <t>1.1.2</t>
  </si>
  <si>
    <t>이지은</t>
  </si>
  <si>
    <t>설계</t>
  </si>
  <si>
    <t>1.2.1</t>
  </si>
  <si>
    <t>1.2.2</t>
  </si>
  <si>
    <t>1.3.1</t>
  </si>
  <si>
    <t>1.3.2</t>
  </si>
  <si>
    <t>홍길동</t>
  </si>
  <si>
    <t>W13</t>
  </si>
  <si>
    <t>1.2</t>
  </si>
  <si>
    <t>1.3</t>
  </si>
  <si>
    <t>프로젝트 관리</t>
  </si>
  <si>
    <t>프로젝트 착수 및 계획수립</t>
  </si>
  <si>
    <t>프로젝트 착수</t>
  </si>
  <si>
    <t>2.1</t>
  </si>
  <si>
    <t>2.1.1</t>
  </si>
  <si>
    <t>2.1.2</t>
  </si>
  <si>
    <t>2.1.2.1</t>
  </si>
  <si>
    <t>2.1.2.2</t>
  </si>
  <si>
    <t>1.1.2.1</t>
  </si>
  <si>
    <t>프로젝트 계획 수립</t>
  </si>
  <si>
    <t>1.1.2.2</t>
  </si>
  <si>
    <t>착수보고(Kick off)</t>
  </si>
  <si>
    <t>프로젝트 수행 및 통제</t>
  </si>
  <si>
    <t>월간보고1</t>
  </si>
  <si>
    <t>월간보고2</t>
  </si>
  <si>
    <t>1.2.3</t>
  </si>
  <si>
    <t>월간보고3</t>
  </si>
  <si>
    <t>1.2.4</t>
  </si>
  <si>
    <t>중간보고</t>
  </si>
  <si>
    <t>종료계획수립</t>
  </si>
  <si>
    <t>시스템 인수인계</t>
  </si>
  <si>
    <t>1.3.3</t>
  </si>
  <si>
    <t>종료보고</t>
  </si>
  <si>
    <t>1.3.4</t>
  </si>
  <si>
    <t>검수 및 종료</t>
  </si>
  <si>
    <t>요구사항정의</t>
  </si>
  <si>
    <t>프로세스모델링</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</si>
  <si>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</si>
  <si>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</si>
  <si>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</si>
  <si>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</si>
  <si>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</si>
  <si>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</si>
  <si>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</si>
  <si>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</si>
  <si>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</si>
  <si>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</si>
  <si>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</si>
  <si>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</si>
  <si>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</si>
  <si>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</si>
  <si>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</si>
  <si>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</si>
  <si>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</si>
  <si>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</si>
  <si>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</si>
  <si>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</si>
  <si>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</si>
  <si>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</si>
  <si>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</si>
  <si>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</si>
  <si>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</si>
  <si>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</si>
  <si>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</si>
  <si>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</si>
  <si>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</si>
  <si>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</si>
  <si>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</si>
  <si>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</si>
  <si>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</si>
  <si>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</si>
  <si>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구현</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</si>
  <si>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</si>
  <si>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</si>
  <si>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</si>
  <si>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</si>
  <si>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</si>
  <si>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</si>
  <si>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</si>
  <si>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</si>
  <si>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</si>
  <si>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</si>
  <si>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</si>
  <si>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</si>
  <si>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</si>
  <si>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</si>
  <si>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</si>
  <si>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W5</t>
  </si>
  <si>
    <t>W9</t>
  </si>
  <si>
    <t>W17</t>
  </si>
  <si>
    <t>W21</t>
  </si>
  <si>
    <t>1;6</t>
  </si>
  <si>
    <t>DEFINED</t>
    <phoneticPr fontId="4" type="noConversion"/>
  </si>
  <si>
    <t>PDF</t>
    <phoneticPr fontId="4"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</si>
  <si>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</si>
  <si>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</si>
  <si>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</si>
  <si>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</si>
  <si>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</si>
  <si>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</si>
  <si>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</si>
  <si>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</si>
  <si>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</si>
  <si>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</si>
  <si>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</si>
  <si>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</si>
  <si>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</si>
  <si>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</si>
  <si>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t>신성통상 차세대 POS 및 키오스크 구축 프로젝트</t>
    <phoneticPr fontId="4" type="noConversion"/>
  </si>
  <si>
    <t>02/16
W8</t>
  </si>
  <si>
    <t>03/16
W12</t>
  </si>
  <si>
    <t>04/13
W16</t>
  </si>
  <si>
    <t>05/11
W20</t>
  </si>
  <si>
    <t>06/08
W24</t>
  </si>
  <si>
    <t>07/06
W28</t>
  </si>
  <si>
    <t>08/03
W32</t>
  </si>
  <si>
    <t>W25</t>
  </si>
  <si>
    <t>08/31
W36</t>
  </si>
  <si>
    <t>W29</t>
  </si>
  <si>
    <t>09/28
W40</t>
  </si>
  <si>
    <t>W33</t>
  </si>
  <si>
    <t>10/26
W44</t>
  </si>
  <si>
    <t>W37</t>
  </si>
  <si>
    <t>11/23
W48</t>
  </si>
  <si>
    <t>W41</t>
  </si>
  <si>
    <t>12/21
W52</t>
  </si>
  <si>
    <t>W45</t>
  </si>
  <si>
    <t>2026
W4</t>
  </si>
  <si>
    <t>W49</t>
  </si>
  <si>
    <t>02/15
W8</t>
  </si>
  <si>
    <t>W53</t>
  </si>
  <si>
    <t xml:space="preserve">문서번호 : </t>
    <phoneticPr fontId="6" type="noConversion"/>
  </si>
  <si>
    <t>Version</t>
    <phoneticPr fontId="6" type="noConversion"/>
  </si>
  <si>
    <t>개정일자</t>
    <phoneticPr fontId="6" type="noConversion"/>
  </si>
  <si>
    <t>작성자</t>
    <phoneticPr fontId="6" type="noConversion"/>
  </si>
  <si>
    <t>오승헌</t>
  </si>
  <si>
    <t>개정 이력</t>
  </si>
  <si>
    <t>버전</t>
  </si>
  <si>
    <t>개정일자</t>
  </si>
  <si>
    <t>[1]개정사유</t>
  </si>
  <si>
    <t>[2]개정내역</t>
  </si>
  <si>
    <t>작성자</t>
  </si>
  <si>
    <t>승인자</t>
  </si>
  <si>
    <t>개정</t>
    <phoneticPr fontId="6" type="noConversion"/>
  </si>
  <si>
    <t>구축일정 작성</t>
    <phoneticPr fontId="6" type="noConversion"/>
  </si>
  <si>
    <t>오승헌</t>
    <phoneticPr fontId="4" type="noConversion"/>
  </si>
  <si>
    <t>[1] 개정 사유: 제정 또는 개정 내용이 이전 문서에 대해 추가/수정/삭제인지 선택 기입</t>
  </si>
  <si>
    <t>[2] 개정 내역: 개정이 발생하는 페이지 번호와 변경 내용을 기술</t>
  </si>
  <si>
    <t>신성통상 차세대 POS 및 키오스크 구축 프로젝트</t>
    <phoneticPr fontId="6" type="noConversion"/>
  </si>
  <si>
    <t>V1.0</t>
    <phoneticPr fontId="6" type="noConversion"/>
  </si>
  <si>
    <t>프로젝트관리 표준수립</t>
  </si>
  <si>
    <t>프로젝트 문서표준 협의/확정</t>
  </si>
  <si>
    <t>프로젝트 산출물 협의/확정</t>
  </si>
  <si>
    <t>프로젝트 범위 정의</t>
  </si>
  <si>
    <t>일정관리 협의/확정</t>
  </si>
  <si>
    <t>보고 및 커뮤니케이션 체계 협의/확정</t>
  </si>
  <si>
    <t>품질관리 협의/확정</t>
  </si>
  <si>
    <t>위험관리 협의/확정</t>
  </si>
  <si>
    <t>정기보고</t>
  </si>
  <si>
    <t>완료보고</t>
  </si>
  <si>
    <t>주간보고</t>
  </si>
  <si>
    <t>1주차 주간보고</t>
  </si>
  <si>
    <t>2주차 주간보고</t>
  </si>
  <si>
    <t>3주차 주간보고</t>
  </si>
  <si>
    <t>4주차 주간보고</t>
  </si>
  <si>
    <t>5주차 주간보고</t>
  </si>
  <si>
    <t>6주차 주간보고</t>
  </si>
  <si>
    <t>7주차 주간보고</t>
  </si>
  <si>
    <t>8주차 주간보고</t>
  </si>
  <si>
    <t>9주차 주간보고</t>
  </si>
  <si>
    <t>10주차 주간보고</t>
  </si>
  <si>
    <t>11주차 주간보고</t>
  </si>
  <si>
    <t>12주차 주간보고</t>
  </si>
  <si>
    <t>13주차 주간보고</t>
  </si>
  <si>
    <t>14주차 주간보고</t>
  </si>
  <si>
    <t>15주차 주간보고</t>
  </si>
  <si>
    <t>16주차 주간보고</t>
  </si>
  <si>
    <t>17주차 주간보고</t>
  </si>
  <si>
    <t>18주차 주간보고</t>
  </si>
  <si>
    <t>19주차 주간보고</t>
  </si>
  <si>
    <t>20주차 주간보고</t>
  </si>
  <si>
    <t>21주차 주간보고</t>
  </si>
  <si>
    <t>22주차 주간보고</t>
  </si>
  <si>
    <t>23주차 주간보고</t>
  </si>
  <si>
    <t>24주차 주간보고</t>
  </si>
  <si>
    <t>25주차 주간보고</t>
  </si>
  <si>
    <t>26주차 주간보고</t>
  </si>
  <si>
    <t>27주차 주간보고</t>
  </si>
  <si>
    <t>28주차 주간보고</t>
  </si>
  <si>
    <t>29주차 주간보고</t>
  </si>
  <si>
    <t>30주차 주간보고</t>
  </si>
  <si>
    <t>31주차 주간보고</t>
  </si>
  <si>
    <t>32주차 주간보고</t>
  </si>
  <si>
    <t>33주차 주간보고</t>
  </si>
  <si>
    <t>34주차 주간보고</t>
  </si>
  <si>
    <t>35주차 주간보고</t>
  </si>
  <si>
    <t>36주차 주간보고</t>
  </si>
  <si>
    <t>37주차 주간보고</t>
  </si>
  <si>
    <t>38주차 주간보고</t>
  </si>
  <si>
    <t>워크샵</t>
  </si>
  <si>
    <t>분석/설계 단계</t>
  </si>
  <si>
    <t>품질 점검</t>
  </si>
  <si>
    <t>착수 가이드</t>
  </si>
  <si>
    <t>착수가이드 설명</t>
  </si>
  <si>
    <t>중간 점검</t>
  </si>
  <si>
    <t>중간점검 계획수립</t>
  </si>
  <si>
    <t>중간점검 수행</t>
  </si>
  <si>
    <t>점검결과 개선</t>
  </si>
  <si>
    <t>오픈 사전 점검</t>
  </si>
  <si>
    <t>오픈 사전 점검 계획수립</t>
  </si>
  <si>
    <t>오픈 사전 테스트 수행</t>
  </si>
  <si>
    <t>오픈 사전 점검 수행</t>
  </si>
  <si>
    <t>시스템 점검</t>
  </si>
  <si>
    <t>소스코드 점검</t>
  </si>
  <si>
    <t>소스점검 수행</t>
  </si>
  <si>
    <t>구성 점검</t>
  </si>
  <si>
    <t>구성진단 계획수립</t>
  </si>
  <si>
    <t>구성진단 수행</t>
  </si>
  <si>
    <t>진단결과 개선</t>
  </si>
  <si>
    <t>보안 점검</t>
  </si>
  <si>
    <t>보안점검 계획수립</t>
  </si>
  <si>
    <t>보안점검 수행</t>
  </si>
  <si>
    <t>성능 점검(인프라)</t>
  </si>
  <si>
    <t>성능테스트 계획수립</t>
  </si>
  <si>
    <t>성능테스트 수행</t>
  </si>
  <si>
    <t>수행결과 조치</t>
  </si>
  <si>
    <t>프로젝트 구축 종료</t>
  </si>
  <si>
    <t>검수</t>
  </si>
  <si>
    <t>검수 요청</t>
  </si>
  <si>
    <t>검수 완료</t>
  </si>
  <si>
    <t xml:space="preserve">전환 Base Line 설정 </t>
  </si>
  <si>
    <t xml:space="preserve">sonarQube, Secure Code 예외처리를 위한 base line  설정 </t>
  </si>
  <si>
    <t>데이터 전환</t>
  </si>
  <si>
    <t xml:space="preserve">전환 계획 수립 </t>
  </si>
  <si>
    <t xml:space="preserve">전환 분석 </t>
  </si>
  <si>
    <t>개발 전환</t>
  </si>
  <si>
    <t>통합테스트</t>
  </si>
  <si>
    <t>1차 통합테스트</t>
  </si>
  <si>
    <t>통합테스트 계획수립 및 환경구성</t>
  </si>
  <si>
    <t>통합테스트 수행</t>
  </si>
  <si>
    <t>테스트결과 조치</t>
  </si>
  <si>
    <t>2차 통합테스트</t>
  </si>
  <si>
    <t xml:space="preserve">성능테스트 계획수립 및 준비 </t>
  </si>
  <si>
    <t>오픈 및 안정화</t>
  </si>
  <si>
    <t>오픈계획 수립 및 환경 구성</t>
  </si>
  <si>
    <t>오픈 실시</t>
  </si>
  <si>
    <t>오픈 안정화</t>
  </si>
  <si>
    <t>오픈 안정화계획 수립</t>
  </si>
  <si>
    <t>안정화 수행</t>
  </si>
  <si>
    <t>인수인계</t>
  </si>
  <si>
    <t xml:space="preserve">인수인계 산출물 작성 </t>
  </si>
  <si>
    <t>인수인계 계획수립</t>
  </si>
  <si>
    <t>인수인계 수행</t>
  </si>
  <si>
    <t>POS 구축</t>
  </si>
  <si>
    <t>시스템 구축</t>
  </si>
  <si>
    <t>키오스크 구축</t>
  </si>
  <si>
    <t>API 구축</t>
  </si>
  <si>
    <t>기획</t>
  </si>
  <si>
    <t>디자인</t>
  </si>
  <si>
    <t>퍼블리싱</t>
  </si>
  <si>
    <t>개발</t>
  </si>
  <si>
    <t>단위테스트</t>
  </si>
  <si>
    <t>설계 (1차)</t>
  </si>
  <si>
    <t>개발 (1차)</t>
  </si>
  <si>
    <t>단위테스트 (1차)</t>
  </si>
  <si>
    <t>설계 (2차)</t>
  </si>
  <si>
    <t>개발 (2차)</t>
  </si>
  <si>
    <t>단위테스트 (2차)</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</si>
  <si>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</si>
  <si>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{"TASK_FIRST_COL":"5","START_ROW":"5","WBS_AREA_LAST_COL":"31"}</t>
    <phoneticPr fontId="4" type="noConversion"/>
  </si>
  <si>
    <t>SCHEDULE_SHEET_POSITION:3545151617181920212223242526272829303132</t>
    <phoneticPr fontId="4" type="noConversion"/>
  </si>
  <si>
    <t>POS관리시스템 구축</t>
  </si>
  <si>
    <t>시작일*</t>
    <phoneticPr fontId="6" type="noConversion"/>
  </si>
  <si>
    <t>완료일*</t>
    <phoneticPr fontId="6" type="noConversion"/>
  </si>
  <si>
    <t>Calendar</t>
    <phoneticPr fontId="6" type="noConversion"/>
  </si>
  <si>
    <t>총_x000D_
작업량</t>
    <phoneticPr fontId="6" type="noConversion"/>
  </si>
  <si>
    <t>계획_x000D_
작업량</t>
    <phoneticPr fontId="6" type="noConversion"/>
  </si>
  <si>
    <t>총_x000D_
기간</t>
    <phoneticPr fontId="6" type="noConversion"/>
  </si>
  <si>
    <t>계획_x000D_
기간</t>
    <phoneticPr fontId="6" type="noConversion"/>
  </si>
  <si>
    <t>실제_x000D_
시작일</t>
    <phoneticPr fontId="6" type="noConversion"/>
  </si>
  <si>
    <t>실제_x000D_
완료일</t>
    <phoneticPr fontId="6" type="noConversion"/>
  </si>
  <si>
    <t>실제_x000D_
총작업량</t>
    <phoneticPr fontId="6" type="noConversion"/>
  </si>
  <si>
    <t>실제_x000D_
총기간</t>
    <phoneticPr fontId="6" type="noConversion"/>
  </si>
  <si>
    <t>가중치</t>
    <phoneticPr fontId="6" type="noConversion"/>
  </si>
  <si>
    <t>담당</t>
    <phoneticPr fontId="6" type="noConversion"/>
  </si>
  <si>
    <t>산출물</t>
    <phoneticPr fontId="6" type="noConversion"/>
  </si>
  <si>
    <t>계획</t>
    <phoneticPr fontId="6" type="noConversion"/>
  </si>
  <si>
    <t>실적*</t>
    <phoneticPr fontId="6" type="noConversion"/>
  </si>
  <si>
    <t>프로젝트 진척율 - 일정변경 관리하지 않을때</t>
    <phoneticPr fontId="6" type="noConversion"/>
  </si>
  <si>
    <t>3차 통합테스트</t>
  </si>
  <si>
    <t>4차 통합테스트</t>
  </si>
  <si>
    <t>1차 오픈</t>
  </si>
  <si>
    <t>2차 오픈</t>
  </si>
  <si>
    <t>3차 오픈</t>
  </si>
  <si>
    <t>운영 전환</t>
  </si>
  <si>
    <t>reserved</t>
    <phoneticPr fontId="6" type="noConversion"/>
  </si>
  <si>
    <t>task_group</t>
    <phoneticPr fontId="6" type="noConversion"/>
  </si>
  <si>
    <t>wbs_level</t>
    <phoneticPr fontId="6" type="noConversion"/>
  </si>
  <si>
    <t>작업*</t>
    <phoneticPr fontId="6" type="noConversion"/>
  </si>
  <si>
    <t>비고</t>
    <phoneticPr fontId="6" type="noConversion"/>
  </si>
  <si>
    <t>실적기성</t>
    <phoneticPr fontId="6" type="noConversion"/>
  </si>
  <si>
    <t>실적기성(총기간 x 총실적진행율)</t>
    <phoneticPr fontId="6" type="noConversion"/>
  </si>
  <si>
    <t>i</t>
  </si>
  <si>
    <t>39주차 주간보고</t>
  </si>
  <si>
    <t>40주차 주간보고</t>
  </si>
  <si>
    <t>41주차 주간보고</t>
  </si>
  <si>
    <t>42주차 주간보고</t>
  </si>
  <si>
    <t>43주차 주간보고</t>
  </si>
  <si>
    <t>44주차 주간보고</t>
  </si>
  <si>
    <t>45주차 주간보고</t>
  </si>
  <si>
    <t>46주차 주간보고</t>
  </si>
  <si>
    <t>47주차 주간보고</t>
  </si>
  <si>
    <t>48주차 주간보고</t>
  </si>
  <si>
    <t>49주차 주간보고</t>
  </si>
  <si>
    <t>50주차 주간보고</t>
  </si>
  <si>
    <t>1차 오픈단계</t>
  </si>
  <si>
    <t>2차 오픈단계</t>
  </si>
  <si>
    <t>3차 오픈단계</t>
  </si>
  <si>
    <t>G</t>
  </si>
  <si>
    <t>1.1.1.1</t>
  </si>
  <si>
    <t>1.1.2.3</t>
  </si>
  <si>
    <t>1.1.2.4</t>
  </si>
  <si>
    <t>1.1.2.5</t>
  </si>
  <si>
    <t>1.1.2.6</t>
  </si>
  <si>
    <t>1.1.2.7</t>
  </si>
  <si>
    <t>1.2.1.1</t>
  </si>
  <si>
    <t>1.2.1.2</t>
  </si>
  <si>
    <t>1.2.1.3</t>
  </si>
  <si>
    <t>1.2.2.1</t>
  </si>
  <si>
    <t>1.2.2.2</t>
  </si>
  <si>
    <t>1.2.2.3</t>
  </si>
  <si>
    <t>1.2.2.4</t>
  </si>
  <si>
    <t>1.2.2.5</t>
  </si>
  <si>
    <t>1.2.2.6</t>
  </si>
  <si>
    <t>1.2.2.7</t>
  </si>
  <si>
    <t>1.2.2.8</t>
  </si>
  <si>
    <t>1.2.2.9</t>
  </si>
  <si>
    <t>1.2.2.10</t>
  </si>
  <si>
    <t>1.2.2.11</t>
  </si>
  <si>
    <t>1.2.2.12</t>
  </si>
  <si>
    <t>1.2.2.13</t>
  </si>
  <si>
    <t>1.2.2.14</t>
  </si>
  <si>
    <t>1.2.2.15</t>
  </si>
  <si>
    <t>1.2.2.16</t>
  </si>
  <si>
    <t>1.2.2.17</t>
  </si>
  <si>
    <t>1.2.2.18</t>
  </si>
  <si>
    <t>1.2.2.19</t>
  </si>
  <si>
    <t>1.2.2.20</t>
  </si>
  <si>
    <t>1.2.2.21</t>
  </si>
  <si>
    <t>1.2.2.22</t>
  </si>
  <si>
    <t>1.2.2.23</t>
  </si>
  <si>
    <t>1.2.2.24</t>
  </si>
  <si>
    <t>1.2.2.25</t>
  </si>
  <si>
    <t>1.2.2.26</t>
  </si>
  <si>
    <t>1.2.2.27</t>
  </si>
  <si>
    <t>1.2.2.28</t>
  </si>
  <si>
    <t>1.2.2.29</t>
  </si>
  <si>
    <t>1.2.2.30</t>
  </si>
  <si>
    <t>1.2.2.31</t>
  </si>
  <si>
    <t>1.2.2.32</t>
  </si>
  <si>
    <t>1.2.2.33</t>
  </si>
  <si>
    <t>1.2.2.34</t>
  </si>
  <si>
    <t>1.2.2.35</t>
  </si>
  <si>
    <t>1.2.2.36</t>
  </si>
  <si>
    <t>1.2.2.37</t>
  </si>
  <si>
    <t>1.2.2.38</t>
  </si>
  <si>
    <t>1.2.2.39</t>
  </si>
  <si>
    <t>1.2.2.40</t>
  </si>
  <si>
    <t>1.2.2.41</t>
  </si>
  <si>
    <t>1.2.2.42</t>
  </si>
  <si>
    <t>1.2.2.43</t>
  </si>
  <si>
    <t>1.2.2.44</t>
  </si>
  <si>
    <t>1.2.2.45</t>
  </si>
  <si>
    <t>1.2.2.46</t>
  </si>
  <si>
    <t>1.2.2.47</t>
  </si>
  <si>
    <t>1.2.2.48</t>
  </si>
  <si>
    <t>1.2.2.49</t>
  </si>
  <si>
    <t>1.2.2.50</t>
  </si>
  <si>
    <t>1.2.3.1</t>
  </si>
  <si>
    <t>1.2.3.2</t>
  </si>
  <si>
    <t>1.2.3.3</t>
  </si>
  <si>
    <t>1.2.3.4</t>
  </si>
  <si>
    <t>1.2.4.1</t>
  </si>
  <si>
    <t>1.2.4.1.1</t>
  </si>
  <si>
    <t>1.2.4.2</t>
  </si>
  <si>
    <t>1.2.4.2.1</t>
  </si>
  <si>
    <t>1.2.4.2.2</t>
  </si>
  <si>
    <t>1.2.4.2.3</t>
  </si>
  <si>
    <t>1.2.4.3</t>
  </si>
  <si>
    <t>1.2.4.3.1</t>
  </si>
  <si>
    <t>1.2.4.3.2</t>
  </si>
  <si>
    <t>1.2.4.3.3</t>
  </si>
  <si>
    <t>1.2.4.3.4</t>
  </si>
  <si>
    <t>1.2.5</t>
  </si>
  <si>
    <t>1.2.5.1</t>
  </si>
  <si>
    <t>1.2.5.1.1</t>
  </si>
  <si>
    <t>1.2.5.1.2</t>
  </si>
  <si>
    <t>1.2.5.2</t>
  </si>
  <si>
    <t>1.2.5.2.1</t>
  </si>
  <si>
    <t>1.2.5.2.2</t>
  </si>
  <si>
    <t>1.2.5.2.3</t>
  </si>
  <si>
    <t>1.2.5.3</t>
  </si>
  <si>
    <t>1.2.5.3.1</t>
  </si>
  <si>
    <t>1.2.5.3.2</t>
  </si>
  <si>
    <t>1.2.5.3.3</t>
  </si>
  <si>
    <t>1.2.5.4</t>
  </si>
  <si>
    <t>1.2.5.4.1</t>
  </si>
  <si>
    <t>1.2.5.4.2</t>
  </si>
  <si>
    <t>1.2.5.4.3</t>
  </si>
  <si>
    <t>1.3.1.1</t>
  </si>
  <si>
    <t>1.3.1.2</t>
  </si>
  <si>
    <t>3.1</t>
  </si>
  <si>
    <t>3.1.1</t>
  </si>
  <si>
    <t>3.1.2</t>
  </si>
  <si>
    <t>3.2</t>
  </si>
  <si>
    <t>3.2.1</t>
  </si>
  <si>
    <t>3.2.2</t>
  </si>
  <si>
    <t>3.3</t>
  </si>
  <si>
    <t>3.3.1</t>
  </si>
  <si>
    <t>3.3.2</t>
  </si>
  <si>
    <t>3.4</t>
  </si>
  <si>
    <t>3.4.1</t>
  </si>
  <si>
    <t>3.4.2</t>
  </si>
  <si>
    <t>4.1</t>
  </si>
  <si>
    <t>4.2</t>
  </si>
  <si>
    <t>4.3</t>
  </si>
  <si>
    <t>2차 성능테스트</t>
  </si>
  <si>
    <t>성능테스트</t>
  </si>
  <si>
    <t>1차 성능테스트</t>
  </si>
  <si>
    <t>3자테스트</t>
  </si>
  <si>
    <t>1차 3자테스트</t>
  </si>
  <si>
    <t xml:space="preserve">3자테스트 계획수립 및 준비 </t>
  </si>
  <si>
    <t>3자테스트 수행</t>
  </si>
  <si>
    <t>2차 3자테스트</t>
  </si>
  <si>
    <t>3차 3자테스트</t>
  </si>
  <si>
    <t>오승헌님</t>
  </si>
  <si>
    <t>착수보고서</t>
  </si>
  <si>
    <t>중간보고서</t>
  </si>
  <si>
    <t>종료보고서</t>
  </si>
  <si>
    <t>주간보고서</t>
  </si>
  <si>
    <t>오픈시나리오</t>
  </si>
  <si>
    <t>분석/설계 산출물</t>
  </si>
  <si>
    <t>오픈계획서</t>
  </si>
  <si>
    <t>서정만님</t>
  </si>
  <si>
    <t>PL</t>
  </si>
  <si>
    <t>검수요청서</t>
  </si>
  <si>
    <t>통합테스트시나리오/결과서</t>
  </si>
  <si>
    <t>3자테스터</t>
  </si>
  <si>
    <t>3자테스트시나리오</t>
  </si>
  <si>
    <t>성능테스트계획서</t>
  </si>
  <si>
    <t>성능테스트결과서</t>
  </si>
  <si>
    <t>성능테스터</t>
  </si>
  <si>
    <t>데이터전환계획서</t>
  </si>
  <si>
    <t>데이터전환결과서</t>
  </si>
  <si>
    <t>안정화계획서</t>
  </si>
  <si>
    <t>SR관리대장</t>
  </si>
  <si>
    <t>개발산출물</t>
  </si>
  <si>
    <t>인수인계계획서/결과서</t>
  </si>
  <si>
    <t>명예지님</t>
  </si>
  <si>
    <t>김보배님</t>
  </si>
  <si>
    <t>클라우드 서비스 요구사항 및 To-Be 방향성 정의</t>
  </si>
  <si>
    <t>분석/설계</t>
  </si>
  <si>
    <t>공통 요구사항 분석</t>
  </si>
  <si>
    <t>어플리케이션(시스템) 요구사항 분석</t>
  </si>
  <si>
    <t>CICD 요구사항 분석</t>
  </si>
  <si>
    <t>Framework 요구사항 분석</t>
  </si>
  <si>
    <t xml:space="preserve">클라우드 아키텍처 </t>
  </si>
  <si>
    <t>구성도 정의 (개발 / 운영 )</t>
  </si>
  <si>
    <t>계정 구성 설계</t>
  </si>
  <si>
    <t>어플리케이션 아키텍처</t>
  </si>
  <si>
    <t>아키텍처 설계</t>
  </si>
  <si>
    <t>어플리케이션(시스템) 설계</t>
  </si>
  <si>
    <t>CICD 설계</t>
  </si>
  <si>
    <t>로깅 설계</t>
  </si>
  <si>
    <t>모니터링 설계</t>
  </si>
  <si>
    <t>구축</t>
  </si>
  <si>
    <t>개발 환경</t>
  </si>
  <si>
    <t>어플리케이션 구성</t>
  </si>
  <si>
    <t>솔루션 연동(SMS/슬랙/이메일)</t>
  </si>
  <si>
    <t>POS 관리시스템 프론트엔드 (신성통상)</t>
  </si>
  <si>
    <t>POS 관리시스템 프론트엔드 (에이션패션)</t>
  </si>
  <si>
    <t>POS 관리시스템 백엔드</t>
  </si>
  <si>
    <t>AWS API 중계 시스템 백엔드</t>
  </si>
  <si>
    <t>Batch 시스템 백엔드</t>
  </si>
  <si>
    <t>온프라미스 API 시스템 백엔드</t>
  </si>
  <si>
    <t>소나큐브 룰셋 적용</t>
  </si>
  <si>
    <t>소나큐브 점검</t>
  </si>
  <si>
    <t xml:space="preserve">클라우드 서비스 구성 </t>
  </si>
  <si>
    <t>네트워크 및 보안 구성</t>
  </si>
  <si>
    <t xml:space="preserve">ECS 구성 </t>
  </si>
  <si>
    <t>Database 구성 (Aurora PostgreSQL)</t>
  </si>
  <si>
    <t>CICD</t>
  </si>
  <si>
    <t>POS 관리시스템 프론트  (신성통상)</t>
  </si>
  <si>
    <t>POS 관리시스템 프론트  (에이션패션)</t>
  </si>
  <si>
    <t>로깅&amp;모니터링</t>
  </si>
  <si>
    <t>제니퍼 구성</t>
  </si>
  <si>
    <t>AWS OpenSearch 구성</t>
  </si>
  <si>
    <t>운영 환경</t>
  </si>
  <si>
    <t xml:space="preserve">모니터링 및 백업 체계 구성 </t>
  </si>
  <si>
    <t>POS/KIOSK 관리시스템 프론트  (신성통상)</t>
  </si>
  <si>
    <t>POS/KIOSK 관리시스템 프론트  (에이션패션)</t>
  </si>
  <si>
    <t>POS/KIOSK 관리시스템 백엔드</t>
  </si>
  <si>
    <t>API 중계 시스템 백엔드</t>
  </si>
  <si>
    <t>영업관리 시스템 백엔드</t>
  </si>
  <si>
    <t>기획분석</t>
  </si>
  <si>
    <t>화면설계서(피그마)</t>
  </si>
  <si>
    <t>디자인설계서(피그마)</t>
  </si>
  <si>
    <t>인프라/아키텍처</t>
  </si>
  <si>
    <t>2.1.1.1</t>
  </si>
  <si>
    <t>2.1.1.2</t>
  </si>
  <si>
    <t>2.1.1.3</t>
  </si>
  <si>
    <t>2.1.1.4</t>
  </si>
  <si>
    <t>2.1.1.5</t>
  </si>
  <si>
    <t>2.1.2.1.1</t>
  </si>
  <si>
    <t>2.1.2.1.2</t>
  </si>
  <si>
    <t>2.1.2.2.1</t>
  </si>
  <si>
    <t>2.1.2.2.2</t>
  </si>
  <si>
    <t>2.1.2.3</t>
  </si>
  <si>
    <t>2.1.2.4</t>
  </si>
  <si>
    <t>2.1.2.5</t>
  </si>
  <si>
    <t>2.2.1.1</t>
  </si>
  <si>
    <t>2.2.1.1.1</t>
  </si>
  <si>
    <t>2.2.1.1.2</t>
  </si>
  <si>
    <t>2.2.1.1.3</t>
  </si>
  <si>
    <t>2.2.1.1.4</t>
  </si>
  <si>
    <t>2.2.1.1.5</t>
  </si>
  <si>
    <t>2.2.1.1.6</t>
  </si>
  <si>
    <t>2.2.1.1.7</t>
  </si>
  <si>
    <t>2.2.1.1.8</t>
  </si>
  <si>
    <t>2.2.1.1.9</t>
  </si>
  <si>
    <t>2.2.1.2</t>
  </si>
  <si>
    <t>2.2.1.2.1</t>
  </si>
  <si>
    <t>2.2.1.2.2</t>
  </si>
  <si>
    <t>2.2.1.2.3</t>
  </si>
  <si>
    <t>2.2.1.3</t>
  </si>
  <si>
    <t>2.2.1.3.1</t>
  </si>
  <si>
    <t>2.2.1.3.2</t>
  </si>
  <si>
    <t>2.2.1.3.3</t>
  </si>
  <si>
    <t>2.2.1.3.4</t>
  </si>
  <si>
    <t>2.2.1.3.5</t>
  </si>
  <si>
    <t>2.2.1.4</t>
  </si>
  <si>
    <t>2.2.1.4.1</t>
  </si>
  <si>
    <t>2.2.1.4.2</t>
  </si>
  <si>
    <t>2.2.2.1.1</t>
  </si>
  <si>
    <t>2.2.2.1.2</t>
  </si>
  <si>
    <t>2.2.2.1.3</t>
  </si>
  <si>
    <t>2.2.2.1.4</t>
  </si>
  <si>
    <t>2.2.2.2.1</t>
  </si>
  <si>
    <t>2.2.2.2.2</t>
  </si>
  <si>
    <t>2.2.2.2.3</t>
  </si>
  <si>
    <t>2.2.2.2.4</t>
  </si>
  <si>
    <t>2.2.2.2.5</t>
  </si>
  <si>
    <t>2.2.2.3.1</t>
  </si>
  <si>
    <t>2.2.2.3.2</t>
  </si>
  <si>
    <t>3.1.3</t>
  </si>
  <si>
    <t>3.1.4</t>
  </si>
  <si>
    <t>3.1.5</t>
  </si>
  <si>
    <t>3.1.6</t>
  </si>
  <si>
    <t>3.1.7</t>
  </si>
  <si>
    <t>3.1.8</t>
  </si>
  <si>
    <t>3.2.3</t>
  </si>
  <si>
    <t>3.2.4</t>
  </si>
  <si>
    <t>3.2.5</t>
  </si>
  <si>
    <t>3.2.6</t>
  </si>
  <si>
    <t>3.2.7</t>
  </si>
  <si>
    <t>3.2.8</t>
  </si>
  <si>
    <t>3.3.3</t>
  </si>
  <si>
    <t>3.3.4</t>
  </si>
  <si>
    <t>3.3.5</t>
  </si>
  <si>
    <t>3.3.6</t>
  </si>
  <si>
    <t>3.4.3</t>
  </si>
  <si>
    <t>3.4.4</t>
  </si>
  <si>
    <t>3.4.5</t>
  </si>
  <si>
    <t>3.4.6</t>
  </si>
  <si>
    <t>3.4.7</t>
  </si>
  <si>
    <t>3.4.8</t>
  </si>
  <si>
    <t>3.4.9</t>
  </si>
  <si>
    <t>3.4.10</t>
  </si>
  <si>
    <t>3.4.11</t>
  </si>
  <si>
    <t>3.5</t>
  </si>
  <si>
    <t>3.5.1</t>
  </si>
  <si>
    <t>3.5.1.1</t>
  </si>
  <si>
    <t>3.5.1.2</t>
  </si>
  <si>
    <t>3.5.1.3</t>
  </si>
  <si>
    <t>3.5.2</t>
  </si>
  <si>
    <t>3.5.2.1</t>
  </si>
  <si>
    <t>3.5.2.2</t>
  </si>
  <si>
    <t>3.5.3</t>
  </si>
  <si>
    <t>3.5.3.1</t>
  </si>
  <si>
    <t>3.5.3.2</t>
  </si>
  <si>
    <t>3.5.3.3</t>
  </si>
  <si>
    <t>3.5.4</t>
  </si>
  <si>
    <t>3.5.4.1</t>
  </si>
  <si>
    <t>3.5.4.2</t>
  </si>
  <si>
    <t>3.6</t>
  </si>
  <si>
    <t>3.6.1</t>
  </si>
  <si>
    <t>3.6.1.1</t>
  </si>
  <si>
    <t>3.6.1.2</t>
  </si>
  <si>
    <t>3.6.1.3</t>
  </si>
  <si>
    <t>3.6.2</t>
  </si>
  <si>
    <t>3.6.2.1</t>
  </si>
  <si>
    <t>3.6.2.2</t>
  </si>
  <si>
    <t>3.6.3</t>
  </si>
  <si>
    <t>3.6.3.1</t>
  </si>
  <si>
    <t>3.6.3.2</t>
  </si>
  <si>
    <t>3.7</t>
  </si>
  <si>
    <t>3.7.1</t>
  </si>
  <si>
    <t>3.7.1.1</t>
  </si>
  <si>
    <t>3.7.1.2</t>
  </si>
  <si>
    <t>3.7.1.3</t>
  </si>
  <si>
    <t>3.7.2</t>
  </si>
  <si>
    <t>3.7.2.1</t>
  </si>
  <si>
    <t>3.7.2.2</t>
  </si>
  <si>
    <t>3.7.2.3</t>
  </si>
  <si>
    <t>3.8</t>
  </si>
  <si>
    <t>3.8.1</t>
  </si>
  <si>
    <t>3.8.2</t>
  </si>
  <si>
    <t>3.8.3</t>
  </si>
  <si>
    <t>3.8.4</t>
  </si>
  <si>
    <t>4.1.1</t>
  </si>
  <si>
    <t>4.1.2</t>
  </si>
  <si>
    <t>4.2.1</t>
  </si>
  <si>
    <t>4.2.2</t>
  </si>
  <si>
    <t>4.3.1</t>
  </si>
  <si>
    <t>4.3.2</t>
  </si>
  <si>
    <t>4.4</t>
  </si>
  <si>
    <t>4.4.1</t>
  </si>
  <si>
    <t>4.4.2</t>
  </si>
  <si>
    <t>5.1</t>
  </si>
  <si>
    <t>5.2</t>
  </si>
  <si>
    <t>5.3</t>
  </si>
  <si>
    <t>2025년 노동절</t>
    <phoneticPr fontId="4" type="noConversion"/>
  </si>
  <si>
    <t>2025년 부처님오신날</t>
    <phoneticPr fontId="4" type="noConversion"/>
  </si>
  <si>
    <t>2025년 삼일절 대체휴일</t>
    <phoneticPr fontId="4" type="noConversion"/>
  </si>
  <si>
    <t>2025년 어린이날 대체휴일</t>
    <phoneticPr fontId="4" type="noConversion"/>
  </si>
  <si>
    <t>2025년 현충일</t>
    <phoneticPr fontId="4" type="noConversion"/>
  </si>
  <si>
    <t>2025년 광복절</t>
    <phoneticPr fontId="4" type="noConversion"/>
  </si>
  <si>
    <t>2025년 개천절</t>
    <phoneticPr fontId="4" type="noConversion"/>
  </si>
  <si>
    <t>2025년 추석</t>
    <phoneticPr fontId="4" type="noConversion"/>
  </si>
  <si>
    <t>2025년 추석 대체휴일</t>
    <phoneticPr fontId="4" type="noConversion"/>
  </si>
  <si>
    <t>2025년 한글날</t>
    <phoneticPr fontId="4" type="noConversion"/>
  </si>
  <si>
    <t>2025년 성탄절</t>
    <phoneticPr fontId="4" type="noConversion"/>
  </si>
  <si>
    <t>2026년 신정</t>
    <phoneticPr fontId="4" type="noConversion"/>
  </si>
  <si>
    <t>2026년 설날</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</si>
</sst>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0.0_);[Red]\(0.0\)"/>
    <numFmt numFmtId="179" formatCode="0.00_);[Red]\(0.00\)"/>
    <numFmt numFmtId="180" formatCode="[$-412]yy/mm/dd\(ddd\)"/>
  </numFmts>
  <fonts count="74">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
      <sz val="11"/>
      <name val="돋움"/>
      <family val="3"/>
      <charset val="129"/>
    </font>
    <font>
      <sz val="12"/>
      <color theme="1" tint="0.499984740745262"/>
      <name val="맑은 고딕"/>
      <family val="3"/>
      <charset val="129"/>
      <scheme val="minor"/>
    </font>
    <font>
      <sz val="10"/>
      <name val="맑은 고딕"/>
      <family val="3"/>
      <charset val="129"/>
      <scheme val="minor"/>
    </font>
    <font>
      <sz val="11"/>
      <color theme="1"/>
      <name val="맑은 고딕"/>
      <family val="3"/>
      <charset val="129"/>
      <scheme val="minor"/>
    </font>
    <font>
      <sz val="10"/>
      <color indexed="12"/>
      <name val="맑은 고딕"/>
      <family val="3"/>
      <charset val="129"/>
      <scheme val="minor"/>
    </font>
    <font>
      <b/>
      <sz val="16"/>
      <name val="맑은 고딕"/>
      <family val="3"/>
      <charset val="129"/>
      <scheme val="minor"/>
    </font>
    <font>
      <b/>
      <sz val="11"/>
      <name val="맑은 고딕"/>
      <family val="3"/>
      <charset val="129"/>
      <scheme val="minor"/>
    </font>
    <font>
      <sz val="9"/>
      <color rgb="FFFF0000"/>
      <name val="맑은 고딕"/>
      <family val="3"/>
      <charset val="129"/>
      <scheme val="minor"/>
    </font>
    <font>
      <b/>
      <sz val="9"/>
      <name val="맑은 고딕"/>
      <family val="2"/>
      <charset val="129"/>
      <scheme val="minor"/>
    </font>
    <font>
      <sz val="9"/>
      <name val="Cambria Math"/>
      <family val="3"/>
    </font>
    <font>
      <b/>
      <sz val="18"/>
      <color theme="1" tint="0.499984740745262"/>
      <name val="HY헤드라인M"/>
      <family val="1"/>
      <charset val="129"/>
    </font>
    <font>
      <sz val="24"/>
      <name val="HY헤드라인M"/>
      <family val="1"/>
      <charset val="129"/>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FFFF00"/>
        <bgColor indexed="64"/>
      </patternFill>
    </fill>
    <fill>
      <patternFill patternType="solid">
        <fgColor indexed="22"/>
        <bgColor indexed="64"/>
      </patternFill>
    </fill>
  </fills>
  <borders count="4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
      <left style="medium">
        <color indexed="23"/>
      </left>
      <right style="thin">
        <color indexed="23"/>
      </right>
      <top style="medium">
        <color indexed="23"/>
      </top>
      <bottom style="thin">
        <color indexed="23"/>
      </bottom>
      <diagonal/>
    </border>
    <border>
      <left style="thin">
        <color indexed="23"/>
      </left>
      <right/>
      <top style="medium">
        <color indexed="23"/>
      </top>
      <bottom style="thin">
        <color indexed="23"/>
      </bottom>
      <diagonal/>
    </border>
    <border>
      <left/>
      <right style="medium">
        <color indexed="23"/>
      </right>
      <top style="medium">
        <color indexed="23"/>
      </top>
      <bottom style="thin">
        <color indexed="23"/>
      </bottom>
      <diagonal/>
    </border>
    <border>
      <left style="medium">
        <color indexed="23"/>
      </left>
      <right style="thin">
        <color indexed="23"/>
      </right>
      <top style="thin">
        <color indexed="23"/>
      </top>
      <bottom style="thin">
        <color indexed="23"/>
      </bottom>
      <diagonal/>
    </border>
    <border>
      <left style="thin">
        <color indexed="23"/>
      </left>
      <right/>
      <top style="thin">
        <color indexed="23"/>
      </top>
      <bottom style="thin">
        <color indexed="23"/>
      </bottom>
      <diagonal/>
    </border>
    <border>
      <left/>
      <right style="medium">
        <color indexed="23"/>
      </right>
      <top style="thin">
        <color indexed="23"/>
      </top>
      <bottom style="thin">
        <color indexed="23"/>
      </bottom>
      <diagonal/>
    </border>
    <border>
      <left style="medium">
        <color indexed="23"/>
      </left>
      <right style="thin">
        <color indexed="23"/>
      </right>
      <top style="thin">
        <color indexed="23"/>
      </top>
      <bottom style="medium">
        <color indexed="23"/>
      </bottom>
      <diagonal/>
    </border>
    <border>
      <left style="thin">
        <color indexed="23"/>
      </left>
      <right/>
      <top style="thin">
        <color indexed="23"/>
      </top>
      <bottom style="medium">
        <color indexed="23"/>
      </bottom>
      <diagonal/>
    </border>
    <border>
      <left/>
      <right style="medium">
        <color indexed="23"/>
      </right>
      <top style="thin">
        <color indexed="23"/>
      </top>
      <bottom style="medium">
        <color indexed="23"/>
      </bottom>
      <diagonal/>
    </border>
  </borders>
  <cellStyleXfs count="9">
    <xf numFmtId="0" fontId="0" fillId="0" borderId="0"/>
    <xf numFmtId="0" fontId="5" fillId="0" borderId="0" applyNumberFormat="0" applyFill="0" applyBorder="0" applyAlignment="0" applyProtection="0"/>
    <xf numFmtId="9" fontId="41" fillId="0" borderId="0" applyFont="0" applyFill="0" applyBorder="0" applyAlignment="0" applyProtection="0">
      <alignment vertical="center"/>
    </xf>
    <xf numFmtId="0" fontId="62" fillId="0" borderId="0">
      <alignment vertical="center"/>
    </xf>
    <xf numFmtId="0" fontId="3" fillId="0" borderId="0">
      <alignment vertical="center"/>
    </xf>
    <xf numFmtId="0" fontId="62" fillId="0" borderId="0"/>
    <xf numFmtId="0" fontId="2" fillId="0" borderId="0">
      <alignment vertical="center"/>
    </xf>
    <xf numFmtId="0" fontId="1" fillId="0" borderId="0">
      <alignment vertical="center"/>
    </xf>
    <xf numFmtId="0" fontId="1" fillId="0" borderId="0">
      <alignment vertical="center"/>
    </xf>
  </cellStyleXfs>
  <cellXfs count="326">
    <xf numFmtId="0" fontId="0" fillId="0" borderId="0" xfId="0"/>
    <xf numFmtId="0" fontId="8" fillId="0" borderId="0" xfId="0" applyFont="1" applyAlignment="1">
      <alignment vertical="center"/>
    </xf>
    <xf numFmtId="0" fontId="7" fillId="0" borderId="0" xfId="0" applyFont="1" applyAlignment="1">
      <alignment vertical="center"/>
    </xf>
    <xf numFmtId="14" fontId="9" fillId="0" borderId="0" xfId="0" applyNumberFormat="1" applyFont="1" applyAlignment="1">
      <alignment vertical="center"/>
    </xf>
    <xf numFmtId="14" fontId="10" fillId="0" borderId="0" xfId="0" applyNumberFormat="1" applyFont="1" applyAlignment="1">
      <alignment vertical="center"/>
    </xf>
    <xf numFmtId="14" fontId="11" fillId="2" borderId="0" xfId="0" quotePrefix="1" applyNumberFormat="1" applyFont="1" applyFill="1"/>
    <xf numFmtId="14" fontId="11" fillId="2" borderId="0" xfId="0" applyNumberFormat="1" applyFont="1" applyFill="1" applyAlignment="1">
      <alignment vertical="center"/>
    </xf>
    <xf numFmtId="0" fontId="11" fillId="2" borderId="0" xfId="0" applyFont="1" applyFill="1"/>
    <xf numFmtId="176" fontId="13" fillId="2" borderId="0" xfId="0" applyNumberFormat="1" applyFont="1" applyFill="1" applyAlignment="1" applyProtection="1">
      <alignment vertical="center"/>
      <protection locked="0"/>
    </xf>
    <xf numFmtId="14" fontId="12" fillId="2" borderId="0" xfId="0" applyNumberFormat="1" applyFont="1" applyFill="1" applyAlignment="1">
      <alignment vertical="center"/>
    </xf>
    <xf numFmtId="14" fontId="11" fillId="0" borderId="6" xfId="0" applyNumberFormat="1" applyFont="1" applyBorder="1" applyAlignment="1" applyProtection="1">
      <alignment vertical="top"/>
      <protection locked="0"/>
    </xf>
    <xf numFmtId="14" fontId="11" fillId="0" borderId="6" xfId="0" applyNumberFormat="1" applyFont="1" applyBorder="1" applyAlignment="1" applyProtection="1">
      <alignment vertical="center"/>
      <protection locked="0"/>
    </xf>
    <xf numFmtId="0" fontId="11" fillId="0" borderId="6" xfId="0" applyFont="1" applyBorder="1" applyAlignment="1" applyProtection="1">
      <alignment vertical="top"/>
      <protection locked="0"/>
    </xf>
    <xf numFmtId="0" fontId="11" fillId="0" borderId="6" xfId="0" applyFont="1" applyBorder="1" applyAlignment="1" applyProtection="1">
      <alignment vertical="center" wrapText="1"/>
      <protection locked="0"/>
    </xf>
    <xf numFmtId="0" fontId="11" fillId="0" borderId="6" xfId="0" applyFont="1" applyBorder="1" applyAlignment="1" applyProtection="1">
      <alignment vertical="center"/>
      <protection locked="0"/>
    </xf>
    <xf numFmtId="0" fontId="11" fillId="0" borderId="0" xfId="0" applyFont="1" applyAlignment="1" applyProtection="1">
      <alignment vertical="top"/>
      <protection locked="0"/>
    </xf>
    <xf numFmtId="14" fontId="14" fillId="0" borderId="0" xfId="0" applyNumberFormat="1" applyFont="1" applyAlignment="1" applyProtection="1">
      <alignment horizontal="right" vertical="top"/>
      <protection locked="0"/>
    </xf>
    <xf numFmtId="179" fontId="11" fillId="4" borderId="7" xfId="0" applyNumberFormat="1" applyFont="1" applyFill="1" applyBorder="1" applyAlignment="1" applyProtection="1">
      <alignment vertical="center"/>
      <protection locked="0"/>
    </xf>
    <xf numFmtId="14" fontId="14" fillId="0" borderId="8" xfId="0" applyNumberFormat="1" applyFont="1" applyBorder="1" applyAlignment="1" applyProtection="1">
      <alignment horizontal="right" vertical="top"/>
      <protection locked="0"/>
    </xf>
    <xf numFmtId="14" fontId="11" fillId="0" borderId="8" xfId="0" applyNumberFormat="1" applyFont="1" applyBorder="1" applyAlignment="1" applyProtection="1">
      <alignment vertical="center"/>
      <protection locked="0"/>
    </xf>
    <xf numFmtId="0" fontId="11" fillId="0" borderId="8" xfId="0" applyFont="1" applyBorder="1" applyAlignment="1" applyProtection="1">
      <alignment vertical="top"/>
      <protection locked="0"/>
    </xf>
    <xf numFmtId="0" fontId="11" fillId="0" borderId="8" xfId="0" applyFont="1" applyBorder="1" applyAlignment="1" applyProtection="1">
      <alignment vertical="center"/>
      <protection locked="0"/>
    </xf>
    <xf numFmtId="14" fontId="14" fillId="0" borderId="0" xfId="0" applyNumberFormat="1" applyFont="1" applyAlignment="1" applyProtection="1">
      <alignment vertical="top"/>
      <protection locked="0"/>
    </xf>
    <xf numFmtId="14" fontId="11" fillId="0" borderId="0" xfId="0" applyNumberFormat="1" applyFont="1" applyAlignment="1" applyProtection="1">
      <alignment vertical="center"/>
      <protection locked="0"/>
    </xf>
    <xf numFmtId="0" fontId="11" fillId="0" borderId="9" xfId="0" applyFont="1" applyBorder="1" applyAlignment="1" applyProtection="1">
      <alignment vertical="center" wrapText="1"/>
      <protection locked="0"/>
    </xf>
    <xf numFmtId="14" fontId="11" fillId="0" borderId="0" xfId="0" applyNumberFormat="1" applyFont="1" applyAlignment="1" applyProtection="1">
      <alignment vertical="top"/>
      <protection locked="0"/>
    </xf>
    <xf numFmtId="14" fontId="14" fillId="0" borderId="8" xfId="0" applyNumberFormat="1" applyFont="1" applyBorder="1" applyAlignment="1" applyProtection="1">
      <alignment vertical="top"/>
      <protection locked="0"/>
    </xf>
    <xf numFmtId="0" fontId="11" fillId="0" borderId="8" xfId="0" applyFont="1" applyBorder="1" applyAlignment="1" applyProtection="1">
      <alignment vertical="center" wrapText="1"/>
      <protection locked="0"/>
    </xf>
    <xf numFmtId="14" fontId="14" fillId="0" borderId="9" xfId="0" applyNumberFormat="1" applyFont="1" applyBorder="1" applyAlignment="1" applyProtection="1">
      <alignment vertical="center" wrapText="1"/>
      <protection locked="0"/>
    </xf>
    <xf numFmtId="14" fontId="14" fillId="0" borderId="0" xfId="0" applyNumberFormat="1" applyFont="1" applyAlignment="1" applyProtection="1">
      <alignment horizontal="right" vertical="center" wrapText="1"/>
      <protection locked="0"/>
    </xf>
    <xf numFmtId="14" fontId="14" fillId="0" borderId="8" xfId="0" applyNumberFormat="1" applyFont="1" applyBorder="1" applyAlignment="1" applyProtection="1">
      <alignment vertical="center" wrapText="1"/>
      <protection locked="0"/>
    </xf>
    <xf numFmtId="0" fontId="11" fillId="0" borderId="8" xfId="0" applyFont="1" applyBorder="1" applyProtection="1">
      <protection locked="0"/>
    </xf>
    <xf numFmtId="0" fontId="11" fillId="0" borderId="0" xfId="0" applyFont="1" applyProtection="1">
      <protection locked="0"/>
    </xf>
    <xf numFmtId="14" fontId="11" fillId="0" borderId="0" xfId="0" applyNumberFormat="1" applyFont="1" applyProtection="1">
      <protection locked="0"/>
    </xf>
    <xf numFmtId="14" fontId="11" fillId="0" borderId="9" xfId="0" applyNumberFormat="1" applyFont="1" applyBorder="1" applyAlignment="1" applyProtection="1">
      <alignment vertical="center"/>
      <protection locked="0"/>
    </xf>
    <xf numFmtId="0" fontId="11" fillId="0" borderId="9" xfId="0" applyFont="1" applyBorder="1" applyProtection="1">
      <protection locked="0"/>
    </xf>
    <xf numFmtId="14" fontId="11" fillId="0" borderId="10" xfId="0" applyNumberFormat="1" applyFont="1" applyBorder="1" applyAlignment="1" applyProtection="1">
      <alignment vertical="center"/>
      <protection locked="0"/>
    </xf>
    <xf numFmtId="0" fontId="11" fillId="0" borderId="10" xfId="0" applyFont="1" applyBorder="1" applyAlignment="1" applyProtection="1">
      <alignment vertical="top"/>
      <protection locked="0"/>
    </xf>
    <xf numFmtId="14" fontId="14" fillId="0" borderId="9" xfId="0" applyNumberFormat="1" applyFont="1" applyBorder="1" applyProtection="1">
      <protection locked="0"/>
    </xf>
    <xf numFmtId="10" fontId="11" fillId="4" borderId="7" xfId="0" applyNumberFormat="1" applyFont="1" applyFill="1" applyBorder="1" applyAlignment="1" applyProtection="1">
      <alignment vertical="center"/>
      <protection locked="0"/>
    </xf>
    <xf numFmtId="14" fontId="14" fillId="0" borderId="10" xfId="0" applyNumberFormat="1" applyFont="1" applyBorder="1" applyAlignment="1" applyProtection="1">
      <alignment horizontal="right" vertical="top"/>
      <protection locked="0"/>
    </xf>
    <xf numFmtId="14" fontId="14" fillId="0" borderId="6" xfId="0" applyNumberFormat="1" applyFont="1" applyBorder="1" applyAlignment="1" applyProtection="1">
      <alignment horizontal="right" vertical="top"/>
      <protection locked="0"/>
    </xf>
    <xf numFmtId="14" fontId="14" fillId="0" borderId="11" xfId="0" applyNumberFormat="1" applyFont="1" applyBorder="1" applyAlignment="1" applyProtection="1">
      <alignment horizontal="right" vertical="top"/>
      <protection locked="0"/>
    </xf>
    <xf numFmtId="14" fontId="11" fillId="0" borderId="11" xfId="0" applyNumberFormat="1" applyFont="1" applyBorder="1" applyAlignment="1" applyProtection="1">
      <alignment vertical="center"/>
      <protection locked="0"/>
    </xf>
    <xf numFmtId="0" fontId="11" fillId="0" borderId="11" xfId="0" applyFont="1" applyBorder="1" applyAlignment="1" applyProtection="1">
      <alignment vertical="top"/>
      <protection locked="0"/>
    </xf>
    <xf numFmtId="14" fontId="14" fillId="0" borderId="12" xfId="0" applyNumberFormat="1" applyFont="1" applyBorder="1" applyAlignment="1" applyProtection="1">
      <alignment vertical="top"/>
      <protection locked="0"/>
    </xf>
    <xf numFmtId="14" fontId="11" fillId="0" borderId="12" xfId="0" applyNumberFormat="1" applyFont="1" applyBorder="1" applyAlignment="1" applyProtection="1">
      <alignment vertical="center"/>
      <protection locked="0"/>
    </xf>
    <xf numFmtId="0" fontId="11" fillId="0" borderId="12" xfId="0" applyFont="1" applyBorder="1" applyAlignment="1" applyProtection="1">
      <alignment vertical="top"/>
      <protection locked="0"/>
    </xf>
    <xf numFmtId="0" fontId="11" fillId="0" borderId="9" xfId="0" applyFont="1" applyBorder="1" applyAlignment="1" applyProtection="1">
      <alignment vertical="center"/>
      <protection locked="0"/>
    </xf>
    <xf numFmtId="10" fontId="11" fillId="4" borderId="7" xfId="0" applyNumberFormat="1" applyFont="1" applyFill="1" applyBorder="1" applyAlignment="1">
      <alignment vertical="center"/>
    </xf>
    <xf numFmtId="14" fontId="11" fillId="0" borderId="13" xfId="0" applyNumberFormat="1" applyFont="1" applyBorder="1" applyAlignment="1" applyProtection="1">
      <alignment horizontal="right" vertical="top"/>
      <protection locked="0"/>
    </xf>
    <xf numFmtId="14" fontId="11" fillId="0" borderId="13" xfId="0" applyNumberFormat="1" applyFont="1" applyBorder="1" applyAlignment="1" applyProtection="1">
      <alignment vertical="center"/>
      <protection locked="0"/>
    </xf>
    <xf numFmtId="0" fontId="11" fillId="0" borderId="13" xfId="0" applyFont="1" applyBorder="1" applyAlignment="1" applyProtection="1">
      <alignment vertical="top"/>
      <protection locked="0"/>
    </xf>
    <xf numFmtId="0" fontId="11" fillId="0" borderId="13" xfId="0" applyFont="1" applyBorder="1" applyAlignment="1" applyProtection="1">
      <alignment vertical="center"/>
      <protection locked="0"/>
    </xf>
    <xf numFmtId="14" fontId="10" fillId="0" borderId="0" xfId="0" applyNumberFormat="1" applyFont="1" applyAlignment="1" applyProtection="1">
      <alignment vertical="top"/>
      <protection locked="0"/>
    </xf>
    <xf numFmtId="14" fontId="10" fillId="0" borderId="0" xfId="0" applyNumberFormat="1" applyFont="1" applyAlignment="1" applyProtection="1">
      <alignment vertical="center"/>
      <protection locked="0"/>
    </xf>
    <xf numFmtId="0" fontId="10" fillId="0" borderId="0" xfId="0" applyFont="1" applyAlignment="1" applyProtection="1">
      <alignment vertical="top"/>
      <protection locked="0"/>
    </xf>
    <xf numFmtId="14" fontId="10" fillId="0" borderId="0" xfId="0" applyNumberFormat="1" applyFont="1" applyProtection="1">
      <protection locked="0"/>
    </xf>
    <xf numFmtId="179" fontId="10" fillId="0" borderId="0" xfId="0" applyNumberFormat="1" applyFont="1" applyAlignment="1" applyProtection="1">
      <alignment vertical="center"/>
      <protection locked="0"/>
    </xf>
    <xf numFmtId="0" fontId="10" fillId="0" borderId="0" xfId="0" applyFont="1" applyProtection="1">
      <protection locked="0"/>
    </xf>
    <xf numFmtId="1" fontId="10" fillId="0" borderId="0" xfId="0" applyNumberFormat="1" applyFont="1" applyAlignment="1" applyProtection="1">
      <alignment vertical="center"/>
      <protection locked="0"/>
    </xf>
    <xf numFmtId="176" fontId="10" fillId="0" borderId="0" xfId="0" applyNumberFormat="1" applyFont="1" applyAlignment="1" applyProtection="1">
      <alignment vertical="center"/>
      <protection locked="0"/>
    </xf>
    <xf numFmtId="0" fontId="10" fillId="5" borderId="1" xfId="0" applyFont="1" applyFill="1" applyBorder="1" applyAlignment="1">
      <alignment horizontal="left" wrapText="1"/>
    </xf>
    <xf numFmtId="14" fontId="10" fillId="0" borderId="0" xfId="0" applyNumberFormat="1" applyFont="1"/>
    <xf numFmtId="14" fontId="10" fillId="2" borderId="0" xfId="0" applyNumberFormat="1" applyFont="1" applyFill="1" applyAlignment="1">
      <alignment vertical="top"/>
    </xf>
    <xf numFmtId="14" fontId="16" fillId="3" borderId="14" xfId="0" applyNumberFormat="1" applyFont="1" applyFill="1" applyBorder="1" applyAlignment="1">
      <alignment horizontal="center" vertical="center"/>
    </xf>
    <xf numFmtId="14" fontId="10" fillId="0" borderId="0" xfId="0" applyNumberFormat="1" applyFont="1" applyAlignment="1">
      <alignment horizontal="center" vertical="center"/>
    </xf>
    <xf numFmtId="0" fontId="11" fillId="7" borderId="15" xfId="0" applyFont="1" applyFill="1" applyBorder="1" applyAlignment="1">
      <alignment horizontal="left" vertical="top"/>
    </xf>
    <xf numFmtId="0" fontId="11" fillId="0" borderId="0" xfId="0" applyFont="1" applyAlignment="1">
      <alignment horizontal="left" vertical="top"/>
    </xf>
    <xf numFmtId="0" fontId="11" fillId="0" borderId="0" xfId="0" applyFont="1" applyAlignment="1">
      <alignment vertical="top"/>
    </xf>
    <xf numFmtId="14" fontId="11" fillId="0" borderId="0" xfId="0" applyNumberFormat="1" applyFont="1" applyAlignment="1">
      <alignment horizontal="left" vertical="top"/>
    </xf>
    <xf numFmtId="22" fontId="11" fillId="0" borderId="0" xfId="0" applyNumberFormat="1" applyFont="1" applyAlignment="1">
      <alignment horizontal="left" vertical="top"/>
    </xf>
    <xf numFmtId="0" fontId="10" fillId="5" borderId="2" xfId="0" applyFont="1" applyFill="1" applyBorder="1" applyAlignment="1">
      <alignment horizontal="left" wrapText="1"/>
    </xf>
    <xf numFmtId="0" fontId="10" fillId="0" borderId="0" xfId="0" applyFont="1"/>
    <xf numFmtId="14" fontId="19" fillId="6"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0" applyNumberFormat="1" applyFont="1"/>
    <xf numFmtId="0" fontId="22" fillId="0" borderId="0" xfId="0" applyFont="1"/>
    <xf numFmtId="14" fontId="19" fillId="0" borderId="14" xfId="0" applyNumberFormat="1" applyFont="1" applyBorder="1"/>
    <xf numFmtId="0" fontId="24" fillId="0" borderId="0" xfId="0" applyFont="1"/>
    <xf numFmtId="0" fontId="11" fillId="0" borderId="0" xfId="0" applyFont="1" applyAlignment="1" applyProtection="1">
      <alignment horizontal="center"/>
      <protection locked="0"/>
    </xf>
    <xf numFmtId="0" fontId="25" fillId="0" borderId="0" xfId="0" applyFont="1" applyAlignment="1" applyProtection="1">
      <alignment horizontal="center"/>
      <protection locked="0"/>
    </xf>
    <xf numFmtId="0" fontId="26" fillId="0" borderId="0" xfId="0" applyFont="1" applyProtection="1">
      <protection locked="0"/>
    </xf>
    <xf numFmtId="0" fontId="11" fillId="0" borderId="0" xfId="0" applyFont="1" applyAlignment="1" applyProtection="1">
      <alignment vertical="center"/>
      <protection locked="0"/>
    </xf>
    <xf numFmtId="0" fontId="27" fillId="11" borderId="17" xfId="1" applyFont="1" applyFill="1" applyBorder="1" applyAlignment="1" applyProtection="1">
      <alignment horizontal="center" vertical="center" wrapText="1"/>
      <protection locked="0"/>
    </xf>
    <xf numFmtId="0" fontId="27" fillId="10" borderId="17" xfId="1" applyFont="1" applyFill="1" applyBorder="1" applyAlignment="1" applyProtection="1">
      <alignment horizontal="center" vertical="center" wrapText="1"/>
      <protection locked="0"/>
    </xf>
    <xf numFmtId="0" fontId="27" fillId="12" borderId="17" xfId="1" applyFont="1" applyFill="1" applyBorder="1" applyAlignment="1" applyProtection="1">
      <alignment horizontal="center" vertical="center" wrapText="1"/>
      <protection locked="0"/>
    </xf>
    <xf numFmtId="0" fontId="27" fillId="13" borderId="17" xfId="1" applyFont="1" applyFill="1" applyBorder="1" applyAlignment="1" applyProtection="1">
      <alignment horizontal="center" vertical="center" wrapText="1"/>
      <protection locked="0"/>
    </xf>
    <xf numFmtId="0" fontId="27" fillId="9" borderId="17" xfId="1" applyFont="1" applyFill="1" applyBorder="1" applyAlignment="1" applyProtection="1">
      <alignment horizontal="center" vertical="center" wrapText="1"/>
      <protection locked="0"/>
    </xf>
    <xf numFmtId="0" fontId="28" fillId="9" borderId="17" xfId="1" applyFont="1" applyFill="1" applyBorder="1" applyAlignment="1" applyProtection="1">
      <alignment horizontal="center" vertical="center" wrapText="1"/>
      <protection locked="0"/>
    </xf>
    <xf numFmtId="0" fontId="24" fillId="0" borderId="0" xfId="0" applyFont="1" applyAlignment="1">
      <alignment vertical="center"/>
    </xf>
    <xf numFmtId="0" fontId="24" fillId="0" borderId="0" xfId="0" applyFont="1" applyAlignment="1">
      <alignment horizontal="center" vertical="center"/>
    </xf>
    <xf numFmtId="0" fontId="10" fillId="0" borderId="0" xfId="0" applyFont="1" applyAlignment="1">
      <alignment vertical="center"/>
    </xf>
    <xf numFmtId="0" fontId="29" fillId="0" borderId="0" xfId="0" applyFont="1" applyAlignment="1" applyProtection="1">
      <alignment horizontal="center"/>
      <protection locked="0"/>
    </xf>
    <xf numFmtId="0" fontId="28" fillId="8" borderId="17" xfId="1" applyFont="1" applyFill="1" applyBorder="1" applyAlignment="1" applyProtection="1">
      <alignment horizontal="center" vertical="center" wrapText="1"/>
      <protection locked="0"/>
    </xf>
    <xf numFmtId="0" fontId="26" fillId="0" borderId="0" xfId="0" applyFont="1" applyAlignment="1" applyProtection="1">
      <alignment horizontal="center"/>
      <protection locked="0"/>
    </xf>
    <xf numFmtId="0" fontId="29" fillId="14" borderId="0" xfId="0" applyFont="1" applyFill="1" applyAlignment="1" applyProtection="1">
      <alignment horizontal="left"/>
      <protection locked="0"/>
    </xf>
    <xf numFmtId="0" fontId="11" fillId="14" borderId="0" xfId="0" applyFont="1" applyFill="1" applyProtection="1">
      <protection locked="0"/>
    </xf>
    <xf numFmtId="0" fontId="26" fillId="14" borderId="0" xfId="0" applyFont="1" applyFill="1" applyProtection="1">
      <protection locked="0"/>
    </xf>
    <xf numFmtId="0" fontId="11" fillId="14" borderId="0" xfId="0" applyFont="1" applyFill="1" applyAlignment="1" applyProtection="1">
      <alignment vertical="center"/>
      <protection locked="0"/>
    </xf>
    <xf numFmtId="0" fontId="24" fillId="0" borderId="0" xfId="0" applyFont="1" applyAlignment="1">
      <alignment horizontal="center"/>
    </xf>
    <xf numFmtId="0" fontId="5" fillId="0" borderId="18" xfId="1" applyFill="1" applyBorder="1" applyAlignment="1" applyProtection="1">
      <alignment horizontal="center" vertical="center" wrapText="1"/>
      <protection locked="0"/>
    </xf>
    <xf numFmtId="14" fontId="10"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10" fontId="10" fillId="0" borderId="0" xfId="0" applyNumberFormat="1" applyFont="1" applyAlignment="1" applyProtection="1">
      <alignment horizontal="left"/>
      <protection locked="0"/>
    </xf>
    <xf numFmtId="0" fontId="10" fillId="0" borderId="0" xfId="0" quotePrefix="1" applyFont="1" applyAlignment="1" applyProtection="1">
      <alignment horizontal="left"/>
      <protection locked="0"/>
    </xf>
    <xf numFmtId="0" fontId="10" fillId="0" borderId="0" xfId="0" applyFont="1" applyAlignment="1" applyProtection="1">
      <alignment horizontal="center"/>
      <protection locked="0"/>
    </xf>
    <xf numFmtId="10" fontId="10" fillId="0" borderId="0" xfId="0" applyNumberFormat="1" applyFont="1" applyAlignment="1" applyProtection="1">
      <alignment horizontal="center"/>
      <protection locked="0"/>
    </xf>
    <xf numFmtId="0" fontId="24" fillId="19" borderId="20" xfId="0" applyFont="1" applyFill="1" applyBorder="1" applyAlignment="1">
      <alignment vertical="center"/>
    </xf>
    <xf numFmtId="0" fontId="21" fillId="0" borderId="5" xfId="0" applyFont="1" applyBorder="1" applyAlignment="1" applyProtection="1">
      <alignment vertical="top"/>
      <protection locked="0"/>
    </xf>
    <xf numFmtId="0" fontId="21" fillId="0" borderId="5" xfId="0" applyFont="1" applyBorder="1" applyAlignment="1" applyProtection="1">
      <alignment horizontal="center" vertical="top"/>
      <protection locked="0"/>
    </xf>
    <xf numFmtId="0" fontId="21" fillId="0" borderId="5" xfId="0" applyFont="1" applyBorder="1" applyAlignment="1" applyProtection="1">
      <alignment horizontal="left" vertical="top"/>
      <protection locked="0"/>
    </xf>
    <xf numFmtId="178" fontId="21" fillId="0" borderId="5" xfId="0" applyNumberFormat="1" applyFont="1" applyBorder="1" applyAlignment="1" applyProtection="1">
      <alignment horizontal="center" vertical="top"/>
      <protection locked="0"/>
    </xf>
    <xf numFmtId="177" fontId="21" fillId="0" borderId="5" xfId="0" applyNumberFormat="1" applyFont="1" applyBorder="1" applyAlignment="1" applyProtection="1">
      <alignment horizontal="center" vertical="top"/>
      <protection locked="0"/>
    </xf>
    <xf numFmtId="1" fontId="21" fillId="0" borderId="5" xfId="0" applyNumberFormat="1" applyFont="1" applyBorder="1" applyAlignment="1" applyProtection="1">
      <alignment horizontal="center" vertical="top"/>
      <protection locked="0"/>
    </xf>
    <xf numFmtId="14" fontId="21" fillId="0" borderId="5" xfId="0" applyNumberFormat="1" applyFont="1" applyBorder="1" applyAlignment="1" applyProtection="1">
      <alignment horizontal="left" vertical="top"/>
      <protection locked="0"/>
    </xf>
    <xf numFmtId="10" fontId="21" fillId="0" borderId="5" xfId="0" applyNumberFormat="1" applyFont="1" applyBorder="1" applyAlignment="1" applyProtection="1">
      <alignment horizontal="right" vertical="top" wrapText="1"/>
      <protection locked="0"/>
    </xf>
    <xf numFmtId="10" fontId="21" fillId="0" borderId="5" xfId="0" applyNumberFormat="1" applyFont="1" applyBorder="1" applyAlignment="1" applyProtection="1">
      <alignment horizontal="right" vertical="top"/>
      <protection locked="0"/>
    </xf>
    <xf numFmtId="0" fontId="21" fillId="0" borderId="24" xfId="0" applyFont="1" applyBorder="1" applyAlignment="1" applyProtection="1">
      <alignment vertical="top"/>
      <protection locked="0"/>
    </xf>
    <xf numFmtId="0" fontId="21" fillId="0" borderId="24" xfId="0" applyFont="1" applyBorder="1" applyAlignment="1" applyProtection="1">
      <alignment horizontal="center" vertical="top"/>
      <protection locked="0"/>
    </xf>
    <xf numFmtId="0" fontId="21" fillId="0" borderId="24" xfId="0" applyFont="1" applyBorder="1" applyAlignment="1" applyProtection="1">
      <alignment horizontal="left" vertical="top"/>
      <protection locked="0"/>
    </xf>
    <xf numFmtId="178" fontId="21" fillId="0" borderId="24" xfId="0" applyNumberFormat="1" applyFont="1" applyBorder="1" applyAlignment="1" applyProtection="1">
      <alignment horizontal="center" vertical="top"/>
      <protection locked="0"/>
    </xf>
    <xf numFmtId="177" fontId="21" fillId="0" borderId="24" xfId="0" applyNumberFormat="1" applyFont="1" applyBorder="1" applyAlignment="1" applyProtection="1">
      <alignment horizontal="center" vertical="top"/>
      <protection locked="0"/>
    </xf>
    <xf numFmtId="1" fontId="21" fillId="0" borderId="24" xfId="0" applyNumberFormat="1" applyFont="1" applyBorder="1" applyAlignment="1" applyProtection="1">
      <alignment horizontal="center" vertical="top"/>
      <protection locked="0"/>
    </xf>
    <xf numFmtId="14" fontId="21" fillId="0" borderId="24" xfId="0" applyNumberFormat="1" applyFont="1" applyBorder="1" applyAlignment="1" applyProtection="1">
      <alignment horizontal="left" vertical="top"/>
      <protection locked="0"/>
    </xf>
    <xf numFmtId="10" fontId="21" fillId="0" borderId="24" xfId="0" applyNumberFormat="1" applyFont="1" applyBorder="1" applyAlignment="1" applyProtection="1">
      <alignment horizontal="right" vertical="top" wrapText="1"/>
      <protection locked="0"/>
    </xf>
    <xf numFmtId="10" fontId="21" fillId="0" borderId="24" xfId="0" applyNumberFormat="1" applyFont="1" applyBorder="1" applyAlignment="1" applyProtection="1">
      <alignment horizontal="right" vertical="top"/>
      <protection locked="0"/>
    </xf>
    <xf numFmtId="0" fontId="11" fillId="21" borderId="0" xfId="0" applyFont="1" applyFill="1" applyAlignment="1">
      <alignment vertical="top"/>
    </xf>
    <xf numFmtId="0" fontId="11" fillId="21" borderId="0" xfId="0" applyFont="1" applyFill="1" applyAlignment="1">
      <alignment horizontal="left" vertical="top"/>
    </xf>
    <xf numFmtId="0" fontId="49" fillId="3" borderId="1" xfId="0" applyFont="1" applyFill="1" applyBorder="1" applyAlignment="1">
      <alignment horizontal="center" vertical="center"/>
    </xf>
    <xf numFmtId="0" fontId="49" fillId="3" borderId="1" xfId="0" applyFont="1" applyFill="1" applyBorder="1" applyAlignment="1">
      <alignment horizontal="center" vertical="center" wrapText="1"/>
    </xf>
    <xf numFmtId="0" fontId="50" fillId="0" borderId="0" xfId="0" applyFont="1" applyAlignment="1">
      <alignment vertical="top"/>
    </xf>
    <xf numFmtId="0" fontId="50" fillId="0" borderId="0" xfId="0" applyFont="1" applyAlignment="1">
      <alignment horizontal="center" vertical="top"/>
    </xf>
    <xf numFmtId="0" fontId="51" fillId="0" borderId="0" xfId="0" applyFont="1" applyAlignment="1">
      <alignment vertical="top"/>
    </xf>
    <xf numFmtId="0" fontId="50" fillId="0" borderId="0" xfId="0" applyFont="1" applyAlignment="1">
      <alignment vertical="top" wrapText="1"/>
    </xf>
    <xf numFmtId="0" fontId="50" fillId="0" borderId="0" xfId="0" applyFont="1" applyAlignment="1">
      <alignment horizontal="left" vertical="top" wrapText="1"/>
    </xf>
    <xf numFmtId="0" fontId="50" fillId="0" borderId="0" xfId="0" applyFont="1" applyAlignment="1">
      <alignment horizontal="left" vertical="top"/>
    </xf>
    <xf numFmtId="0" fontId="51" fillId="0" borderId="0" xfId="0" applyFont="1" applyAlignment="1">
      <alignment horizontal="left" vertical="top"/>
    </xf>
    <xf numFmtId="14" fontId="50" fillId="0" borderId="0" xfId="0" applyNumberFormat="1" applyFont="1" applyAlignment="1">
      <alignment horizontal="left" vertical="top" wrapText="1"/>
    </xf>
    <xf numFmtId="0" fontId="50" fillId="0" borderId="0" xfId="0" applyFont="1"/>
    <xf numFmtId="0" fontId="48" fillId="0" borderId="0" xfId="0" applyFont="1" applyAlignment="1">
      <alignment horizontal="left" vertical="top"/>
    </xf>
    <xf numFmtId="0" fontId="51" fillId="0" borderId="0" xfId="0" applyFont="1" applyAlignment="1">
      <alignment horizontal="left" vertical="top" wrapText="1"/>
    </xf>
    <xf numFmtId="0" fontId="53" fillId="8" borderId="17" xfId="1" applyFont="1" applyFill="1" applyBorder="1" applyAlignment="1" applyProtection="1">
      <alignment horizontal="center" vertical="center" wrapText="1"/>
      <protection locked="0"/>
    </xf>
    <xf numFmtId="0" fontId="17" fillId="21" borderId="0" xfId="0" applyFont="1" applyFill="1"/>
    <xf numFmtId="0" fontId="5" fillId="21" borderId="0" xfId="1" applyFill="1" applyBorder="1" applyAlignment="1">
      <alignment horizontal="left" vertical="top"/>
    </xf>
    <xf numFmtId="14" fontId="11" fillId="21" borderId="0" xfId="0" applyNumberFormat="1" applyFont="1" applyFill="1" applyAlignment="1">
      <alignment horizontal="left" vertical="top"/>
    </xf>
    <xf numFmtId="0" fontId="11" fillId="18" borderId="0" xfId="0" applyFont="1" applyFill="1" applyAlignment="1">
      <alignment vertical="top"/>
    </xf>
    <xf numFmtId="0" fontId="11" fillId="18" borderId="0" xfId="0" quotePrefix="1" applyFont="1" applyFill="1" applyAlignment="1">
      <alignment horizontal="left" vertical="top"/>
    </xf>
    <xf numFmtId="0" fontId="11" fillId="18" borderId="0" xfId="0" applyFont="1" applyFill="1" applyAlignment="1">
      <alignment horizontal="left" vertical="top"/>
    </xf>
    <xf numFmtId="0" fontId="55" fillId="0" borderId="0" xfId="0" applyFont="1" applyAlignment="1">
      <alignment vertical="top" wrapText="1"/>
    </xf>
    <xf numFmtId="0" fontId="56" fillId="0" borderId="0" xfId="0" applyFont="1" applyAlignment="1">
      <alignment vertical="top" wrapText="1"/>
    </xf>
    <xf numFmtId="14" fontId="10" fillId="0" borderId="10" xfId="0" applyNumberFormat="1" applyFont="1" applyBorder="1"/>
    <xf numFmtId="0" fontId="10" fillId="0" borderId="10" xfId="0" applyFont="1" applyBorder="1"/>
    <xf numFmtId="14" fontId="10" fillId="0" borderId="31" xfId="0" applyNumberFormat="1" applyFont="1" applyBorder="1"/>
    <xf numFmtId="0" fontId="10" fillId="0" borderId="31" xfId="0" applyFont="1" applyBorder="1"/>
    <xf numFmtId="0" fontId="57" fillId="0" borderId="0" xfId="0" applyFont="1" applyAlignment="1">
      <alignment vertical="top" wrapText="1"/>
    </xf>
    <xf numFmtId="10" fontId="10" fillId="0" borderId="0" xfId="0" applyNumberFormat="1" applyFont="1"/>
    <xf numFmtId="0" fontId="10" fillId="0" borderId="7" xfId="0" applyFont="1" applyBorder="1"/>
    <xf numFmtId="2" fontId="10" fillId="0" borderId="0" xfId="0" applyNumberFormat="1" applyFont="1"/>
    <xf numFmtId="2" fontId="10" fillId="0" borderId="10" xfId="0" applyNumberFormat="1" applyFont="1" applyBorder="1"/>
    <xf numFmtId="10" fontId="61" fillId="0" borderId="10" xfId="0" applyNumberFormat="1" applyFont="1" applyBorder="1"/>
    <xf numFmtId="2" fontId="10" fillId="0" borderId="31" xfId="0" applyNumberFormat="1" applyFont="1" applyBorder="1"/>
    <xf numFmtId="10" fontId="61" fillId="0" borderId="31" xfId="0" applyNumberFormat="1" applyFont="1" applyBorder="1"/>
    <xf numFmtId="0" fontId="63" fillId="0" borderId="0" xfId="3" applyFont="1">
      <alignment vertical="center"/>
    </xf>
    <xf numFmtId="0" fontId="64" fillId="0" borderId="0" xfId="3" applyFont="1">
      <alignment vertical="center"/>
    </xf>
    <xf numFmtId="0" fontId="65" fillId="0" borderId="0" xfId="4" applyFont="1">
      <alignment vertical="center"/>
    </xf>
    <xf numFmtId="0" fontId="64" fillId="0" borderId="32" xfId="3" applyFont="1" applyBorder="1" applyAlignment="1">
      <alignment horizontal="center" vertical="center"/>
    </xf>
    <xf numFmtId="14" fontId="64" fillId="0" borderId="0" xfId="3" applyNumberFormat="1" applyFont="1">
      <alignment vertical="center"/>
    </xf>
    <xf numFmtId="0" fontId="66" fillId="0" borderId="0" xfId="3" applyFont="1">
      <alignment vertical="center"/>
    </xf>
    <xf numFmtId="0" fontId="64" fillId="0" borderId="35" xfId="3" applyFont="1" applyBorder="1" applyAlignment="1">
      <alignment horizontal="center" vertical="center"/>
    </xf>
    <xf numFmtId="0" fontId="64" fillId="0" borderId="38" xfId="3" applyFont="1" applyBorder="1" applyAlignment="1">
      <alignment horizontal="center" vertical="center"/>
    </xf>
    <xf numFmtId="0" fontId="64" fillId="4" borderId="0" xfId="3" applyFont="1" applyFill="1">
      <alignment vertical="center"/>
    </xf>
    <xf numFmtId="0" fontId="68" fillId="22" borderId="7" xfId="4" applyFont="1" applyFill="1" applyBorder="1" applyAlignment="1">
      <alignment horizontal="center" vertical="center" wrapText="1"/>
    </xf>
    <xf numFmtId="0" fontId="68" fillId="22" borderId="7" xfId="4" applyFont="1" applyFill="1" applyBorder="1" applyAlignment="1">
      <alignment horizontal="center" vertical="center"/>
    </xf>
    <xf numFmtId="0" fontId="66" fillId="0" borderId="7" xfId="4" applyFont="1" applyBorder="1" applyAlignment="1">
      <alignment horizontal="center" vertical="center" wrapText="1"/>
    </xf>
    <xf numFmtId="14" fontId="66" fillId="0" borderId="7" xfId="4" applyNumberFormat="1" applyFont="1" applyBorder="1" applyAlignment="1">
      <alignment horizontal="center" vertical="center" wrapText="1"/>
    </xf>
    <xf numFmtId="0" fontId="66" fillId="0" borderId="7" xfId="4" applyFont="1" applyBorder="1" applyAlignment="1">
      <alignment horizontal="justify" vertical="center" wrapText="1"/>
    </xf>
    <xf numFmtId="177" fontId="66" fillId="0" borderId="7" xfId="4" applyNumberFormat="1" applyFont="1" applyBorder="1" applyAlignment="1">
      <alignment horizontal="center" vertical="center" wrapText="1"/>
    </xf>
    <xf numFmtId="177" fontId="66" fillId="0" borderId="7" xfId="3" applyNumberFormat="1" applyFont="1" applyBorder="1" applyAlignment="1">
      <alignment horizontal="center" vertical="center" wrapText="1"/>
    </xf>
    <xf numFmtId="14" fontId="66" fillId="0" borderId="7" xfId="3" applyNumberFormat="1" applyFont="1" applyBorder="1" applyAlignment="1">
      <alignment horizontal="center" vertical="center" wrapText="1"/>
    </xf>
    <xf numFmtId="0" fontId="66" fillId="0" borderId="7" xfId="3" applyFont="1" applyBorder="1" applyAlignment="1">
      <alignment horizontal="center" vertical="center" wrapText="1"/>
    </xf>
    <xf numFmtId="0" fontId="66" fillId="0" borderId="7" xfId="4" applyFont="1" applyBorder="1" applyAlignment="1">
      <alignment horizontal="justify" vertical="center"/>
    </xf>
    <xf numFmtId="0" fontId="66" fillId="0" borderId="7" xfId="4" applyFont="1" applyBorder="1">
      <alignment vertical="center"/>
    </xf>
    <xf numFmtId="0" fontId="66" fillId="0" borderId="0" xfId="4" applyFont="1">
      <alignment vertical="center"/>
    </xf>
    <xf numFmtId="0" fontId="64" fillId="0" borderId="0" xfId="4" applyFont="1">
      <alignment vertical="center"/>
    </xf>
    <xf numFmtId="0" fontId="21" fillId="0" borderId="0" xfId="4" applyFont="1">
      <alignment vertical="center"/>
    </xf>
    <xf numFmtId="180" fontId="21" fillId="0" borderId="24" xfId="0" applyNumberFormat="1" applyFont="1" applyBorder="1" applyAlignment="1" applyProtection="1">
      <alignment horizontal="center" vertical="top"/>
      <protection locked="0"/>
    </xf>
    <xf numFmtId="180" fontId="21" fillId="0" borderId="5" xfId="0" applyNumberFormat="1" applyFont="1" applyBorder="1" applyAlignment="1" applyProtection="1">
      <alignment horizontal="center" vertical="top"/>
      <protection locked="0"/>
    </xf>
    <xf numFmtId="0" fontId="36" fillId="16" borderId="0" xfId="1" applyNumberFormat="1" applyFont="1" applyFill="1" applyBorder="1" applyAlignment="1">
      <alignment vertical="top"/>
    </xf>
    <xf numFmtId="0" fontId="36" fillId="16" borderId="0" xfId="1" applyFont="1" applyFill="1" applyBorder="1" applyAlignment="1">
      <alignment vertical="top"/>
    </xf>
    <xf numFmtId="0" fontId="38" fillId="16" borderId="0" xfId="1" applyNumberFormat="1" applyFont="1" applyFill="1" applyBorder="1" applyAlignment="1"/>
    <xf numFmtId="14" fontId="21" fillId="0" borderId="23" xfId="0" applyNumberFormat="1" applyFont="1" applyBorder="1" applyAlignment="1" applyProtection="1">
      <alignment horizontal="left" vertical="top"/>
      <protection locked="0"/>
    </xf>
    <xf numFmtId="14" fontId="21" fillId="0" borderId="23" xfId="0" applyNumberFormat="1" applyFont="1" applyBorder="1" applyAlignment="1" applyProtection="1">
      <alignment vertical="top"/>
      <protection locked="0"/>
    </xf>
    <xf numFmtId="178" fontId="21" fillId="0" borderId="23" xfId="0" applyNumberFormat="1" applyFont="1" applyFill="1" applyBorder="1" applyAlignment="1" applyProtection="1">
      <alignment horizontal="center" vertical="top"/>
      <protection locked="0"/>
    </xf>
    <xf numFmtId="180" fontId="21" fillId="0" borderId="23" xfId="0" applyNumberFormat="1" applyFont="1" applyFill="1" applyBorder="1" applyAlignment="1" applyProtection="1">
      <alignment horizontal="center" vertical="top"/>
      <protection locked="0"/>
    </xf>
    <xf numFmtId="177" fontId="21" fillId="0" borderId="23" xfId="0" applyNumberFormat="1" applyFont="1" applyFill="1" applyBorder="1" applyAlignment="1" applyProtection="1">
      <alignment horizontal="center" vertical="top"/>
      <protection locked="0"/>
    </xf>
    <xf numFmtId="1" fontId="21" fillId="0" borderId="23" xfId="0" applyNumberFormat="1" applyFont="1" applyFill="1" applyBorder="1" applyAlignment="1" applyProtection="1">
      <alignment horizontal="center" vertical="top"/>
      <protection locked="0"/>
    </xf>
    <xf numFmtId="0" fontId="21" fillId="0" borderId="23" xfId="0" applyFont="1" applyFill="1" applyBorder="1" applyAlignment="1" applyProtection="1">
      <alignment horizontal="left" vertical="top"/>
      <protection locked="0"/>
    </xf>
    <xf numFmtId="14" fontId="21" fillId="0" borderId="23" xfId="0" applyNumberFormat="1" applyFont="1" applyFill="1" applyBorder="1" applyAlignment="1" applyProtection="1">
      <alignment vertical="top"/>
      <protection locked="0"/>
    </xf>
    <xf numFmtId="10" fontId="21" fillId="0" borderId="23" xfId="2" applyNumberFormat="1" applyFont="1" applyFill="1" applyBorder="1" applyAlignment="1" applyProtection="1">
      <alignment horizontal="right" vertical="top" wrapText="1"/>
      <protection locked="0"/>
    </xf>
    <xf numFmtId="0" fontId="21" fillId="0" borderId="23" xfId="0" applyFont="1" applyFill="1" applyBorder="1" applyAlignment="1" applyProtection="1">
      <alignment horizontal="center" vertical="top"/>
      <protection locked="0"/>
    </xf>
    <xf numFmtId="180" fontId="70" fillId="0" borderId="23" xfId="0" applyNumberFormat="1" applyFont="1" applyBorder="1" applyAlignment="1" applyProtection="1">
      <alignment horizontal="left" vertical="top"/>
      <protection locked="0"/>
    </xf>
    <xf numFmtId="0" fontId="21" fillId="0" borderId="23" xfId="0" applyFont="1" applyBorder="1" applyAlignment="1" applyProtection="1">
      <alignment horizontal="left" vertical="center"/>
      <protection locked="0"/>
    </xf>
    <xf numFmtId="0" fontId="70" fillId="0" borderId="23" xfId="0" applyFont="1" applyBorder="1" applyAlignment="1" applyProtection="1">
      <alignment horizontal="left" vertical="top"/>
      <protection locked="0"/>
    </xf>
    <xf numFmtId="0" fontId="71" fillId="0" borderId="23" xfId="0" quotePrefix="1" applyFont="1" applyBorder="1" applyAlignment="1" applyProtection="1">
      <alignment horizontal="left" vertical="top"/>
      <protection locked="0"/>
    </xf>
    <xf numFmtId="14" fontId="21" fillId="0" borderId="23" xfId="0" applyNumberFormat="1" applyFont="1" applyFill="1" applyBorder="1" applyAlignment="1" applyProtection="1">
      <alignment horizontal="left" vertical="top"/>
      <protection locked="0"/>
    </xf>
    <xf numFmtId="0" fontId="36" fillId="16" borderId="0" xfId="1" applyFont="1" applyFill="1" applyBorder="1" applyAlignment="1">
      <alignment vertical="top" wrapText="1"/>
    </xf>
    <xf numFmtId="0" fontId="33" fillId="16" borderId="0" xfId="1" applyFont="1" applyFill="1" applyBorder="1" applyAlignment="1">
      <alignment horizontal="right" vertical="top"/>
    </xf>
    <xf numFmtId="0" fontId="33" fillId="16" borderId="0" xfId="1" applyFont="1" applyFill="1" applyBorder="1" applyAlignment="1">
      <alignment horizontal="right" vertical="center"/>
    </xf>
    <xf numFmtId="0" fontId="37" fillId="16" borderId="0" xfId="1" applyNumberFormat="1" applyFont="1" applyFill="1" applyBorder="1" applyAlignment="1">
      <alignment horizontal="right"/>
    </xf>
    <xf numFmtId="178" fontId="37" fillId="16" borderId="0" xfId="1" applyNumberFormat="1" applyFont="1" applyFill="1" applyBorder="1" applyAlignment="1">
      <alignment horizontal="right"/>
    </xf>
    <xf numFmtId="0" fontId="38" fillId="16" borderId="0" xfId="1" applyNumberFormat="1" applyFont="1" applyFill="1" applyBorder="1" applyAlignment="1">
      <alignment horizontal="right"/>
    </xf>
    <xf numFmtId="0" fontId="21" fillId="0" borderId="0" xfId="0" applyFont="1" applyAlignment="1">
      <alignment horizontal="left" vertical="center"/>
    </xf>
    <xf numFmtId="0" fontId="21" fillId="0" borderId="4" xfId="0" applyFont="1" applyBorder="1" applyAlignment="1" applyProtection="1">
      <alignment horizontal="left" vertical="center"/>
      <protection locked="0"/>
    </xf>
    <xf numFmtId="0" fontId="32" fillId="16" borderId="0" xfId="0" applyFont="1" applyFill="1" applyAlignment="1">
      <alignment horizontal="left" vertical="top"/>
    </xf>
    <xf numFmtId="0" fontId="32" fillId="16" borderId="0" xfId="0" applyFont="1" applyFill="1" applyAlignment="1">
      <alignment horizontal="left" vertical="center"/>
    </xf>
    <xf numFmtId="0" fontId="33" fillId="16" borderId="0" xfId="0" applyFont="1" applyFill="1" applyAlignment="1">
      <alignment horizontal="left" vertical="top"/>
    </xf>
    <xf numFmtId="0" fontId="34" fillId="16" borderId="0" xfId="0" applyFont="1" applyFill="1" applyAlignment="1">
      <alignment vertical="center"/>
    </xf>
    <xf numFmtId="14" fontId="35" fillId="16" borderId="0" xfId="0" applyNumberFormat="1" applyFont="1" applyFill="1" applyAlignment="1">
      <alignment horizontal="left" vertical="top" wrapText="1"/>
    </xf>
    <xf numFmtId="178" fontId="36" fillId="16" borderId="0" xfId="0" applyNumberFormat="1" applyFont="1" applyFill="1" applyAlignment="1">
      <alignment horizontal="center" vertical="top"/>
    </xf>
    <xf numFmtId="178" fontId="32" fillId="16" borderId="0" xfId="0" applyNumberFormat="1" applyFont="1" applyFill="1" applyAlignment="1">
      <alignment horizontal="center" vertical="top"/>
    </xf>
    <xf numFmtId="178" fontId="34" fillId="16" borderId="0" xfId="0" applyNumberFormat="1" applyFont="1" applyFill="1" applyAlignment="1">
      <alignment horizontal="center" vertical="top"/>
    </xf>
    <xf numFmtId="1" fontId="34" fillId="16" borderId="0" xfId="0" applyNumberFormat="1" applyFont="1" applyFill="1" applyAlignment="1">
      <alignment horizontal="center" vertical="top"/>
    </xf>
    <xf numFmtId="0" fontId="21" fillId="16" borderId="0" xfId="0" applyFont="1" applyFill="1" applyAlignment="1">
      <alignment horizontal="left" vertical="center"/>
    </xf>
    <xf numFmtId="0" fontId="32" fillId="16" borderId="0" xfId="0" applyFont="1" applyFill="1" applyAlignment="1">
      <alignment horizontal="left"/>
    </xf>
    <xf numFmtId="0" fontId="33" fillId="16" borderId="0" xfId="0" applyFont="1" applyFill="1" applyAlignment="1">
      <alignment horizontal="left"/>
    </xf>
    <xf numFmtId="10" fontId="37" fillId="16" borderId="0" xfId="0" applyNumberFormat="1" applyFont="1" applyFill="1" applyAlignment="1">
      <alignment horizontal="right"/>
    </xf>
    <xf numFmtId="0" fontId="21" fillId="0" borderId="23" xfId="0" applyFont="1" applyBorder="1" applyAlignment="1" applyProtection="1">
      <alignment vertical="top"/>
      <protection locked="0"/>
    </xf>
    <xf numFmtId="0" fontId="21" fillId="0" borderId="23" xfId="0" applyFont="1" applyBorder="1" applyAlignment="1" applyProtection="1">
      <alignment horizontal="left" vertical="top"/>
      <protection locked="0"/>
    </xf>
    <xf numFmtId="178" fontId="21" fillId="0" borderId="23" xfId="0" applyNumberFormat="1" applyFont="1" applyBorder="1" applyAlignment="1" applyProtection="1">
      <alignment horizontal="center" vertical="top"/>
      <protection locked="0"/>
    </xf>
    <xf numFmtId="177" fontId="21" fillId="0" borderId="23" xfId="0" applyNumberFormat="1" applyFont="1" applyBorder="1" applyAlignment="1" applyProtection="1">
      <alignment horizontal="center" vertical="top"/>
      <protection locked="0"/>
    </xf>
    <xf numFmtId="1" fontId="21" fillId="0" borderId="23" xfId="0" applyNumberFormat="1" applyFont="1" applyBorder="1" applyAlignment="1" applyProtection="1">
      <alignment horizontal="center" vertical="top"/>
      <protection locked="0"/>
    </xf>
    <xf numFmtId="0" fontId="5" fillId="16" borderId="0" xfId="1" applyFill="1" applyAlignment="1">
      <alignment horizontal="left" vertical="center"/>
    </xf>
    <xf numFmtId="0" fontId="34" fillId="16" borderId="0" xfId="0" applyFont="1" applyFill="1" applyAlignment="1">
      <alignment horizontal="left" vertical="center"/>
    </xf>
    <xf numFmtId="10" fontId="21" fillId="0" borderId="23" xfId="2" applyNumberFormat="1" applyFont="1" applyBorder="1" applyAlignment="1" applyProtection="1">
      <alignment horizontal="right" vertical="top" wrapText="1"/>
      <protection locked="0"/>
    </xf>
    <xf numFmtId="0" fontId="21" fillId="0" borderId="23" xfId="0" quotePrefix="1" applyFont="1" applyBorder="1" applyAlignment="1" applyProtection="1">
      <alignment horizontal="left" vertical="top"/>
      <protection locked="0"/>
    </xf>
    <xf numFmtId="0" fontId="43" fillId="16" borderId="0" xfId="1" applyFont="1" applyFill="1" applyAlignment="1">
      <alignment horizontal="left" vertical="center"/>
    </xf>
    <xf numFmtId="0" fontId="21" fillId="0" borderId="25" xfId="0" applyFont="1" applyBorder="1" applyAlignment="1" applyProtection="1">
      <alignment horizontal="left" vertical="center"/>
      <protection locked="0"/>
    </xf>
    <xf numFmtId="14" fontId="46" fillId="18" borderId="26" xfId="0" applyNumberFormat="1" applyFont="1" applyFill="1" applyBorder="1" applyAlignment="1">
      <alignment horizontal="center" vertical="center"/>
    </xf>
    <xf numFmtId="14" fontId="46" fillId="18" borderId="27" xfId="0" applyNumberFormat="1" applyFont="1" applyFill="1" applyBorder="1" applyAlignment="1">
      <alignment horizontal="center" vertical="center"/>
    </xf>
    <xf numFmtId="0" fontId="21" fillId="0" borderId="29" xfId="0" applyFont="1" applyBorder="1" applyAlignment="1" applyProtection="1">
      <alignment horizontal="left" vertical="center"/>
      <protection locked="0"/>
    </xf>
    <xf numFmtId="0" fontId="21" fillId="0" borderId="30" xfId="0" applyFont="1" applyBorder="1" applyAlignment="1" applyProtection="1">
      <alignment horizontal="left" vertical="center"/>
      <protection locked="0"/>
    </xf>
    <xf numFmtId="10" fontId="21" fillId="20" borderId="23" xfId="2" applyNumberFormat="1" applyFont="1" applyFill="1" applyBorder="1" applyAlignment="1" applyProtection="1">
      <alignment horizontal="right" vertical="top"/>
      <protection locked="0"/>
    </xf>
    <xf numFmtId="10" fontId="42" fillId="20" borderId="23" xfId="2" applyNumberFormat="1" applyFont="1" applyFill="1" applyBorder="1" applyAlignment="1" applyProtection="1">
      <alignment horizontal="right" vertical="top"/>
      <protection locked="0"/>
    </xf>
    <xf numFmtId="0" fontId="60" fillId="0" borderId="0" xfId="0" applyFont="1" applyAlignment="1">
      <alignment horizontal="left" vertical="center"/>
    </xf>
    <xf numFmtId="0" fontId="46" fillId="18" borderId="27" xfId="0" applyFont="1" applyFill="1" applyBorder="1" applyAlignment="1">
      <alignment horizontal="left" vertical="center"/>
    </xf>
    <xf numFmtId="0" fontId="46" fillId="18" borderId="28" xfId="0" applyFont="1" applyFill="1" applyBorder="1" applyAlignment="1">
      <alignment horizontal="left" vertical="center"/>
    </xf>
    <xf numFmtId="180" fontId="34" fillId="16" borderId="0" xfId="0" applyNumberFormat="1" applyFont="1" applyFill="1" applyAlignment="1">
      <alignment vertical="center"/>
    </xf>
    <xf numFmtId="180" fontId="34" fillId="16" borderId="0" xfId="0" applyNumberFormat="1" applyFont="1" applyFill="1" applyAlignment="1">
      <alignment vertical="top"/>
    </xf>
    <xf numFmtId="180" fontId="37" fillId="16" borderId="0" xfId="1" applyNumberFormat="1" applyFont="1" applyFill="1" applyBorder="1" applyAlignment="1">
      <alignment horizontal="right"/>
    </xf>
    <xf numFmtId="180" fontId="21" fillId="0" borderId="23" xfId="0" applyNumberFormat="1" applyFont="1" applyBorder="1" applyAlignment="1" applyProtection="1">
      <alignment horizontal="center" vertical="top"/>
      <protection locked="0"/>
    </xf>
    <xf numFmtId="180" fontId="34" fillId="16" borderId="0" xfId="0" applyNumberFormat="1" applyFont="1" applyFill="1" applyAlignment="1">
      <alignment horizontal="center" vertical="top"/>
    </xf>
    <xf numFmtId="10" fontId="21" fillId="0" borderId="23" xfId="2" applyNumberFormat="1" applyFont="1" applyFill="1" applyBorder="1" applyAlignment="1" applyProtection="1">
      <alignment horizontal="right" vertical="top"/>
      <protection locked="0"/>
    </xf>
    <xf numFmtId="10" fontId="21" fillId="16" borderId="23" xfId="2" applyNumberFormat="1" applyFont="1" applyFill="1" applyBorder="1" applyAlignment="1" applyProtection="1">
      <alignment horizontal="right" vertical="top"/>
      <protection locked="0"/>
    </xf>
    <xf numFmtId="10" fontId="42" fillId="16" borderId="23" xfId="2" applyNumberFormat="1" applyFont="1" applyFill="1" applyBorder="1" applyAlignment="1" applyProtection="1">
      <alignment horizontal="right" vertical="top"/>
      <protection locked="0"/>
    </xf>
    <xf numFmtId="0" fontId="44" fillId="16" borderId="0" xfId="0" applyFont="1" applyFill="1" applyAlignment="1">
      <alignment horizontal="left" vertical="center"/>
    </xf>
    <xf numFmtId="0" fontId="69" fillId="0" borderId="23" xfId="0" applyFont="1" applyBorder="1" applyAlignment="1" applyProtection="1">
      <alignment horizontal="left" vertical="top"/>
      <protection locked="0"/>
    </xf>
    <xf numFmtId="0" fontId="21" fillId="21" borderId="23" xfId="0" applyFont="1" applyFill="1" applyBorder="1" applyAlignment="1" applyProtection="1">
      <alignment horizontal="left" vertical="top"/>
      <protection locked="0"/>
    </xf>
    <xf numFmtId="0" fontId="64" fillId="0" borderId="33" xfId="3" applyFont="1" applyBorder="1" applyAlignment="1">
      <alignment horizontal="center" vertical="center"/>
    </xf>
    <xf numFmtId="0" fontId="64" fillId="0" borderId="34" xfId="3" applyFont="1" applyBorder="1" applyAlignment="1">
      <alignment horizontal="center" vertical="center"/>
    </xf>
    <xf numFmtId="14" fontId="64" fillId="0" borderId="36" xfId="3" applyNumberFormat="1" applyFont="1" applyBorder="1" applyAlignment="1">
      <alignment horizontal="center" vertical="center"/>
    </xf>
    <xf numFmtId="14" fontId="64" fillId="0" borderId="37" xfId="3" applyNumberFormat="1" applyFont="1" applyBorder="1" applyAlignment="1">
      <alignment horizontal="center" vertical="center"/>
    </xf>
    <xf numFmtId="0" fontId="64" fillId="0" borderId="39" xfId="3" applyFont="1" applyBorder="1" applyAlignment="1">
      <alignment horizontal="center" vertical="center"/>
    </xf>
    <xf numFmtId="0" fontId="64" fillId="0" borderId="40" xfId="3" applyFont="1" applyBorder="1" applyAlignment="1">
      <alignment horizontal="center" vertical="center"/>
    </xf>
    <xf numFmtId="0" fontId="67" fillId="0" borderId="0" xfId="4" applyFont="1" applyAlignment="1">
      <alignment horizontal="center" vertical="center"/>
    </xf>
    <xf numFmtId="0" fontId="45" fillId="18" borderId="26" xfId="0" applyFont="1" applyFill="1" applyBorder="1" applyAlignment="1">
      <alignment horizontal="left" vertical="center" wrapText="1"/>
    </xf>
    <xf numFmtId="0" fontId="45" fillId="18" borderId="27" xfId="0" applyFont="1" applyFill="1" applyBorder="1" applyAlignment="1">
      <alignment horizontal="left" vertical="center"/>
    </xf>
    <xf numFmtId="0" fontId="44" fillId="16" borderId="0" xfId="0" applyFont="1" applyFill="1" applyAlignment="1">
      <alignment horizontal="left" vertical="center"/>
    </xf>
    <xf numFmtId="0" fontId="45" fillId="18" borderId="27" xfId="0" applyFont="1" applyFill="1" applyBorder="1" applyAlignment="1">
      <alignment horizontal="left" vertical="center" wrapText="1"/>
    </xf>
    <xf numFmtId="10" fontId="20" fillId="8" borderId="3" xfId="0" applyNumberFormat="1" applyFont="1" applyFill="1" applyBorder="1" applyAlignment="1">
      <alignment horizontal="center" vertical="center" wrapText="1"/>
    </xf>
    <xf numFmtId="10" fontId="20" fillId="17" borderId="3" xfId="0" applyNumberFormat="1" applyFont="1" applyFill="1" applyBorder="1" applyAlignment="1">
      <alignment horizontal="center" vertical="center" wrapText="1"/>
    </xf>
    <xf numFmtId="0" fontId="37" fillId="16" borderId="0" xfId="0" applyFont="1" applyFill="1" applyAlignment="1">
      <alignment horizontal="center" wrapText="1"/>
    </xf>
    <xf numFmtId="176" fontId="20" fillId="8" borderId="2" xfId="0" applyNumberFormat="1" applyFont="1" applyFill="1" applyBorder="1" applyAlignment="1">
      <alignment horizontal="center" vertical="center"/>
    </xf>
    <xf numFmtId="176" fontId="20" fillId="17" borderId="2" xfId="0" applyNumberFormat="1" applyFont="1" applyFill="1" applyBorder="1" applyAlignment="1">
      <alignment horizontal="center" vertical="center"/>
    </xf>
    <xf numFmtId="180" fontId="20" fillId="8" borderId="2" xfId="0" applyNumberFormat="1" applyFont="1" applyFill="1" applyBorder="1" applyAlignment="1">
      <alignment horizontal="center" vertical="center"/>
    </xf>
    <xf numFmtId="180" fontId="20" fillId="17" borderId="2" xfId="0" applyNumberFormat="1" applyFont="1" applyFill="1" applyBorder="1" applyAlignment="1">
      <alignment horizontal="center" vertical="center"/>
    </xf>
    <xf numFmtId="0" fontId="20" fillId="8" borderId="2" xfId="0" applyFont="1" applyFill="1" applyBorder="1" applyAlignment="1">
      <alignment horizontal="center" vertical="center"/>
    </xf>
    <xf numFmtId="0" fontId="20" fillId="17" borderId="2" xfId="0" applyFont="1" applyFill="1" applyBorder="1" applyAlignment="1">
      <alignment horizontal="center" vertical="center"/>
    </xf>
    <xf numFmtId="178" fontId="20" fillId="18" borderId="2" xfId="0" applyNumberFormat="1" applyFont="1" applyFill="1" applyBorder="1" applyAlignment="1">
      <alignment horizontal="center" vertical="center" wrapText="1"/>
    </xf>
    <xf numFmtId="178" fontId="20" fillId="10" borderId="2" xfId="0" applyNumberFormat="1" applyFont="1" applyFill="1" applyBorder="1" applyAlignment="1">
      <alignment horizontal="center" vertical="center" wrapText="1"/>
    </xf>
    <xf numFmtId="177" fontId="20" fillId="18" borderId="2" xfId="0" applyNumberFormat="1" applyFont="1" applyFill="1" applyBorder="1" applyAlignment="1">
      <alignment horizontal="center" vertical="center" wrapText="1"/>
    </xf>
    <xf numFmtId="177" fontId="20" fillId="17" borderId="2" xfId="0" applyNumberFormat="1" applyFont="1" applyFill="1" applyBorder="1" applyAlignment="1">
      <alignment horizontal="center" vertical="center" wrapText="1"/>
    </xf>
    <xf numFmtId="1" fontId="20" fillId="18" borderId="2" xfId="0" applyNumberFormat="1" applyFont="1" applyFill="1" applyBorder="1" applyAlignment="1">
      <alignment horizontal="center" vertical="center" wrapText="1"/>
    </xf>
    <xf numFmtId="1" fontId="20" fillId="17" borderId="2" xfId="0" applyNumberFormat="1" applyFont="1" applyFill="1" applyBorder="1" applyAlignment="1">
      <alignment horizontal="center" vertical="center" wrapText="1"/>
    </xf>
    <xf numFmtId="178" fontId="20" fillId="18" borderId="2" xfId="0" applyNumberFormat="1" applyFont="1" applyFill="1" applyBorder="1" applyAlignment="1">
      <alignment horizontal="center" vertical="top" wrapText="1"/>
    </xf>
    <xf numFmtId="178" fontId="20" fillId="10" borderId="2" xfId="0" applyNumberFormat="1" applyFont="1" applyFill="1" applyBorder="1" applyAlignment="1">
      <alignment horizontal="center" vertical="top" wrapText="1"/>
    </xf>
    <xf numFmtId="180" fontId="20" fillId="8" borderId="2" xfId="0" applyNumberFormat="1" applyFont="1" applyFill="1" applyBorder="1" applyAlignment="1">
      <alignment horizontal="center" vertical="center" wrapText="1"/>
    </xf>
    <xf numFmtId="14" fontId="20" fillId="8" borderId="2" xfId="0" applyNumberFormat="1" applyFont="1" applyFill="1" applyBorder="1" applyAlignment="1">
      <alignment horizontal="center" vertical="center"/>
    </xf>
    <xf numFmtId="14" fontId="20" fillId="17" borderId="2" xfId="0" applyNumberFormat="1" applyFont="1" applyFill="1" applyBorder="1" applyAlignment="1">
      <alignment horizontal="center" vertical="center"/>
    </xf>
    <xf numFmtId="10" fontId="20" fillId="18" borderId="2" xfId="0" applyNumberFormat="1" applyFont="1" applyFill="1" applyBorder="1" applyAlignment="1">
      <alignment horizontal="center" vertical="center" wrapText="1"/>
    </xf>
    <xf numFmtId="10" fontId="20" fillId="10" borderId="2" xfId="0" applyNumberFormat="1" applyFont="1" applyFill="1" applyBorder="1" applyAlignment="1">
      <alignment horizontal="center" vertical="center" wrapText="1"/>
    </xf>
    <xf numFmtId="0" fontId="20" fillId="15" borderId="1" xfId="0" applyFont="1" applyFill="1" applyBorder="1" applyAlignment="1">
      <alignment horizontal="center" vertical="center" wrapText="1"/>
    </xf>
    <xf numFmtId="0" fontId="20" fillId="15" borderId="0" xfId="0" applyFont="1" applyFill="1" applyAlignment="1">
      <alignment horizontal="center" vertical="center" wrapText="1"/>
    </xf>
    <xf numFmtId="0" fontId="20" fillId="15" borderId="2" xfId="0" applyFont="1" applyFill="1" applyBorder="1" applyAlignment="1">
      <alignment horizontal="center" vertical="center"/>
    </xf>
    <xf numFmtId="0" fontId="20" fillId="15" borderId="16" xfId="0" applyFont="1" applyFill="1" applyBorder="1" applyAlignment="1">
      <alignment horizontal="center" vertical="center"/>
    </xf>
    <xf numFmtId="0" fontId="20" fillId="15" borderId="2" xfId="0" applyFont="1" applyFill="1" applyBorder="1" applyAlignment="1">
      <alignment horizontal="center" vertical="center" wrapText="1"/>
    </xf>
    <xf numFmtId="0" fontId="20" fillId="18" borderId="2" xfId="0" applyFont="1" applyFill="1" applyBorder="1" applyAlignment="1">
      <alignment horizontal="center" vertical="center"/>
    </xf>
    <xf numFmtId="0" fontId="20" fillId="8" borderId="3" xfId="0" applyFont="1" applyFill="1" applyBorder="1" applyAlignment="1">
      <alignment horizontal="center" vertical="center"/>
    </xf>
    <xf numFmtId="0" fontId="20" fillId="17" borderId="0" xfId="0" applyFont="1" applyFill="1" applyAlignment="1">
      <alignment horizontal="center" vertical="center"/>
    </xf>
    <xf numFmtId="0" fontId="20" fillId="17" borderId="3" xfId="0" applyFont="1" applyFill="1" applyBorder="1" applyAlignment="1">
      <alignment horizontal="center" vertical="center"/>
    </xf>
    <xf numFmtId="0" fontId="45" fillId="18" borderId="28" xfId="0" applyFont="1" applyFill="1" applyBorder="1" applyAlignment="1">
      <alignment horizontal="left" vertical="center"/>
    </xf>
    <xf numFmtId="0" fontId="11" fillId="0" borderId="0" xfId="0" applyFont="1" applyAlignment="1" applyProtection="1">
      <alignment horizontal="left" vertical="center" wrapText="1"/>
      <protection locked="0"/>
    </xf>
    <xf numFmtId="0" fontId="11" fillId="0" borderId="0" xfId="0" applyFont="1" applyAlignment="1" applyProtection="1">
      <alignment horizontal="left" vertical="center"/>
      <protection locked="0"/>
    </xf>
    <xf numFmtId="0" fontId="8" fillId="0" borderId="0" xfId="0" applyFont="1" applyAlignment="1">
      <alignment horizontal="left" vertical="center"/>
    </xf>
    <xf numFmtId="0" fontId="7" fillId="0" borderId="0" xfId="0" applyFont="1" applyAlignment="1">
      <alignment horizontal="left" vertical="center"/>
    </xf>
    <xf numFmtId="14" fontId="12" fillId="2" borderId="0" xfId="0" applyNumberFormat="1" applyFont="1" applyFill="1" applyAlignment="1">
      <alignment horizontal="right" vertical="center"/>
    </xf>
    <xf numFmtId="0" fontId="23" fillId="0" borderId="0" xfId="0" applyFont="1" applyAlignment="1" applyProtection="1">
      <alignment horizontal="left" vertical="center" wrapText="1"/>
      <protection locked="0"/>
    </xf>
    <xf numFmtId="10" fontId="10" fillId="5" borderId="3" xfId="0" applyNumberFormat="1" applyFont="1" applyFill="1" applyBorder="1" applyAlignment="1">
      <alignment horizontal="left" wrapText="1"/>
    </xf>
    <xf numFmtId="10" fontId="10" fillId="0" borderId="0" xfId="0" applyNumberFormat="1" applyFont="1"/>
    <xf numFmtId="14" fontId="10" fillId="2" borderId="0" xfId="0" applyNumberFormat="1" applyFont="1" applyFill="1" applyAlignment="1">
      <alignment horizontal="left" vertical="top" wrapText="1"/>
    </xf>
    <xf numFmtId="14" fontId="15" fillId="6" borderId="14" xfId="0" applyNumberFormat="1" applyFont="1" applyFill="1" applyBorder="1" applyAlignment="1" applyProtection="1">
      <alignment horizontal="center" vertical="center"/>
      <protection locked="0"/>
    </xf>
    <xf numFmtId="0" fontId="10" fillId="0" borderId="18" xfId="0" applyFont="1" applyBorder="1" applyAlignment="1" applyProtection="1">
      <alignment horizontal="left" vertical="top" wrapText="1"/>
      <protection locked="0"/>
    </xf>
    <xf numFmtId="0" fontId="10" fillId="0" borderId="18" xfId="0" applyFont="1" applyBorder="1" applyAlignment="1" applyProtection="1">
      <alignment horizontal="left" vertical="center" wrapText="1"/>
      <protection locked="0"/>
    </xf>
    <xf numFmtId="0" fontId="40" fillId="19" borderId="22" xfId="1" applyFont="1" applyFill="1" applyBorder="1" applyAlignment="1">
      <alignment vertical="center"/>
    </xf>
    <xf numFmtId="0" fontId="0" fillId="19" borderId="22" xfId="0" applyFill="1" applyBorder="1" applyAlignment="1">
      <alignment vertical="center"/>
    </xf>
    <xf numFmtId="0" fontId="31" fillId="19" borderId="19" xfId="0" applyFont="1" applyFill="1" applyBorder="1" applyAlignment="1">
      <alignment horizontal="center" vertical="center"/>
    </xf>
    <xf numFmtId="0" fontId="31" fillId="19" borderId="20" xfId="0" applyFont="1" applyFill="1" applyBorder="1" applyAlignment="1">
      <alignment horizontal="center" vertical="center"/>
    </xf>
    <xf numFmtId="0" fontId="31" fillId="19" borderId="21" xfId="0" applyFont="1" applyFill="1" applyBorder="1" applyAlignment="1">
      <alignment horizontal="center" vertical="center"/>
    </xf>
    <xf numFmtId="0" fontId="31" fillId="19" borderId="22" xfId="0" applyFont="1" applyFill="1" applyBorder="1" applyAlignment="1">
      <alignment horizontal="center" vertical="center"/>
    </xf>
    <xf numFmtId="0" fontId="47" fillId="19" borderId="20" xfId="1" applyFont="1" applyFill="1" applyBorder="1" applyAlignment="1">
      <alignment horizontal="right"/>
    </xf>
    <xf numFmtId="0" fontId="0" fillId="19" borderId="20" xfId="0" applyFill="1" applyBorder="1" applyAlignment="1">
      <alignment horizontal="right"/>
    </xf>
    <xf numFmtId="0" fontId="54" fillId="0" borderId="0" xfId="0" applyFont="1" applyAlignment="1">
      <alignment horizontal="left" vertical="top" wrapText="1"/>
    </xf>
    <xf numFmtId="0" fontId="24" fillId="0" borderId="0" xfId="0" applyFont="1" applyAlignment="1">
      <alignment horizontal="left" vertical="top" wrapText="1"/>
    </xf>
    <xf numFmtId="0" fontId="30" fillId="14" borderId="0" xfId="0" applyFont="1" applyFill="1" applyAlignment="1">
      <alignment horizontal="left" vertical="top" wrapText="1"/>
    </xf>
    <xf numFmtId="0" fontId="72" fillId="0" borderId="0" xfId="3" applyFont="1">
      <alignment vertical="center"/>
    </xf>
    <xf numFmtId="0" fontId="73" fillId="0" borderId="0" xfId="3" applyFont="1">
      <alignment vertical="center"/>
    </xf>
  </cellXfs>
  <cellStyles count="9">
    <cellStyle name="백분율" xfId="2" builtinId="5"/>
    <cellStyle name="표준" xfId="0" builtinId="0"/>
    <cellStyle name="표준 2" xfId="5"/>
    <cellStyle name="표준 2 2" xfId="3"/>
    <cellStyle name="표준 3" xfId="4"/>
    <cellStyle name="표준 3 2" xfId="6"/>
    <cellStyle name="표준 3 2 2" xfId="8"/>
    <cellStyle name="표준 3 3" xfId="7"/>
    <cellStyle name="하이퍼링크" xfId="1" builtinId="8"/>
  </cellStyles>
  <dxfs count="4">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11</xdr:row>
      <xdr:rowOff>142875</xdr:rowOff>
    </xdr:from>
    <xdr:to>
      <xdr:col>15</xdr:col>
      <xdr:colOff>609600</xdr:colOff>
      <xdr:row>29</xdr:row>
      <xdr:rowOff>28575</xdr:rowOff>
    </xdr:to>
    <xdr:pic>
      <xdr:nvPicPr>
        <xdr:cNvPr id="2" name="Picture 8" descr="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2771775"/>
          <a:ext cx="9829800" cy="3657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378199</xdr:colOff>
      <xdr:row>26</xdr:row>
      <xdr:rowOff>47624</xdr:rowOff>
    </xdr:from>
    <xdr:to>
      <xdr:col>12</xdr:col>
      <xdr:colOff>409575</xdr:colOff>
      <xdr:row>30</xdr:row>
      <xdr:rowOff>25774</xdr:rowOff>
    </xdr:to>
    <xdr:sp macro="" textlink="">
      <xdr:nvSpPr>
        <xdr:cNvPr id="3" name="Text Box 6">
          <a:extLst>
            <a:ext uri="{FF2B5EF4-FFF2-40B4-BE49-F238E27FC236}">
              <a16:creationId xmlns:a16="http://schemas.microsoft.com/office/drawing/2014/main" id="{00000000-0008-0000-0000-000003000000}"/>
            </a:ext>
          </a:extLst>
        </xdr:cNvPr>
        <xdr:cNvSpPr txBox="1">
          <a:spLocks noChangeArrowheads="1"/>
        </xdr:cNvSpPr>
      </xdr:nvSpPr>
      <xdr:spPr bwMode="auto">
        <a:xfrm>
          <a:off x="1749799" y="5819774"/>
          <a:ext cx="5879726" cy="816350"/>
        </a:xfrm>
        <a:prstGeom prst="rect">
          <a:avLst/>
        </a:prstGeom>
        <a:noFill/>
        <a:ln w="9525">
          <a:noFill/>
          <a:miter lim="800000"/>
          <a:headEnd/>
          <a:tailEnd/>
        </a:ln>
      </xdr:spPr>
      <xdr:txBody>
        <a:bodyPr vertOverflow="clip" wrap="square" lIns="91440" tIns="45720" rIns="91440" bIns="45720" anchor="ctr" upright="1"/>
        <a:lstStyle/>
        <a:p>
          <a:pPr algn="ctr" rtl="0">
            <a:defRPr sz="1000"/>
          </a:pPr>
          <a:r>
            <a:rPr lang="en-US" altLang="ko-KR" sz="900" b="0" i="0" u="none" strike="noStrike" baseline="0">
              <a:solidFill>
                <a:srgbClr val="000000"/>
              </a:solidFill>
              <a:latin typeface="+mn-ea"/>
              <a:ea typeface="+mn-ea"/>
            </a:rPr>
            <a:t>CJ</a:t>
          </a:r>
          <a:r>
            <a:rPr lang="ko-KR" altLang="en-US" sz="900" b="0" i="0" u="none" strike="noStrike" baseline="0">
              <a:solidFill>
                <a:srgbClr val="000000"/>
              </a:solidFill>
              <a:latin typeface="+mn-ea"/>
              <a:ea typeface="+mn-ea"/>
            </a:rPr>
            <a:t>올리브네트웍스의 사전 승인 없이 본 내용의 전부 또는 일부에 대한 복사</a:t>
          </a:r>
          <a:r>
            <a:rPr lang="en-US" altLang="ko-KR" sz="900" b="0" i="0" u="none" strike="noStrike" baseline="0">
              <a:solidFill>
                <a:srgbClr val="000000"/>
              </a:solidFill>
              <a:latin typeface="+mn-ea"/>
              <a:ea typeface="+mn-ea"/>
            </a:rPr>
            <a:t>, </a:t>
          </a:r>
          <a:r>
            <a:rPr lang="ko-KR" altLang="en-US" sz="900" b="0" i="0" u="none" strike="noStrike" baseline="0">
              <a:solidFill>
                <a:srgbClr val="000000"/>
              </a:solidFill>
              <a:latin typeface="+mn-ea"/>
              <a:ea typeface="+mn-ea"/>
            </a:rPr>
            <a:t>전재</a:t>
          </a:r>
          <a:r>
            <a:rPr lang="en-US" altLang="ko-KR" sz="900" b="0" i="0" u="none" strike="noStrike" baseline="0">
              <a:solidFill>
                <a:srgbClr val="000000"/>
              </a:solidFill>
              <a:latin typeface="+mn-ea"/>
              <a:ea typeface="+mn-ea"/>
            </a:rPr>
            <a:t>, </a:t>
          </a:r>
          <a:r>
            <a:rPr lang="ko-KR" altLang="en-US" sz="900" b="0" i="0" u="none" strike="noStrike" baseline="0">
              <a:solidFill>
                <a:srgbClr val="000000"/>
              </a:solidFill>
              <a:latin typeface="+mn-ea"/>
              <a:ea typeface="+mn-ea"/>
            </a:rPr>
            <a:t>배포</a:t>
          </a:r>
          <a:r>
            <a:rPr lang="en-US" altLang="ko-KR" sz="900" b="0" i="0" u="none" strike="noStrike" baseline="0">
              <a:solidFill>
                <a:srgbClr val="000000"/>
              </a:solidFill>
              <a:latin typeface="+mn-ea"/>
              <a:ea typeface="+mn-ea"/>
            </a:rPr>
            <a:t>, </a:t>
          </a:r>
          <a:r>
            <a:rPr lang="ko-KR" altLang="en-US" sz="900" b="0" i="0" u="none" strike="noStrike" baseline="0">
              <a:solidFill>
                <a:srgbClr val="000000"/>
              </a:solidFill>
              <a:latin typeface="+mn-ea"/>
              <a:ea typeface="+mn-ea"/>
            </a:rPr>
            <a:t>사용을 금합니다</a:t>
          </a:r>
          <a:r>
            <a:rPr lang="en-US" altLang="ko-KR" sz="900" b="0" i="0" u="none" strike="noStrike" baseline="0">
              <a:solidFill>
                <a:srgbClr val="000000"/>
              </a:solidFill>
              <a:latin typeface="+mn-ea"/>
              <a:ea typeface="+mn-ea"/>
            </a:rPr>
            <a:t>.</a:t>
          </a:r>
        </a:p>
      </xdr:txBody>
    </xdr:sp>
    <xdr:clientData/>
  </xdr:twoCellAnchor>
  <xdr:twoCellAnchor editAs="oneCell">
    <xdr:from>
      <xdr:col>12</xdr:col>
      <xdr:colOff>676275</xdr:colOff>
      <xdr:row>25</xdr:row>
      <xdr:rowOff>28575</xdr:rowOff>
    </xdr:from>
    <xdr:to>
      <xdr:col>15</xdr:col>
      <xdr:colOff>257175</xdr:colOff>
      <xdr:row>27</xdr:row>
      <xdr:rowOff>142875</xdr:rowOff>
    </xdr:to>
    <xdr:pic>
      <xdr:nvPicPr>
        <xdr:cNvPr id="4" name="그림 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96225" y="5591175"/>
          <a:ext cx="163830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00000000-0008-0000-0200-00008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00000000-0008-0000-0200-000090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00000000-0008-0000-0200-000091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00000000-0008-0000-0200-000092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00000000-0008-0000-0200-000093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00000000-0008-0000-0200-000094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00000000-0008-0000-0200-000095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00000000-0008-0000-0200-000096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00000000-0008-0000-0200-000097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00000000-0008-0000-0200-00009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00000000-0008-0000-0200-00009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00000000-0008-0000-0200-00009A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00000000-0008-0000-0200-00009B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00000000-0008-0000-0200-00009C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00000000-0008-0000-0200-00009D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00000000-0008-0000-0200-00009E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00000000-0008-0000-0200-00009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00000000-0008-0000-0200-0000A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00000000-0008-0000-0200-0000A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00000000-0008-0000-0200-0000A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00000000-0008-0000-0200-0000A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00000000-0008-0000-0200-0000A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00000000-0008-0000-0200-0000A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00000000-0008-0000-0200-0000A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00000000-0008-0000-0200-0000A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00000000-0008-0000-0200-0000A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00000000-0008-0000-0200-0000A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00000000-0008-0000-0200-0000A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00000000-0008-0000-0200-0000A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00000000-0008-0000-0200-0000A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00000000-0008-0000-0200-0000A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00000000-0008-0000-0200-0000A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00000000-0008-0000-0200-0000A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00000000-0008-0000-0200-0000B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00000000-0008-0000-0200-0000B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00000000-0008-0000-0200-0000B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00000000-0008-0000-0200-0000B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00000000-0008-0000-0200-0000B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00000000-0008-0000-0200-0000B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00000000-0008-0000-0200-0000B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00000000-0008-0000-0200-0000B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00000000-0008-0000-0200-0000B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00000000-0008-0000-0200-0000B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00000000-0008-0000-0200-0000B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00000000-0008-0000-0200-0000B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00000000-0008-0000-0200-0000B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00000000-0008-0000-0200-0000B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00000000-0008-0000-0200-0000B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00000000-0008-0000-0200-0000B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00000000-0008-0000-0200-0000C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00000000-0008-0000-0200-0000C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00000000-0008-0000-0200-0000C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00000000-0008-0000-0200-0000C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00000000-0008-0000-0200-0000C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00000000-0008-0000-0200-0000C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00000000-0008-0000-0200-0000C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00000000-0008-0000-0200-0000C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00000000-0008-0000-0200-0000C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00000000-0008-0000-0200-0000C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00000000-0008-0000-0200-0000C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00000000-0008-0000-0200-0000C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00000000-0008-0000-0200-0000C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00000000-0008-0000-0200-0000C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00000000-0008-0000-0200-0000C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00000000-0008-0000-0200-0000C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00000000-0008-0000-0200-0000D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0000000-0008-0000-0200-0000D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00000000-0008-0000-0200-0000D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00000000-0008-0000-0200-0000D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0000000-0008-0000-0200-0000D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00000000-0008-0000-0200-0000D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00000000-0008-0000-0200-0000D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00000000-0008-0000-0200-0000D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00000000-0008-0000-0200-0000D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00000000-0008-0000-0200-0000D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00000000-0008-0000-0200-0000D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00000000-0008-0000-0200-0000D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00000000-0008-0000-0200-0000D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00000000-0008-0000-0200-0000D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00000000-0008-0000-0200-0000D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00000000-0008-0000-0200-0000D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00000000-0008-0000-0200-0000E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00000000-0008-0000-0200-0000E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00000000-0008-0000-0200-0000E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00000000-0008-0000-0200-0000E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00000000-0008-0000-0200-0000E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00000000-0008-0000-0200-0000E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00000000-0008-0000-0200-0000E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00000000-0008-0000-0200-0000E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0000000-0008-0000-0200-0000E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00000000-0008-0000-0200-0000E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00000000-0008-0000-0200-0000E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00000000-0008-0000-0200-0000E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00000000-0008-0000-0200-0000E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00000000-0008-0000-0200-0000E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00000000-0008-0000-0200-0000E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00000000-0008-0000-0200-0000E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00000000-0008-0000-0200-0000F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00000000-0008-0000-0200-0000F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00000000-0008-0000-0200-0000F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00000000-0008-0000-0200-0000F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00000000-0008-0000-0200-0000F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00000000-0008-0000-0200-0000F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00000000-0008-0000-0200-0000F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00000000-0008-0000-0200-0000F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00000000-0008-0000-0200-0000F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00000000-0008-0000-0200-0000F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00000000-0008-0000-0200-0000F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00000000-0008-0000-0200-0000F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00000000-0008-0000-0200-0000FC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00000000-0008-0000-0200-0000FD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00000000-0008-0000-0200-0000FE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00000000-0008-0000-0200-0000FF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00000000-0008-0000-0200-000000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0000000-0008-0000-0200-000001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00000000-0008-0000-0200-000002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00000000-0008-0000-0200-000003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00000000-0008-0000-0200-000004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00000000-0008-0000-0200-000005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00000000-0008-0000-0200-000006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00000000-0008-0000-0200-000007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00000000-0008-0000-0200-00000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00000000-0008-0000-0200-00000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00000000-0008-0000-0200-00000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0000000-0008-0000-0200-00000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00000000-0008-0000-0200-00000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00000000-0008-0000-0200-00000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00000000-0008-0000-0200-00000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00000000-0008-0000-0200-00000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00000000-0008-0000-0200-00001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00000000-0008-0000-0200-00001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00000000-0008-0000-0200-00001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0000000-0008-0000-0200-00001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00000000-0008-0000-0200-00001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00000000-0008-0000-0200-00001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00000000-0008-0000-0200-00001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00000000-0008-0000-0200-00001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00000000-0008-0000-0200-00001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00000000-0008-0000-0200-00001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00000000-0008-0000-0200-00001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00000000-0008-0000-0200-00001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00000000-0008-0000-0200-00001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00000000-0008-0000-0200-00001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00000000-0008-0000-0200-00001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00000000-0008-0000-0200-00001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00000000-0008-0000-0200-00002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00000000-0008-0000-0200-00002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00000000-0008-0000-0200-00002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00000000-0008-0000-0200-00002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00000000-0008-0000-0200-00002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00000000-0008-0000-0200-00002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00000000-0008-0000-0200-00002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00000000-0008-0000-0200-00002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00000000-0008-0000-0200-00002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0000000-0008-0000-0200-00002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00000000-0008-0000-0200-00002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00000000-0008-0000-0200-00002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00000000-0008-0000-0200-00002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00000000-0008-0000-0200-00002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00000000-0008-0000-0200-00002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00000000-0008-0000-0200-00002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00000000-0008-0000-0200-00003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00000000-0008-0000-0200-00003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00000000-0008-0000-0200-00003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00000000-0008-0000-0200-00003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00000000-0008-0000-0200-00003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00000000-0008-0000-0200-00003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00000000-0008-0000-0200-00003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00000000-0008-0000-0200-00003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00000000-0008-0000-0200-00003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00000000-0008-0000-0200-00003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00000000-0008-0000-0200-00003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00000000-0008-0000-0200-00003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00000000-0008-0000-0200-00003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00000000-0008-0000-0200-00003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00000000-0008-0000-0200-00003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00000000-0008-0000-0200-00003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00000000-0008-0000-0200-00004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00000000-0008-0000-0200-00004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00000000-0008-0000-0200-00004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00000000-0008-0000-0200-00004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00000000-0008-0000-0200-00004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00000000-0008-0000-0200-00004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00000000-0008-0000-0200-00004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00000000-0008-0000-0200-00004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00000000-0008-0000-0200-00004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00000000-0008-0000-0200-00004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00000000-0008-0000-0200-00004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00000000-0008-0000-0200-00004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00000000-0008-0000-0200-00004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00000000-0008-0000-0200-00004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00000000-0008-0000-0200-00004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00000000-0008-0000-0200-00004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00000000-0008-0000-0200-00005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00000000-0008-0000-0200-00005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0000000-0008-0000-0200-00005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00000000-0008-0000-0200-00005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0000000-0008-0000-0200-00005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00000000-0008-0000-0200-00005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00000000-0008-0000-0200-00005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00000000-0008-0000-0200-00005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00000000-0008-0000-0200-00005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00000000-0008-0000-0200-00005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00000000-0008-0000-0200-00005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00000000-0008-0000-0200-00005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00000000-0008-0000-0200-00005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00000000-0008-0000-0200-00005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00000000-0008-0000-0200-00005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00000000-0008-0000-0200-00005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00000000-0008-0000-0200-00006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00000000-0008-0000-0200-00006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00000000-0008-0000-0200-00006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00000000-0008-0000-0200-00006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00000000-0008-0000-0200-00006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00000000-0008-0000-0200-00006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00000000-0008-0000-0200-00006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00000000-0008-0000-0200-00006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00000000-0008-0000-0200-00006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00000000-0008-0000-0200-00006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00000000-0008-0000-0200-00006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00000000-0008-0000-0200-00006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00000000-0008-0000-0200-00006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00000000-0008-0000-0200-00006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00000000-0008-0000-0200-00006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0000000-0008-0000-0200-00006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00000000-0008-0000-0200-00007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00000000-0008-0000-0200-00007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00000000-0008-0000-0200-00007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00000000-0008-0000-0200-00007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00000000-0008-0000-0200-00007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00000000-0008-0000-0200-00007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00000000-0008-0000-0200-00007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00000000-0008-0000-0200-00007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00000000-0008-0000-0200-00007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00000000-0008-0000-0200-00007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00000000-0008-0000-0200-00007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00000000-0008-0000-0200-00007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00000000-0008-0000-0200-00007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00000000-0008-0000-0200-00007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00000000-0008-0000-0200-00007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00000000-0008-0000-0200-00007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00000000-0008-0000-0200-00008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0000000-0008-0000-0200-00008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00000000-0008-0000-0200-00008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0000000-0008-0000-0200-00008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00000000-0008-0000-0200-00008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00000000-0008-0000-0200-00008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00000000-0008-0000-0200-00008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00000000-0008-0000-0200-00008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00000000-0008-0000-0200-00008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0000000-0008-0000-0200-00008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0000000-0008-0000-0200-00008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00000000-0008-0000-0200-00008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00000000-0008-0000-0200-00008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0000000-0008-0000-0200-00008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00000000-0008-0000-0200-00008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00000000-0008-0000-0200-00008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00000000-0008-0000-0200-00009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00000000-0008-0000-0200-00009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0000000-0008-0000-0200-00009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00000000-0008-0000-0200-00009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00000000-0008-0000-0200-00009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00000000-0008-0000-0200-00009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00000000-0008-0000-0200-00009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00000000-0008-0000-0200-00009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00000000-0008-0000-0200-00009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00000000-0008-0000-0200-00009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00000000-0008-0000-0200-00009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00000000-0008-0000-0200-00009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00000000-0008-0000-0200-00009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00000000-0008-0000-0200-00009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00000000-0008-0000-0200-00009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00000000-0008-0000-0200-00009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00000000-0008-0000-0200-00008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00000000-0008-0000-0200-00008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00000000-0008-0000-0200-00008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00000000-0008-0000-0200-00008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00000000-0008-0000-0200-00008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00000000-0008-0000-0200-00008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00000000-0008-0000-0200-00008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0000000-0008-0000-0200-00008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00000000-0008-0000-0200-00008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00000000-0008-0000-0200-00009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00000000-0008-0000-0200-00009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0000000-0008-0000-0200-00009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00000000-0008-0000-0200-00009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00000000-0008-0000-0200-00009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00000000-0008-0000-0200-00009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0000000-0008-0000-0200-00009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00000000-0008-0000-0200-00009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00000000-0008-0000-0200-00009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00000000-0008-0000-0200-00009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00000000-0008-0000-0200-00006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00000000-0008-0000-0200-00006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00000000-0008-0000-0200-00003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00000000-0008-0000-0200-00003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00000000-0008-0000-0200-00003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00000000-0008-0000-0200-00003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00000000-0008-0000-0200-00004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00000000-0008-0000-0200-00004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00000000-0008-0000-0200-00004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00000000-0008-0000-0200-00004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00000000-0008-0000-0200-00005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00000000-0008-0000-0200-00005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00000000-0008-0000-0200-00005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00000000-0008-0000-0200-00005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00000000-0008-0000-0200-00000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00000000-0008-0000-0200-00000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00000000-0008-0000-0200-00000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00000000-0008-0000-0200-00000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00000000-0008-0000-0200-00001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00000000-0008-0000-0200-00001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00000000-0008-0000-0200-00001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00000000-0008-0000-0200-00001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00000000-0008-0000-0200-00002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00000000-0008-0000-0200-00002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00000000-0008-0000-0200-00002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00000000-0008-0000-0200-00002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00000000-0008-0000-0200-00002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00000000-0008-0000-0200-00003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00000000-0008-0000-0200-00003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00000000-0008-0000-0200-00003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00000000-0008-0000-0200-00003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00000000-0008-0000-0200-00004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00000000-0008-0000-0200-00004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00000000-0008-0000-0200-00004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0000000-0008-0000-0200-00005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00000000-0008-0000-0200-00005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00000000-0008-0000-0200-00005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00000000-0008-0000-0200-00005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00000000-0008-0000-0200-00006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00000000-0008-0000-0200-00006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00000000-0008-0000-0200-00006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00000000-0008-0000-0200-00006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00000000-0008-0000-0200-00007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00000000-0008-0000-0200-00007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00000000-0008-0000-0200-00007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00000000-0008-0000-0200-00007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00000000-0008-0000-0200-00008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00000000-0008-0000-0200-00008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00000000-0008-0000-0200-00008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00000000-0008-0000-0200-00008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00000000-0008-0000-0200-00008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00000000-0008-0000-0200-00008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00000000-0008-0000-0200-00008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00000000-0008-0000-0200-00008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00000000-0008-0000-0200-00009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00000000-0008-0000-0200-00009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00000000-0008-0000-0200-00009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00000000-0008-0000-0200-0000A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00000000-0008-0000-0200-0000A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00000000-0008-0000-0200-0000A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00000000-0008-0000-0200-0000A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00000000-0008-0000-0200-0000A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00000000-0008-0000-0200-00001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00000000-0008-0000-0200-00001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00000000-0008-0000-0200-00001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00000000-0008-0000-0200-00001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00000000-0008-0000-0200-00001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00000000-0008-0000-0200-00002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00000000-0008-0000-0200-00002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00000000-0008-0000-0200-00002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00000000-0008-0000-0200-00002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00000000-0008-0000-0200-00002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00000000-0008-0000-0200-00004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00000000-0008-0000-0200-00004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00000000-0008-0000-0200-00004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00000000-0008-0000-0200-00004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00000000-0008-0000-0200-00004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00000000-0008-0000-0200-00009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00000000-0008-0000-0200-0000B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00000000-0008-0000-0200-0000D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00000000-0008-0000-0200-0000D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00000000-0008-0000-0200-0000D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00000000-0008-0000-0200-0000D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00000000-0008-0000-0200-0000D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00000000-0008-0000-0200-0000D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0000000-0008-0000-0200-0000E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00000000-0008-0000-0200-0000E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00000000-0008-0000-0200-0000E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00000000-0008-0000-0200-0000E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0000000-0008-0000-0200-0000E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00000000-0008-0000-0200-0000E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00000000-0008-0000-0200-0000E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00000000-0008-0000-0200-0000E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00000000-0008-0000-0200-0000E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00000000-0008-0000-0200-0000E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00000000-0008-0000-0200-0000E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00000000-0008-0000-0200-0000E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00000000-0008-0000-0200-00000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00000000-0008-0000-0200-00000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00000000-0008-0000-0200-00002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00000000-0008-0000-0200-00004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00000000-0008-0000-0200-00006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0000000-0008-0000-0200-00007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00000000-0008-0000-0200-00009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00000000-0008-0000-0200-00009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00000000-0008-0000-0200-0000B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00000000-0008-0000-0200-0000B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00000000-0008-0000-0200-0000D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00000000-0008-0000-0200-0000D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00000000-0008-0000-0200-0000E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00000000-0008-0000-0200-0000E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00000000-0008-0000-0200-00000A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00000000-0008-0000-0200-000025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00000000-0008-0000-0200-00004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00000000-0008-0000-0200-00005B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00000000-0008-0000-0200-00003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00000000-0008-0000-0200-0000A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00000000-0008-0000-0200-0000A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00000000-0008-0000-0200-0000A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00000000-0008-0000-0200-00004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00000000-0008-0000-0200-00004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00000000-0008-0000-0200-00007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00000000-0008-0000-0200-00007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00000000-0008-0000-0200-00009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00000000-0008-0000-0200-00009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00000000-0008-0000-0200-0000B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00000000-0008-0000-0200-0000B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00000000-0008-0000-0200-0000D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00000000-0008-0000-0200-0000D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00000000-0008-0000-0200-00003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00000000-0008-0000-0200-00003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00000000-0008-0000-0200-00004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00000000-0008-0000-0200-00004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00000000-0008-0000-0200-00006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00000000-0008-0000-0200-00006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00000000-0008-0000-0200-00008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00000000-0008-0000-0200-00008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00000000-0008-0000-0200-0000A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00000000-0008-0000-0200-0000A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00000000-0008-0000-0200-0000C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00000000-0008-0000-0200-0000C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00000000-0008-0000-0200-0000E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00000000-0008-0000-0200-0000E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00000000-0008-0000-0200-00000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00000000-0008-0000-0200-000001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00000000-0008-0000-0200-00001D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00000000-0008-0000-0200-00001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00000000-0008-0000-0200-00009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00000000-0008-0000-0200-0000A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00000000-0008-0000-0200-0000B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00000000-0008-0000-0200-00007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00000000-0008-0000-0200-00004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00000000-0008-0000-0200-00004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00000000-0008-0000-0200-0000A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00000000-0008-0000-0200-0000A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00000000-0008-0000-0200-0000A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00000000-0008-0000-0200-0000A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00000000-0008-0000-0200-0000B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00000000-0008-0000-0200-0000B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00000000-0008-0000-0200-0000B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00000000-0008-0000-0200-0000B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00000000-0008-0000-0200-0000B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00000000-0008-0000-0200-0000B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00000000-0008-0000-0200-0000B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00000000-0008-0000-0200-0000C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00000000-0008-0000-0200-0000C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0000000-0008-0000-0200-0000C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00000000-0008-0000-0200-0000C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00000000-0008-0000-0200-0000C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00000000-0008-0000-0200-0000C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00000000-0008-0000-0200-0000C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00000000-0008-0000-0200-0000C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00000000-0008-0000-0200-0000C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00000000-0008-0000-0200-0000C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00000000-0008-0000-0200-0000D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00000000-0008-0000-0200-0000A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00000000-0008-0000-0200-0000A6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00000000-0008-0000-0200-0000A7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00000000-0008-0000-0200-0000A8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00000000-0008-0000-0200-0000A9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00000000-0008-0000-0200-0000AA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00000000-0008-0000-0200-0000AB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00000000-0008-0000-0200-0000AC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00000000-0008-0000-0200-0000AD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00000000-0008-0000-0200-0000A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00000000-0008-0000-0200-0000B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00000000-0008-0000-0200-0000B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00000000-0008-0000-0200-0000B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00000000-0008-0000-0200-0000B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00000000-0008-0000-0200-0000B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00000000-0008-0000-0200-0000B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0000000-0008-0000-0200-0000B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00000000-0008-0000-0200-00004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00000000-0008-0000-0200-00004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00000000-0008-0000-0200-00005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00000000-0008-0000-0200-00005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0000000-0008-0000-0200-0000A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00000000-0008-0000-0200-0000A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00000000-0008-0000-0200-0000B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00000000-0008-0000-0200-0000B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00000000-0008-0000-0200-0000B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00000000-0008-0000-0200-0000B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00000000-0008-0000-0200-0000B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00000000-0008-0000-0200-0000B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00000000-0008-0000-0200-0000B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00000000-0008-0000-0200-0000B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00000000-0008-0000-0200-0000B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00000000-0008-0000-0200-00008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00000000-0008-0000-0200-00008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00000000-0008-0000-0200-00008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00000000-0008-0000-0200-00008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00000000-0008-0000-0200-00008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00000000-0008-0000-0200-00009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00000000-0008-0000-0200-00009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00000000-0008-0000-0200-00009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00000000-0008-0000-0200-0000A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00000000-0008-0000-0200-0000A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00000000-0008-0000-0200-00005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00000000-0008-0000-0200-00005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00000000-0008-0000-0200-00005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00000000-0008-0000-0200-00005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00000000-0008-0000-0200-00005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00000000-0008-0000-0200-00005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00000000-0008-0000-0200-00005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00000000-0008-0000-0200-00006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00000000-0008-0000-0200-00008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00000000-0008-0000-0200-00008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00000000-0008-0000-0200-00008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00000000-0008-0000-0200-00008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00000000-0008-0000-0200-00008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00000000-0008-0000-0200-00008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00000000-0008-0000-0200-00008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00000000-0008-0000-0200-00008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00000000-0008-0000-0200-00008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00000000-0008-0000-0200-00008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00000000-0008-0000-0200-00008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00000000-0008-0000-0200-0000D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00000000-0008-0000-0200-0000D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00000000-0008-0000-0200-0000D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0000000-0008-0000-0200-0000E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00000000-0008-0000-0200-0000E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00000000-0008-0000-0200-0000E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00000000-0008-0000-0200-0000E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00000000-0008-0000-0200-0000E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0000000-0008-0000-0200-0000E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00000000-0008-0000-0200-0000E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00000000-0008-0000-0200-000050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00000000-0008-0000-0200-000051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00000000-0008-0000-0200-000052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00000000-0008-0000-0200-00005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00000000-0008-0000-0200-00005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00000000-0008-0000-0200-00005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00000000-0008-0000-0200-00005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00000000-0008-0000-0200-00005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00000000-0008-0000-0200-00005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00000000-0008-0000-0200-00005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00000000-0008-0000-0200-00009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00000000-0008-0000-0200-00009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00000000-0008-0000-0200-00009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00000000-0008-0000-0200-00009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00000000-0008-0000-0200-00009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00000000-0008-0000-0200-00009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00000000-0008-0000-0200-00009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00000000-0008-0000-0200-00009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00000000-0008-0000-0200-00009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00000000-0008-0000-0200-00009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00000000-0008-0000-0200-00004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00000000-0008-0000-0200-00004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00000000-0008-0000-0200-00004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00000000-0008-0000-0200-00004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00000000-0008-0000-0200-00004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00000000-0008-0000-0200-00004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00000000-0008-0000-0200-00004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00000000-0008-0000-0200-00004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00000000-0008-0000-0200-00004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00000000-0008-0000-0200-00004D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00000000-0008-0000-0200-0000FC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00000000-0008-0000-0200-0000FD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00000000-0008-0000-0200-0000FE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000000-0008-0000-0200-0000FF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00000000-0008-0000-0200-0000A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00000000-0008-0000-0200-0000A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00000000-0008-0000-0200-0000A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00000000-0008-0000-0200-0000A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00000000-0008-0000-0200-0000A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00000000-0008-0000-0200-0000B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00000000-0008-0000-0200-0000B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00000000-0008-0000-0200-0000BF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00000000-0008-0000-0200-00005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00000000-0008-0000-0200-00005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00000000-0008-0000-0200-00005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00000000-0008-0000-0200-00005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00000000-0008-0000-0200-00005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00000000-0008-0000-0200-00005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00000000-0008-0000-0200-00006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00000000-0008-0000-0200-00006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00000000-0008-0000-0200-0000A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00000000-0008-0000-0200-0000A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00000000-0008-0000-0200-0000A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00000000-0008-0000-0200-0000B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00000000-0008-0000-0200-0000B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0000000-0008-0000-0200-0000B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00000000-0008-0000-0200-0000B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00000000-0008-0000-0200-0000B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00000000-0008-0000-0200-0000B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00000000-0008-0000-0200-0000B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00000000-0008-0000-0200-00007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00000000-0008-0000-0200-00007F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00000000-0008-0000-0200-000000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00000000-0008-0000-0200-000001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00000000-0008-0000-0200-000002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00000000-0008-0000-0200-000003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00000000-0008-0000-0200-000004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00000000-0008-0000-0200-000005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00000000-0008-0000-0200-000006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00000000-0008-0000-0200-000007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00000000-0008-0000-0200-00000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00000000-0008-0000-0200-00000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00000000-0008-0000-0200-00000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00000000-0008-0000-0200-00000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00000000-0008-0000-0200-00000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00000000-0008-0000-0200-00000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00000000-0008-0000-0200-00000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00000000-0008-0000-0200-00000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00000000-0008-0000-0200-00000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00000000-0008-0000-0200-00000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00000000-0008-0000-0200-00001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00000000-0008-0000-0200-00001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00000000-0008-0000-0200-00001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00000000-0008-0000-0200-00001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00000000-0008-0000-0200-00001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00000000-0008-0000-0200-00001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00000000-0008-0000-0200-00001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00000000-0008-0000-0200-00002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00000000-0008-0000-0200-00002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00000000-0008-0000-0200-00002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00000000-0008-0000-0200-0000B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6" name="연결선: 꺾임 64975">
          <a:extLst>
            <a:ext uri="{FF2B5EF4-FFF2-40B4-BE49-F238E27FC236}">
              <a16:creationId xmlns:a16="http://schemas.microsoft.com/office/drawing/2014/main" id="{00000000-0008-0000-0200-0000D0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7" name="연결선: 꺾임 64976">
          <a:extLst>
            <a:ext uri="{FF2B5EF4-FFF2-40B4-BE49-F238E27FC236}">
              <a16:creationId xmlns:a16="http://schemas.microsoft.com/office/drawing/2014/main" id="{00000000-0008-0000-0200-0000D1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8" name="연결선: 꺾임 64977">
          <a:extLst>
            <a:ext uri="{FF2B5EF4-FFF2-40B4-BE49-F238E27FC236}">
              <a16:creationId xmlns:a16="http://schemas.microsoft.com/office/drawing/2014/main" id="{00000000-0008-0000-0200-0000D2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9" name="연결선: 꺾임 64978">
          <a:extLst>
            <a:ext uri="{FF2B5EF4-FFF2-40B4-BE49-F238E27FC236}">
              <a16:creationId xmlns:a16="http://schemas.microsoft.com/office/drawing/2014/main" id="{00000000-0008-0000-0200-0000D3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0" name="연결선: 꺾임 64979">
          <a:extLst>
            <a:ext uri="{FF2B5EF4-FFF2-40B4-BE49-F238E27FC236}">
              <a16:creationId xmlns:a16="http://schemas.microsoft.com/office/drawing/2014/main" id="{00000000-0008-0000-0200-0000D4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4" name="연결선: 꺾임 64993">
          <a:extLst>
            <a:ext uri="{FF2B5EF4-FFF2-40B4-BE49-F238E27FC236}">
              <a16:creationId xmlns:a16="http://schemas.microsoft.com/office/drawing/2014/main" id="{00000000-0008-0000-0200-0000E2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5" name="연결선: 꺾임 64994">
          <a:extLst>
            <a:ext uri="{FF2B5EF4-FFF2-40B4-BE49-F238E27FC236}">
              <a16:creationId xmlns:a16="http://schemas.microsoft.com/office/drawing/2014/main" id="{00000000-0008-0000-0200-0000E3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6" name="연결선: 꺾임 64995">
          <a:extLst>
            <a:ext uri="{FF2B5EF4-FFF2-40B4-BE49-F238E27FC236}">
              <a16:creationId xmlns:a16="http://schemas.microsoft.com/office/drawing/2014/main" id="{00000000-0008-0000-0200-0000E4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7" name="연결선: 꺾임 64996">
          <a:extLst>
            <a:ext uri="{FF2B5EF4-FFF2-40B4-BE49-F238E27FC236}">
              <a16:creationId xmlns:a16="http://schemas.microsoft.com/office/drawing/2014/main" id="{00000000-0008-0000-0200-0000E5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8" name="연결선: 꺾임 64997">
          <a:extLst>
            <a:ext uri="{FF2B5EF4-FFF2-40B4-BE49-F238E27FC236}">
              <a16:creationId xmlns:a16="http://schemas.microsoft.com/office/drawing/2014/main" id="{00000000-0008-0000-0200-0000E6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xdr:colOff>
      <xdr:row>3</xdr:row>
      <xdr:rowOff>76073</xdr:rowOff>
    </xdr:from>
    <xdr:to>
      <xdr:col>47</xdr:col>
      <xdr:colOff>1</xdr:colOff>
      <xdr:row>261</xdr:row>
      <xdr:rowOff>152399</xdr:rowOff>
    </xdr:to>
    <xdr:cxnSp macro="">
      <xdr:nvCxnSpPr>
        <xdr:cNvPr id="65048" name="직선 화살표 연결선 65047">
          <a:extLst>
            <a:ext uri="{FF2B5EF4-FFF2-40B4-BE49-F238E27FC236}">
              <a16:creationId xmlns:a16="http://schemas.microsoft.com/office/drawing/2014/main" id="{BE092153-24B5-4C0D-8F31-B3F6363DEA65}"/>
            </a:ext>
          </a:extLst>
        </xdr:cNvPr>
        <xdr:cNvCxnSpPr/>
      </xdr:nvCxnSpPr>
      <xdr:spPr>
        <a:xfrm>
          <a:off x="22959061" y="815213"/>
          <a:ext cx="0" cy="393193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1</xdr:colOff>
      <xdr:row>3</xdr:row>
      <xdr:rowOff>76073</xdr:rowOff>
    </xdr:from>
    <xdr:to>
      <xdr:col>63</xdr:col>
      <xdr:colOff>1</xdr:colOff>
      <xdr:row>261</xdr:row>
      <xdr:rowOff>152399</xdr:rowOff>
    </xdr:to>
    <xdr:cxnSp macro="">
      <xdr:nvCxnSpPr>
        <xdr:cNvPr id="65049" name="직선 화살표 연결선 65048">
          <a:extLst>
            <a:ext uri="{FF2B5EF4-FFF2-40B4-BE49-F238E27FC236}">
              <a16:creationId xmlns:a16="http://schemas.microsoft.com/office/drawing/2014/main" id="{B636E5D8-5999-4E26-8722-EB858BC884E5}"/>
            </a:ext>
          </a:extLst>
        </xdr:cNvPr>
        <xdr:cNvCxnSpPr/>
      </xdr:nvCxnSpPr>
      <xdr:spPr>
        <a:xfrm>
          <a:off x="35151061" y="815213"/>
          <a:ext cx="0" cy="393193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1</xdr:colOff>
      <xdr:row>3</xdr:row>
      <xdr:rowOff>76073</xdr:rowOff>
    </xdr:from>
    <xdr:to>
      <xdr:col>79</xdr:col>
      <xdr:colOff>1</xdr:colOff>
      <xdr:row>261</xdr:row>
      <xdr:rowOff>152399</xdr:rowOff>
    </xdr:to>
    <xdr:cxnSp macro="">
      <xdr:nvCxnSpPr>
        <xdr:cNvPr id="65050" name="직선 화살표 연결선 65049">
          <a:extLst>
            <a:ext uri="{FF2B5EF4-FFF2-40B4-BE49-F238E27FC236}">
              <a16:creationId xmlns:a16="http://schemas.microsoft.com/office/drawing/2014/main" id="{50ED7E2F-CF56-4666-85DE-7BDE3DC90097}"/>
            </a:ext>
          </a:extLst>
        </xdr:cNvPr>
        <xdr:cNvCxnSpPr/>
      </xdr:nvCxnSpPr>
      <xdr:spPr>
        <a:xfrm>
          <a:off x="47343061" y="815213"/>
          <a:ext cx="0" cy="393193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3</xdr:row>
      <xdr:rowOff>76073</xdr:rowOff>
    </xdr:from>
    <xdr:to>
      <xdr:col>33</xdr:col>
      <xdr:colOff>103414</xdr:colOff>
      <xdr:row>261</xdr:row>
      <xdr:rowOff>152399</xdr:rowOff>
    </xdr:to>
    <xdr:cxnSp macro="">
      <xdr:nvCxnSpPr>
        <xdr:cNvPr id="65051" name="직선 화살표 연결선 65050">
          <a:extLst>
            <a:ext uri="{FF2B5EF4-FFF2-40B4-BE49-F238E27FC236}">
              <a16:creationId xmlns:a16="http://schemas.microsoft.com/office/drawing/2014/main" id="{3A80C5FB-CB2D-48BD-8A2C-A7EF759BEAAA}"/>
            </a:ext>
          </a:extLst>
        </xdr:cNvPr>
        <xdr:cNvCxnSpPr/>
      </xdr:nvCxnSpPr>
      <xdr:spPr>
        <a:xfrm>
          <a:off x="11160034" y="815213"/>
          <a:ext cx="0" cy="39319326"/>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124098</xdr:colOff>
      <xdr:row>261</xdr:row>
      <xdr:rowOff>19049</xdr:rowOff>
    </xdr:from>
    <xdr:to>
      <xdr:col>82</xdr:col>
      <xdr:colOff>125367</xdr:colOff>
      <xdr:row>261</xdr:row>
      <xdr:rowOff>133349</xdr:rowOff>
    </xdr:to>
    <xdr:sp macro="" textlink="">
      <xdr:nvSpPr>
        <xdr:cNvPr id="65052" name="258">
          <a:extLst>
            <a:ext uri="{FF2B5EF4-FFF2-40B4-BE49-F238E27FC236}">
              <a16:creationId xmlns:a16="http://schemas.microsoft.com/office/drawing/2014/main" id="{00719068-FE88-4666-B78E-785F20DC4E38}"/>
            </a:ext>
          </a:extLst>
        </xdr:cNvPr>
        <xdr:cNvSpPr/>
      </xdr:nvSpPr>
      <xdr:spPr>
        <a:xfrm>
          <a:off x="17695818" y="40001189"/>
          <a:ext cx="5803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124098</xdr:colOff>
      <xdr:row>261</xdr:row>
      <xdr:rowOff>76199</xdr:rowOff>
    </xdr:from>
    <xdr:to>
      <xdr:col>78</xdr:col>
      <xdr:colOff>124098</xdr:colOff>
      <xdr:row>261</xdr:row>
      <xdr:rowOff>76199</xdr:rowOff>
    </xdr:to>
    <xdr:cxnSp macro="">
      <xdr:nvCxnSpPr>
        <xdr:cNvPr id="65053" name="직선 화살표 연결선 65052">
          <a:extLst>
            <a:ext uri="{FF2B5EF4-FFF2-40B4-BE49-F238E27FC236}">
              <a16:creationId xmlns:a16="http://schemas.microsoft.com/office/drawing/2014/main" id="{ECF4377E-C3F7-4940-BF1D-E133B60141F3}"/>
            </a:ext>
          </a:extLst>
        </xdr:cNvPr>
        <xdr:cNvCxnSpPr/>
      </xdr:nvCxnSpPr>
      <xdr:spPr>
        <a:xfrm>
          <a:off x="17695818" y="4005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20682</xdr:colOff>
      <xdr:row>260</xdr:row>
      <xdr:rowOff>19049</xdr:rowOff>
    </xdr:from>
    <xdr:to>
      <xdr:col>76</xdr:col>
      <xdr:colOff>84002</xdr:colOff>
      <xdr:row>260</xdr:row>
      <xdr:rowOff>133349</xdr:rowOff>
    </xdr:to>
    <xdr:sp macro="" textlink="">
      <xdr:nvSpPr>
        <xdr:cNvPr id="65054" name="257">
          <a:extLst>
            <a:ext uri="{FF2B5EF4-FFF2-40B4-BE49-F238E27FC236}">
              <a16:creationId xmlns:a16="http://schemas.microsoft.com/office/drawing/2014/main" id="{6F9BF675-98DE-4BD4-8FFF-C6D854715712}"/>
            </a:ext>
          </a:extLst>
        </xdr:cNvPr>
        <xdr:cNvSpPr/>
      </xdr:nvSpPr>
      <xdr:spPr>
        <a:xfrm>
          <a:off x="17013282" y="39848789"/>
          <a:ext cx="3528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20682</xdr:colOff>
      <xdr:row>260</xdr:row>
      <xdr:rowOff>76199</xdr:rowOff>
    </xdr:from>
    <xdr:to>
      <xdr:col>74</xdr:col>
      <xdr:colOff>20682</xdr:colOff>
      <xdr:row>260</xdr:row>
      <xdr:rowOff>76199</xdr:rowOff>
    </xdr:to>
    <xdr:cxnSp macro="">
      <xdr:nvCxnSpPr>
        <xdr:cNvPr id="65055" name="직선 화살표 연결선 65054">
          <a:extLst>
            <a:ext uri="{FF2B5EF4-FFF2-40B4-BE49-F238E27FC236}">
              <a16:creationId xmlns:a16="http://schemas.microsoft.com/office/drawing/2014/main" id="{986D9211-DA3F-459F-89B7-F5F624834160}"/>
            </a:ext>
          </a:extLst>
        </xdr:cNvPr>
        <xdr:cNvCxnSpPr/>
      </xdr:nvCxnSpPr>
      <xdr:spPr>
        <a:xfrm>
          <a:off x="17013282" y="3990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20682</xdr:colOff>
      <xdr:row>259</xdr:row>
      <xdr:rowOff>19049</xdr:rowOff>
    </xdr:from>
    <xdr:to>
      <xdr:col>75</xdr:col>
      <xdr:colOff>125366</xdr:colOff>
      <xdr:row>259</xdr:row>
      <xdr:rowOff>133349</xdr:rowOff>
    </xdr:to>
    <xdr:sp macro="" textlink="">
      <xdr:nvSpPr>
        <xdr:cNvPr id="74688" name="256">
          <a:extLst>
            <a:ext uri="{FF2B5EF4-FFF2-40B4-BE49-F238E27FC236}">
              <a16:creationId xmlns:a16="http://schemas.microsoft.com/office/drawing/2014/main" id="{84129B3A-F502-4F6C-9F8A-D53E7F7BD4AB}"/>
            </a:ext>
          </a:extLst>
        </xdr:cNvPr>
        <xdr:cNvSpPr/>
      </xdr:nvSpPr>
      <xdr:spPr>
        <a:xfrm>
          <a:off x="16144602" y="39696389"/>
          <a:ext cx="1118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20682</xdr:colOff>
      <xdr:row>259</xdr:row>
      <xdr:rowOff>76199</xdr:rowOff>
    </xdr:from>
    <xdr:to>
      <xdr:col>68</xdr:col>
      <xdr:colOff>20682</xdr:colOff>
      <xdr:row>259</xdr:row>
      <xdr:rowOff>76199</xdr:rowOff>
    </xdr:to>
    <xdr:cxnSp macro="">
      <xdr:nvCxnSpPr>
        <xdr:cNvPr id="74689" name="직선 화살표 연결선 74688">
          <a:extLst>
            <a:ext uri="{FF2B5EF4-FFF2-40B4-BE49-F238E27FC236}">
              <a16:creationId xmlns:a16="http://schemas.microsoft.com/office/drawing/2014/main" id="{4207F1F1-9E6B-4613-8AB0-152F900EFDF2}"/>
            </a:ext>
          </a:extLst>
        </xdr:cNvPr>
        <xdr:cNvCxnSpPr/>
      </xdr:nvCxnSpPr>
      <xdr:spPr>
        <a:xfrm>
          <a:off x="16144602" y="3975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20682</xdr:colOff>
      <xdr:row>258</xdr:row>
      <xdr:rowOff>19049</xdr:rowOff>
    </xdr:from>
    <xdr:to>
      <xdr:col>82</xdr:col>
      <xdr:colOff>125367</xdr:colOff>
      <xdr:row>258</xdr:row>
      <xdr:rowOff>133349</xdr:rowOff>
    </xdr:to>
    <xdr:sp macro="" textlink="">
      <xdr:nvSpPr>
        <xdr:cNvPr id="74690" name="255">
          <a:extLst>
            <a:ext uri="{FF2B5EF4-FFF2-40B4-BE49-F238E27FC236}">
              <a16:creationId xmlns:a16="http://schemas.microsoft.com/office/drawing/2014/main" id="{8239F50C-5F7E-4ACD-B4DB-422921303C7D}"/>
            </a:ext>
          </a:extLst>
        </xdr:cNvPr>
        <xdr:cNvSpPr/>
      </xdr:nvSpPr>
      <xdr:spPr>
        <a:xfrm>
          <a:off x="16144602" y="39543989"/>
          <a:ext cx="21316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20682</xdr:colOff>
      <xdr:row>258</xdr:row>
      <xdr:rowOff>76199</xdr:rowOff>
    </xdr:from>
    <xdr:to>
      <xdr:col>68</xdr:col>
      <xdr:colOff>20682</xdr:colOff>
      <xdr:row>258</xdr:row>
      <xdr:rowOff>76199</xdr:rowOff>
    </xdr:to>
    <xdr:cxnSp macro="">
      <xdr:nvCxnSpPr>
        <xdr:cNvPr id="74691" name="직선 화살표 연결선 74690">
          <a:extLst>
            <a:ext uri="{FF2B5EF4-FFF2-40B4-BE49-F238E27FC236}">
              <a16:creationId xmlns:a16="http://schemas.microsoft.com/office/drawing/2014/main" id="{4651EB74-8EF0-4A44-AD7F-8365193E4DE6}"/>
            </a:ext>
          </a:extLst>
        </xdr:cNvPr>
        <xdr:cNvCxnSpPr/>
      </xdr:nvCxnSpPr>
      <xdr:spPr>
        <a:xfrm>
          <a:off x="16144602" y="3960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257</xdr:row>
      <xdr:rowOff>19049</xdr:rowOff>
    </xdr:from>
    <xdr:to>
      <xdr:col>83</xdr:col>
      <xdr:colOff>42636</xdr:colOff>
      <xdr:row>257</xdr:row>
      <xdr:rowOff>133349</xdr:rowOff>
    </xdr:to>
    <xdr:sp macro="" textlink="">
      <xdr:nvSpPr>
        <xdr:cNvPr id="74692" name="254">
          <a:extLst>
            <a:ext uri="{FF2B5EF4-FFF2-40B4-BE49-F238E27FC236}">
              <a16:creationId xmlns:a16="http://schemas.microsoft.com/office/drawing/2014/main" id="{0BD247C9-2A46-4141-ACB1-A0388B4D2DA9}"/>
            </a:ext>
          </a:extLst>
        </xdr:cNvPr>
        <xdr:cNvSpPr/>
      </xdr:nvSpPr>
      <xdr:spPr>
        <a:xfrm>
          <a:off x="14841582" y="39391589"/>
          <a:ext cx="34966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257</xdr:row>
      <xdr:rowOff>76199</xdr:rowOff>
    </xdr:from>
    <xdr:to>
      <xdr:col>59</xdr:col>
      <xdr:colOff>20682</xdr:colOff>
      <xdr:row>257</xdr:row>
      <xdr:rowOff>76199</xdr:rowOff>
    </xdr:to>
    <xdr:cxnSp macro="">
      <xdr:nvCxnSpPr>
        <xdr:cNvPr id="74693" name="직선 화살표 연결선 74692">
          <a:extLst>
            <a:ext uri="{FF2B5EF4-FFF2-40B4-BE49-F238E27FC236}">
              <a16:creationId xmlns:a16="http://schemas.microsoft.com/office/drawing/2014/main" id="{8E68FFD2-5352-4FB3-8547-7774641A80FA}"/>
            </a:ext>
          </a:extLst>
        </xdr:cNvPr>
        <xdr:cNvCxnSpPr/>
      </xdr:nvCxnSpPr>
      <xdr:spPr>
        <a:xfrm>
          <a:off x="14841582" y="3944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256</xdr:row>
      <xdr:rowOff>19049</xdr:rowOff>
    </xdr:from>
    <xdr:to>
      <xdr:col>74</xdr:col>
      <xdr:colOff>125368</xdr:colOff>
      <xdr:row>256</xdr:row>
      <xdr:rowOff>133349</xdr:rowOff>
    </xdr:to>
    <xdr:sp macro="" textlink="">
      <xdr:nvSpPr>
        <xdr:cNvPr id="74694" name="253">
          <a:extLst>
            <a:ext uri="{FF2B5EF4-FFF2-40B4-BE49-F238E27FC236}">
              <a16:creationId xmlns:a16="http://schemas.microsoft.com/office/drawing/2014/main" id="{B72DB08E-4A04-4540-863E-6485E1D035B6}"/>
            </a:ext>
          </a:extLst>
        </xdr:cNvPr>
        <xdr:cNvSpPr/>
      </xdr:nvSpPr>
      <xdr:spPr>
        <a:xfrm>
          <a:off x="14200414" y="39239189"/>
          <a:ext cx="2917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256</xdr:row>
      <xdr:rowOff>76199</xdr:rowOff>
    </xdr:from>
    <xdr:to>
      <xdr:col>54</xdr:col>
      <xdr:colOff>103414</xdr:colOff>
      <xdr:row>256</xdr:row>
      <xdr:rowOff>76199</xdr:rowOff>
    </xdr:to>
    <xdr:cxnSp macro="">
      <xdr:nvCxnSpPr>
        <xdr:cNvPr id="74695" name="직선 화살표 연결선 74694">
          <a:extLst>
            <a:ext uri="{FF2B5EF4-FFF2-40B4-BE49-F238E27FC236}">
              <a16:creationId xmlns:a16="http://schemas.microsoft.com/office/drawing/2014/main" id="{A38BEB91-5C56-4161-9512-22C0041523AB}"/>
            </a:ext>
          </a:extLst>
        </xdr:cNvPr>
        <xdr:cNvCxnSpPr/>
      </xdr:nvCxnSpPr>
      <xdr:spPr>
        <a:xfrm>
          <a:off x="14200414" y="3929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255</xdr:row>
      <xdr:rowOff>19049</xdr:rowOff>
    </xdr:from>
    <xdr:to>
      <xdr:col>83</xdr:col>
      <xdr:colOff>42636</xdr:colOff>
      <xdr:row>255</xdr:row>
      <xdr:rowOff>133349</xdr:rowOff>
    </xdr:to>
    <xdr:sp macro="" textlink="">
      <xdr:nvSpPr>
        <xdr:cNvPr id="74696" name="252">
          <a:extLst>
            <a:ext uri="{FF2B5EF4-FFF2-40B4-BE49-F238E27FC236}">
              <a16:creationId xmlns:a16="http://schemas.microsoft.com/office/drawing/2014/main" id="{E51F8A51-BAAF-48BE-B6C7-A7A686FE6CDC}"/>
            </a:ext>
          </a:extLst>
        </xdr:cNvPr>
        <xdr:cNvSpPr/>
      </xdr:nvSpPr>
      <xdr:spPr>
        <a:xfrm>
          <a:off x="14200414" y="39086789"/>
          <a:ext cx="4137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255</xdr:row>
      <xdr:rowOff>76199</xdr:rowOff>
    </xdr:from>
    <xdr:to>
      <xdr:col>54</xdr:col>
      <xdr:colOff>103414</xdr:colOff>
      <xdr:row>255</xdr:row>
      <xdr:rowOff>76199</xdr:rowOff>
    </xdr:to>
    <xdr:cxnSp macro="">
      <xdr:nvCxnSpPr>
        <xdr:cNvPr id="74697" name="직선 화살표 연결선 74696">
          <a:extLst>
            <a:ext uri="{FF2B5EF4-FFF2-40B4-BE49-F238E27FC236}">
              <a16:creationId xmlns:a16="http://schemas.microsoft.com/office/drawing/2014/main" id="{9A1491CD-70F9-4176-B8CD-EBA95F7274B8}"/>
            </a:ext>
          </a:extLst>
        </xdr:cNvPr>
        <xdr:cNvCxnSpPr/>
      </xdr:nvCxnSpPr>
      <xdr:spPr>
        <a:xfrm>
          <a:off x="14200414" y="3914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20683</xdr:colOff>
      <xdr:row>254</xdr:row>
      <xdr:rowOff>19049</xdr:rowOff>
    </xdr:from>
    <xdr:to>
      <xdr:col>80</xdr:col>
      <xdr:colOff>125366</xdr:colOff>
      <xdr:row>254</xdr:row>
      <xdr:rowOff>133349</xdr:rowOff>
    </xdr:to>
    <xdr:sp macro="" textlink="">
      <xdr:nvSpPr>
        <xdr:cNvPr id="74698" name="251">
          <a:extLst>
            <a:ext uri="{FF2B5EF4-FFF2-40B4-BE49-F238E27FC236}">
              <a16:creationId xmlns:a16="http://schemas.microsoft.com/office/drawing/2014/main" id="{FAD97819-F1C2-4BBC-B3F5-81350F3C4749}"/>
            </a:ext>
          </a:extLst>
        </xdr:cNvPr>
        <xdr:cNvSpPr/>
      </xdr:nvSpPr>
      <xdr:spPr>
        <a:xfrm>
          <a:off x="17302843" y="38934389"/>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20683</xdr:colOff>
      <xdr:row>254</xdr:row>
      <xdr:rowOff>76199</xdr:rowOff>
    </xdr:from>
    <xdr:to>
      <xdr:col>76</xdr:col>
      <xdr:colOff>20683</xdr:colOff>
      <xdr:row>254</xdr:row>
      <xdr:rowOff>76199</xdr:rowOff>
    </xdr:to>
    <xdr:cxnSp macro="">
      <xdr:nvCxnSpPr>
        <xdr:cNvPr id="74699" name="직선 화살표 연결선 74698">
          <a:extLst>
            <a:ext uri="{FF2B5EF4-FFF2-40B4-BE49-F238E27FC236}">
              <a16:creationId xmlns:a16="http://schemas.microsoft.com/office/drawing/2014/main" id="{117E5002-A740-47D4-829A-ED8EEF098FCD}"/>
            </a:ext>
          </a:extLst>
        </xdr:cNvPr>
        <xdr:cNvCxnSpPr/>
      </xdr:nvCxnSpPr>
      <xdr:spPr>
        <a:xfrm>
          <a:off x="17302843" y="3899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20683</xdr:colOff>
      <xdr:row>253</xdr:row>
      <xdr:rowOff>19049</xdr:rowOff>
    </xdr:from>
    <xdr:to>
      <xdr:col>74</xdr:col>
      <xdr:colOff>125368</xdr:colOff>
      <xdr:row>253</xdr:row>
      <xdr:rowOff>133349</xdr:rowOff>
    </xdr:to>
    <xdr:sp macro="" textlink="">
      <xdr:nvSpPr>
        <xdr:cNvPr id="74700" name="250">
          <a:extLst>
            <a:ext uri="{FF2B5EF4-FFF2-40B4-BE49-F238E27FC236}">
              <a16:creationId xmlns:a16="http://schemas.microsoft.com/office/drawing/2014/main" id="{33DB1896-4397-46E5-A2FF-6ECA780E0C6F}"/>
            </a:ext>
          </a:extLst>
        </xdr:cNvPr>
        <xdr:cNvSpPr/>
      </xdr:nvSpPr>
      <xdr:spPr>
        <a:xfrm>
          <a:off x="16723723" y="38781989"/>
          <a:ext cx="3942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20683</xdr:colOff>
      <xdr:row>253</xdr:row>
      <xdr:rowOff>76199</xdr:rowOff>
    </xdr:from>
    <xdr:to>
      <xdr:col>72</xdr:col>
      <xdr:colOff>20683</xdr:colOff>
      <xdr:row>253</xdr:row>
      <xdr:rowOff>76199</xdr:rowOff>
    </xdr:to>
    <xdr:cxnSp macro="">
      <xdr:nvCxnSpPr>
        <xdr:cNvPr id="74701" name="직선 화살표 연결선 74700">
          <a:extLst>
            <a:ext uri="{FF2B5EF4-FFF2-40B4-BE49-F238E27FC236}">
              <a16:creationId xmlns:a16="http://schemas.microsoft.com/office/drawing/2014/main" id="{32DBC6A5-0E12-43B6-A64B-A4E9EF3898C1}"/>
            </a:ext>
          </a:extLst>
        </xdr:cNvPr>
        <xdr:cNvCxnSpPr/>
      </xdr:nvCxnSpPr>
      <xdr:spPr>
        <a:xfrm>
          <a:off x="16723723" y="3883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20683</xdr:colOff>
      <xdr:row>252</xdr:row>
      <xdr:rowOff>19049</xdr:rowOff>
    </xdr:from>
    <xdr:to>
      <xdr:col>80</xdr:col>
      <xdr:colOff>125366</xdr:colOff>
      <xdr:row>252</xdr:row>
      <xdr:rowOff>133349</xdr:rowOff>
    </xdr:to>
    <xdr:sp macro="" textlink="">
      <xdr:nvSpPr>
        <xdr:cNvPr id="74702" name="249">
          <a:extLst>
            <a:ext uri="{FF2B5EF4-FFF2-40B4-BE49-F238E27FC236}">
              <a16:creationId xmlns:a16="http://schemas.microsoft.com/office/drawing/2014/main" id="{2337507E-B54F-443B-95BE-14AE22909B4A}"/>
            </a:ext>
          </a:extLst>
        </xdr:cNvPr>
        <xdr:cNvSpPr/>
      </xdr:nvSpPr>
      <xdr:spPr>
        <a:xfrm>
          <a:off x="16723723" y="38629589"/>
          <a:ext cx="12629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20683</xdr:colOff>
      <xdr:row>252</xdr:row>
      <xdr:rowOff>76199</xdr:rowOff>
    </xdr:from>
    <xdr:to>
      <xdr:col>72</xdr:col>
      <xdr:colOff>20683</xdr:colOff>
      <xdr:row>252</xdr:row>
      <xdr:rowOff>76199</xdr:rowOff>
    </xdr:to>
    <xdr:cxnSp macro="">
      <xdr:nvCxnSpPr>
        <xdr:cNvPr id="74703" name="직선 화살표 연결선 74702">
          <a:extLst>
            <a:ext uri="{FF2B5EF4-FFF2-40B4-BE49-F238E27FC236}">
              <a16:creationId xmlns:a16="http://schemas.microsoft.com/office/drawing/2014/main" id="{2CA6C33E-9402-4035-9C0E-F1F8EFFD4D77}"/>
            </a:ext>
          </a:extLst>
        </xdr:cNvPr>
        <xdr:cNvCxnSpPr/>
      </xdr:nvCxnSpPr>
      <xdr:spPr>
        <a:xfrm>
          <a:off x="16723723" y="3868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20682</xdr:colOff>
      <xdr:row>251</xdr:row>
      <xdr:rowOff>19049</xdr:rowOff>
    </xdr:from>
    <xdr:to>
      <xdr:col>75</xdr:col>
      <xdr:colOff>125366</xdr:colOff>
      <xdr:row>251</xdr:row>
      <xdr:rowOff>133349</xdr:rowOff>
    </xdr:to>
    <xdr:sp macro="" textlink="">
      <xdr:nvSpPr>
        <xdr:cNvPr id="74704" name="248">
          <a:extLst>
            <a:ext uri="{FF2B5EF4-FFF2-40B4-BE49-F238E27FC236}">
              <a16:creationId xmlns:a16="http://schemas.microsoft.com/office/drawing/2014/main" id="{A30E5B8A-D550-4B5A-ACEE-5C0D8448FCB7}"/>
            </a:ext>
          </a:extLst>
        </xdr:cNvPr>
        <xdr:cNvSpPr/>
      </xdr:nvSpPr>
      <xdr:spPr>
        <a:xfrm>
          <a:off x="16144602" y="38477189"/>
          <a:ext cx="1118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20682</xdr:colOff>
      <xdr:row>251</xdr:row>
      <xdr:rowOff>76199</xdr:rowOff>
    </xdr:from>
    <xdr:to>
      <xdr:col>68</xdr:col>
      <xdr:colOff>20682</xdr:colOff>
      <xdr:row>251</xdr:row>
      <xdr:rowOff>76199</xdr:rowOff>
    </xdr:to>
    <xdr:cxnSp macro="">
      <xdr:nvCxnSpPr>
        <xdr:cNvPr id="74705" name="직선 화살표 연결선 74704">
          <a:extLst>
            <a:ext uri="{FF2B5EF4-FFF2-40B4-BE49-F238E27FC236}">
              <a16:creationId xmlns:a16="http://schemas.microsoft.com/office/drawing/2014/main" id="{57BF915B-193D-4E3D-BB63-295F5E12BD05}"/>
            </a:ext>
          </a:extLst>
        </xdr:cNvPr>
        <xdr:cNvCxnSpPr/>
      </xdr:nvCxnSpPr>
      <xdr:spPr>
        <a:xfrm>
          <a:off x="16144602" y="3853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62049</xdr:colOff>
      <xdr:row>250</xdr:row>
      <xdr:rowOff>19049</xdr:rowOff>
    </xdr:from>
    <xdr:to>
      <xdr:col>67</xdr:col>
      <xdr:colOff>125367</xdr:colOff>
      <xdr:row>250</xdr:row>
      <xdr:rowOff>133349</xdr:rowOff>
    </xdr:to>
    <xdr:sp macro="" textlink="">
      <xdr:nvSpPr>
        <xdr:cNvPr id="74706" name="247">
          <a:extLst>
            <a:ext uri="{FF2B5EF4-FFF2-40B4-BE49-F238E27FC236}">
              <a16:creationId xmlns:a16="http://schemas.microsoft.com/office/drawing/2014/main" id="{299EDEC4-F56E-4F54-86F5-740863AD289F}"/>
            </a:ext>
          </a:extLst>
        </xdr:cNvPr>
        <xdr:cNvSpPr/>
      </xdr:nvSpPr>
      <xdr:spPr>
        <a:xfrm>
          <a:off x="15462069" y="38324789"/>
          <a:ext cx="64243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62049</xdr:colOff>
      <xdr:row>250</xdr:row>
      <xdr:rowOff>76199</xdr:rowOff>
    </xdr:from>
    <xdr:to>
      <xdr:col>63</xdr:col>
      <xdr:colOff>62049</xdr:colOff>
      <xdr:row>250</xdr:row>
      <xdr:rowOff>76199</xdr:rowOff>
    </xdr:to>
    <xdr:cxnSp macro="">
      <xdr:nvCxnSpPr>
        <xdr:cNvPr id="74707" name="직선 화살표 연결선 74706">
          <a:extLst>
            <a:ext uri="{FF2B5EF4-FFF2-40B4-BE49-F238E27FC236}">
              <a16:creationId xmlns:a16="http://schemas.microsoft.com/office/drawing/2014/main" id="{02770A3C-6167-4574-8346-7B3192B68D92}"/>
            </a:ext>
          </a:extLst>
        </xdr:cNvPr>
        <xdr:cNvCxnSpPr/>
      </xdr:nvCxnSpPr>
      <xdr:spPr>
        <a:xfrm>
          <a:off x="15462069" y="3838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62049</xdr:colOff>
      <xdr:row>249</xdr:row>
      <xdr:rowOff>19049</xdr:rowOff>
    </xdr:from>
    <xdr:to>
      <xdr:col>75</xdr:col>
      <xdr:colOff>125366</xdr:colOff>
      <xdr:row>249</xdr:row>
      <xdr:rowOff>133349</xdr:rowOff>
    </xdr:to>
    <xdr:sp macro="" textlink="">
      <xdr:nvSpPr>
        <xdr:cNvPr id="74708" name="246">
          <a:extLst>
            <a:ext uri="{FF2B5EF4-FFF2-40B4-BE49-F238E27FC236}">
              <a16:creationId xmlns:a16="http://schemas.microsoft.com/office/drawing/2014/main" id="{602F14FB-5157-4E55-8829-8155E777D621}"/>
            </a:ext>
          </a:extLst>
        </xdr:cNvPr>
        <xdr:cNvSpPr/>
      </xdr:nvSpPr>
      <xdr:spPr>
        <a:xfrm>
          <a:off x="15462069" y="38172389"/>
          <a:ext cx="180067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62049</xdr:colOff>
      <xdr:row>249</xdr:row>
      <xdr:rowOff>76199</xdr:rowOff>
    </xdr:from>
    <xdr:to>
      <xdr:col>63</xdr:col>
      <xdr:colOff>62049</xdr:colOff>
      <xdr:row>249</xdr:row>
      <xdr:rowOff>76199</xdr:rowOff>
    </xdr:to>
    <xdr:cxnSp macro="">
      <xdr:nvCxnSpPr>
        <xdr:cNvPr id="74709" name="직선 화살표 연결선 74708">
          <a:extLst>
            <a:ext uri="{FF2B5EF4-FFF2-40B4-BE49-F238E27FC236}">
              <a16:creationId xmlns:a16="http://schemas.microsoft.com/office/drawing/2014/main" id="{6886FFB4-6523-4317-9095-5E910D449A1E}"/>
            </a:ext>
          </a:extLst>
        </xdr:cNvPr>
        <xdr:cNvCxnSpPr/>
      </xdr:nvCxnSpPr>
      <xdr:spPr>
        <a:xfrm>
          <a:off x="15462069" y="3822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248</xdr:row>
      <xdr:rowOff>19049</xdr:rowOff>
    </xdr:from>
    <xdr:to>
      <xdr:col>63</xdr:col>
      <xdr:colOff>63318</xdr:colOff>
      <xdr:row>248</xdr:row>
      <xdr:rowOff>133349</xdr:rowOff>
    </xdr:to>
    <xdr:sp macro="" textlink="">
      <xdr:nvSpPr>
        <xdr:cNvPr id="74710" name="245">
          <a:extLst>
            <a:ext uri="{FF2B5EF4-FFF2-40B4-BE49-F238E27FC236}">
              <a16:creationId xmlns:a16="http://schemas.microsoft.com/office/drawing/2014/main" id="{B732E1C8-7886-43E7-85F2-94E74E615049}"/>
            </a:ext>
          </a:extLst>
        </xdr:cNvPr>
        <xdr:cNvSpPr/>
      </xdr:nvSpPr>
      <xdr:spPr>
        <a:xfrm>
          <a:off x="14841582" y="38019989"/>
          <a:ext cx="6217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248</xdr:row>
      <xdr:rowOff>76199</xdr:rowOff>
    </xdr:from>
    <xdr:to>
      <xdr:col>59</xdr:col>
      <xdr:colOff>20682</xdr:colOff>
      <xdr:row>248</xdr:row>
      <xdr:rowOff>76199</xdr:rowOff>
    </xdr:to>
    <xdr:cxnSp macro="">
      <xdr:nvCxnSpPr>
        <xdr:cNvPr id="74711" name="직선 화살표 연결선 74710">
          <a:extLst>
            <a:ext uri="{FF2B5EF4-FFF2-40B4-BE49-F238E27FC236}">
              <a16:creationId xmlns:a16="http://schemas.microsoft.com/office/drawing/2014/main" id="{514469AA-81CD-4365-A3CC-E2957D90A9C1}"/>
            </a:ext>
          </a:extLst>
        </xdr:cNvPr>
        <xdr:cNvCxnSpPr/>
      </xdr:nvCxnSpPr>
      <xdr:spPr>
        <a:xfrm>
          <a:off x="14841582" y="3807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247</xdr:row>
      <xdr:rowOff>19049</xdr:rowOff>
    </xdr:from>
    <xdr:to>
      <xdr:col>57</xdr:col>
      <xdr:colOff>125367</xdr:colOff>
      <xdr:row>247</xdr:row>
      <xdr:rowOff>133349</xdr:rowOff>
    </xdr:to>
    <xdr:sp macro="" textlink="">
      <xdr:nvSpPr>
        <xdr:cNvPr id="74712" name="244">
          <a:extLst>
            <a:ext uri="{FF2B5EF4-FFF2-40B4-BE49-F238E27FC236}">
              <a16:creationId xmlns:a16="http://schemas.microsoft.com/office/drawing/2014/main" id="{84ABFC48-6915-4B10-BBD7-728B11A2EE16}"/>
            </a:ext>
          </a:extLst>
        </xdr:cNvPr>
        <xdr:cNvSpPr/>
      </xdr:nvSpPr>
      <xdr:spPr>
        <a:xfrm>
          <a:off x="14200414" y="37867589"/>
          <a:ext cx="45629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247</xdr:row>
      <xdr:rowOff>76199</xdr:rowOff>
    </xdr:from>
    <xdr:to>
      <xdr:col>54</xdr:col>
      <xdr:colOff>103414</xdr:colOff>
      <xdr:row>247</xdr:row>
      <xdr:rowOff>76199</xdr:rowOff>
    </xdr:to>
    <xdr:cxnSp macro="">
      <xdr:nvCxnSpPr>
        <xdr:cNvPr id="74713" name="직선 화살표 연결선 74712">
          <a:extLst>
            <a:ext uri="{FF2B5EF4-FFF2-40B4-BE49-F238E27FC236}">
              <a16:creationId xmlns:a16="http://schemas.microsoft.com/office/drawing/2014/main" id="{DAC4A5BB-1D6D-49D7-9A61-FC77A9500874}"/>
            </a:ext>
          </a:extLst>
        </xdr:cNvPr>
        <xdr:cNvCxnSpPr/>
      </xdr:nvCxnSpPr>
      <xdr:spPr>
        <a:xfrm>
          <a:off x="14200414" y="3792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246</xdr:row>
      <xdr:rowOff>19049</xdr:rowOff>
    </xdr:from>
    <xdr:to>
      <xdr:col>63</xdr:col>
      <xdr:colOff>63318</xdr:colOff>
      <xdr:row>246</xdr:row>
      <xdr:rowOff>133349</xdr:rowOff>
    </xdr:to>
    <xdr:sp macro="" textlink="">
      <xdr:nvSpPr>
        <xdr:cNvPr id="74714" name="243">
          <a:extLst>
            <a:ext uri="{FF2B5EF4-FFF2-40B4-BE49-F238E27FC236}">
              <a16:creationId xmlns:a16="http://schemas.microsoft.com/office/drawing/2014/main" id="{19147EBC-E5DA-4CDD-841B-FBCD8A8EF9CF}"/>
            </a:ext>
          </a:extLst>
        </xdr:cNvPr>
        <xdr:cNvSpPr/>
      </xdr:nvSpPr>
      <xdr:spPr>
        <a:xfrm>
          <a:off x="14200414" y="37715189"/>
          <a:ext cx="12629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246</xdr:row>
      <xdr:rowOff>76199</xdr:rowOff>
    </xdr:from>
    <xdr:to>
      <xdr:col>54</xdr:col>
      <xdr:colOff>103414</xdr:colOff>
      <xdr:row>246</xdr:row>
      <xdr:rowOff>76199</xdr:rowOff>
    </xdr:to>
    <xdr:cxnSp macro="">
      <xdr:nvCxnSpPr>
        <xdr:cNvPr id="18020" name="직선 화살표 연결선 18019">
          <a:extLst>
            <a:ext uri="{FF2B5EF4-FFF2-40B4-BE49-F238E27FC236}">
              <a16:creationId xmlns:a16="http://schemas.microsoft.com/office/drawing/2014/main" id="{DC0E4BDE-D752-4252-B5F4-3D3F937C5604}"/>
            </a:ext>
          </a:extLst>
        </xdr:cNvPr>
        <xdr:cNvCxnSpPr/>
      </xdr:nvCxnSpPr>
      <xdr:spPr>
        <a:xfrm>
          <a:off x="14200414" y="3777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245</xdr:row>
      <xdr:rowOff>19049</xdr:rowOff>
    </xdr:from>
    <xdr:to>
      <xdr:col>83</xdr:col>
      <xdr:colOff>42636</xdr:colOff>
      <xdr:row>245</xdr:row>
      <xdr:rowOff>133349</xdr:rowOff>
    </xdr:to>
    <xdr:sp macro="" textlink="">
      <xdr:nvSpPr>
        <xdr:cNvPr id="18021" name="242">
          <a:extLst>
            <a:ext uri="{FF2B5EF4-FFF2-40B4-BE49-F238E27FC236}">
              <a16:creationId xmlns:a16="http://schemas.microsoft.com/office/drawing/2014/main" id="{05CB8DAE-EF76-4326-97E5-9E46D186E28F}"/>
            </a:ext>
          </a:extLst>
        </xdr:cNvPr>
        <xdr:cNvSpPr/>
      </xdr:nvSpPr>
      <xdr:spPr>
        <a:xfrm>
          <a:off x="14200414" y="37562789"/>
          <a:ext cx="4137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245</xdr:row>
      <xdr:rowOff>76199</xdr:rowOff>
    </xdr:from>
    <xdr:to>
      <xdr:col>54</xdr:col>
      <xdr:colOff>103414</xdr:colOff>
      <xdr:row>245</xdr:row>
      <xdr:rowOff>76199</xdr:rowOff>
    </xdr:to>
    <xdr:cxnSp macro="">
      <xdr:nvCxnSpPr>
        <xdr:cNvPr id="18022" name="직선 화살표 연결선 18021">
          <a:extLst>
            <a:ext uri="{FF2B5EF4-FFF2-40B4-BE49-F238E27FC236}">
              <a16:creationId xmlns:a16="http://schemas.microsoft.com/office/drawing/2014/main" id="{76C13AD1-FF56-4DBB-8146-D4CD98025F3A}"/>
            </a:ext>
          </a:extLst>
        </xdr:cNvPr>
        <xdr:cNvCxnSpPr/>
      </xdr:nvCxnSpPr>
      <xdr:spPr>
        <a:xfrm>
          <a:off x="14200414" y="3761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244</xdr:row>
      <xdr:rowOff>19049</xdr:rowOff>
    </xdr:from>
    <xdr:to>
      <xdr:col>76</xdr:col>
      <xdr:colOff>42635</xdr:colOff>
      <xdr:row>244</xdr:row>
      <xdr:rowOff>133349</xdr:rowOff>
    </xdr:to>
    <xdr:sp macro="" textlink="">
      <xdr:nvSpPr>
        <xdr:cNvPr id="18023" name="241">
          <a:extLst>
            <a:ext uri="{FF2B5EF4-FFF2-40B4-BE49-F238E27FC236}">
              <a16:creationId xmlns:a16="http://schemas.microsoft.com/office/drawing/2014/main" id="{4F32E9DB-A33D-4E45-8D6A-5AA4C4E9DB01}"/>
            </a:ext>
          </a:extLst>
        </xdr:cNvPr>
        <xdr:cNvSpPr/>
      </xdr:nvSpPr>
      <xdr:spPr>
        <a:xfrm>
          <a:off x="14841582" y="37410389"/>
          <a:ext cx="24832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244</xdr:row>
      <xdr:rowOff>76199</xdr:rowOff>
    </xdr:from>
    <xdr:to>
      <xdr:col>59</xdr:col>
      <xdr:colOff>20682</xdr:colOff>
      <xdr:row>244</xdr:row>
      <xdr:rowOff>76199</xdr:rowOff>
    </xdr:to>
    <xdr:cxnSp macro="">
      <xdr:nvCxnSpPr>
        <xdr:cNvPr id="18024" name="직선 화살표 연결선 18023">
          <a:extLst>
            <a:ext uri="{FF2B5EF4-FFF2-40B4-BE49-F238E27FC236}">
              <a16:creationId xmlns:a16="http://schemas.microsoft.com/office/drawing/2014/main" id="{E482C731-5809-41A9-8D55-F1F204C184EC}"/>
            </a:ext>
          </a:extLst>
        </xdr:cNvPr>
        <xdr:cNvCxnSpPr/>
      </xdr:nvCxnSpPr>
      <xdr:spPr>
        <a:xfrm>
          <a:off x="14841582" y="3746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20683</xdr:colOff>
      <xdr:row>243</xdr:row>
      <xdr:rowOff>19049</xdr:rowOff>
    </xdr:from>
    <xdr:to>
      <xdr:col>58</xdr:col>
      <xdr:colOff>125367</xdr:colOff>
      <xdr:row>243</xdr:row>
      <xdr:rowOff>133349</xdr:rowOff>
    </xdr:to>
    <xdr:sp macro="" textlink="">
      <xdr:nvSpPr>
        <xdr:cNvPr id="18029" name="240">
          <a:extLst>
            <a:ext uri="{FF2B5EF4-FFF2-40B4-BE49-F238E27FC236}">
              <a16:creationId xmlns:a16="http://schemas.microsoft.com/office/drawing/2014/main" id="{D136D87C-53D3-4C97-82C6-331650E6501E}"/>
            </a:ext>
          </a:extLst>
        </xdr:cNvPr>
        <xdr:cNvSpPr/>
      </xdr:nvSpPr>
      <xdr:spPr>
        <a:xfrm>
          <a:off x="14552023" y="372579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20683</xdr:colOff>
      <xdr:row>243</xdr:row>
      <xdr:rowOff>76199</xdr:rowOff>
    </xdr:from>
    <xdr:to>
      <xdr:col>57</xdr:col>
      <xdr:colOff>20683</xdr:colOff>
      <xdr:row>243</xdr:row>
      <xdr:rowOff>76199</xdr:rowOff>
    </xdr:to>
    <xdr:cxnSp macro="">
      <xdr:nvCxnSpPr>
        <xdr:cNvPr id="18030" name="직선 화살표 연결선 18029">
          <a:extLst>
            <a:ext uri="{FF2B5EF4-FFF2-40B4-BE49-F238E27FC236}">
              <a16:creationId xmlns:a16="http://schemas.microsoft.com/office/drawing/2014/main" id="{65FD2962-272A-4576-BB7B-12D5E13FCAD2}"/>
            </a:ext>
          </a:extLst>
        </xdr:cNvPr>
        <xdr:cNvCxnSpPr/>
      </xdr:nvCxnSpPr>
      <xdr:spPr>
        <a:xfrm>
          <a:off x="14552023" y="3731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242</xdr:row>
      <xdr:rowOff>19049</xdr:rowOff>
    </xdr:from>
    <xdr:to>
      <xdr:col>56</xdr:col>
      <xdr:colOff>104684</xdr:colOff>
      <xdr:row>242</xdr:row>
      <xdr:rowOff>133349</xdr:rowOff>
    </xdr:to>
    <xdr:sp macro="" textlink="">
      <xdr:nvSpPr>
        <xdr:cNvPr id="18031" name="239">
          <a:extLst>
            <a:ext uri="{FF2B5EF4-FFF2-40B4-BE49-F238E27FC236}">
              <a16:creationId xmlns:a16="http://schemas.microsoft.com/office/drawing/2014/main" id="{C9EE1B76-C85B-494E-A55F-46C19DA926B1}"/>
            </a:ext>
          </a:extLst>
        </xdr:cNvPr>
        <xdr:cNvSpPr/>
      </xdr:nvSpPr>
      <xdr:spPr>
        <a:xfrm>
          <a:off x="14200414" y="37105589"/>
          <a:ext cx="2908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242</xdr:row>
      <xdr:rowOff>76199</xdr:rowOff>
    </xdr:from>
    <xdr:to>
      <xdr:col>54</xdr:col>
      <xdr:colOff>103414</xdr:colOff>
      <xdr:row>242</xdr:row>
      <xdr:rowOff>76199</xdr:rowOff>
    </xdr:to>
    <xdr:cxnSp macro="">
      <xdr:nvCxnSpPr>
        <xdr:cNvPr id="18032" name="직선 화살표 연결선 18031">
          <a:extLst>
            <a:ext uri="{FF2B5EF4-FFF2-40B4-BE49-F238E27FC236}">
              <a16:creationId xmlns:a16="http://schemas.microsoft.com/office/drawing/2014/main" id="{A2A9DBC8-E810-43D5-8A79-2C785B47499B}"/>
            </a:ext>
          </a:extLst>
        </xdr:cNvPr>
        <xdr:cNvCxnSpPr/>
      </xdr:nvCxnSpPr>
      <xdr:spPr>
        <a:xfrm>
          <a:off x="14200414" y="3716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241</xdr:row>
      <xdr:rowOff>19049</xdr:rowOff>
    </xdr:from>
    <xdr:to>
      <xdr:col>74</xdr:col>
      <xdr:colOff>125368</xdr:colOff>
      <xdr:row>241</xdr:row>
      <xdr:rowOff>133349</xdr:rowOff>
    </xdr:to>
    <xdr:sp macro="" textlink="">
      <xdr:nvSpPr>
        <xdr:cNvPr id="18033" name="238">
          <a:extLst>
            <a:ext uri="{FF2B5EF4-FFF2-40B4-BE49-F238E27FC236}">
              <a16:creationId xmlns:a16="http://schemas.microsoft.com/office/drawing/2014/main" id="{F2B9C8B5-CA0F-4EAC-AF91-5914FA6DDE4D}"/>
            </a:ext>
          </a:extLst>
        </xdr:cNvPr>
        <xdr:cNvSpPr/>
      </xdr:nvSpPr>
      <xdr:spPr>
        <a:xfrm>
          <a:off x="14200414" y="36953189"/>
          <a:ext cx="2917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241</xdr:row>
      <xdr:rowOff>76199</xdr:rowOff>
    </xdr:from>
    <xdr:to>
      <xdr:col>54</xdr:col>
      <xdr:colOff>103414</xdr:colOff>
      <xdr:row>241</xdr:row>
      <xdr:rowOff>76199</xdr:rowOff>
    </xdr:to>
    <xdr:cxnSp macro="">
      <xdr:nvCxnSpPr>
        <xdr:cNvPr id="18034" name="직선 화살표 연결선 18033">
          <a:extLst>
            <a:ext uri="{FF2B5EF4-FFF2-40B4-BE49-F238E27FC236}">
              <a16:creationId xmlns:a16="http://schemas.microsoft.com/office/drawing/2014/main" id="{655EB57B-CD0C-4383-8C98-F0F60ECBDAFB}"/>
            </a:ext>
          </a:extLst>
        </xdr:cNvPr>
        <xdr:cNvCxnSpPr/>
      </xdr:nvCxnSpPr>
      <xdr:spPr>
        <a:xfrm>
          <a:off x="14200414" y="3701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240</xdr:row>
      <xdr:rowOff>19049</xdr:rowOff>
    </xdr:from>
    <xdr:to>
      <xdr:col>76</xdr:col>
      <xdr:colOff>42635</xdr:colOff>
      <xdr:row>240</xdr:row>
      <xdr:rowOff>133349</xdr:rowOff>
    </xdr:to>
    <xdr:sp macro="" textlink="">
      <xdr:nvSpPr>
        <xdr:cNvPr id="18035" name="237">
          <a:extLst>
            <a:ext uri="{FF2B5EF4-FFF2-40B4-BE49-F238E27FC236}">
              <a16:creationId xmlns:a16="http://schemas.microsoft.com/office/drawing/2014/main" id="{15D5529B-21C0-4413-BB00-A78C83B4E710}"/>
            </a:ext>
          </a:extLst>
        </xdr:cNvPr>
        <xdr:cNvSpPr/>
      </xdr:nvSpPr>
      <xdr:spPr>
        <a:xfrm>
          <a:off x="14200414" y="36800789"/>
          <a:ext cx="31243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240</xdr:row>
      <xdr:rowOff>76199</xdr:rowOff>
    </xdr:from>
    <xdr:to>
      <xdr:col>54</xdr:col>
      <xdr:colOff>103414</xdr:colOff>
      <xdr:row>240</xdr:row>
      <xdr:rowOff>76199</xdr:rowOff>
    </xdr:to>
    <xdr:cxnSp macro="">
      <xdr:nvCxnSpPr>
        <xdr:cNvPr id="18036" name="직선 화살표 연결선 18035">
          <a:extLst>
            <a:ext uri="{FF2B5EF4-FFF2-40B4-BE49-F238E27FC236}">
              <a16:creationId xmlns:a16="http://schemas.microsoft.com/office/drawing/2014/main" id="{1708A16C-1D29-4F2C-A992-62A0F8229006}"/>
            </a:ext>
          </a:extLst>
        </xdr:cNvPr>
        <xdr:cNvCxnSpPr/>
      </xdr:nvCxnSpPr>
      <xdr:spPr>
        <a:xfrm>
          <a:off x="14200414" y="3685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20683</xdr:colOff>
      <xdr:row>239</xdr:row>
      <xdr:rowOff>19049</xdr:rowOff>
    </xdr:from>
    <xdr:to>
      <xdr:col>62</xdr:col>
      <xdr:colOff>125367</xdr:colOff>
      <xdr:row>239</xdr:row>
      <xdr:rowOff>133349</xdr:rowOff>
    </xdr:to>
    <xdr:sp macro="" textlink="">
      <xdr:nvSpPr>
        <xdr:cNvPr id="18042" name="236">
          <a:extLst>
            <a:ext uri="{FF2B5EF4-FFF2-40B4-BE49-F238E27FC236}">
              <a16:creationId xmlns:a16="http://schemas.microsoft.com/office/drawing/2014/main" id="{96EEB4D0-D948-4E5A-A006-EEE7F8007F43}"/>
            </a:ext>
          </a:extLst>
        </xdr:cNvPr>
        <xdr:cNvSpPr/>
      </xdr:nvSpPr>
      <xdr:spPr>
        <a:xfrm>
          <a:off x="15275923" y="366483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20683</xdr:colOff>
      <xdr:row>239</xdr:row>
      <xdr:rowOff>76199</xdr:rowOff>
    </xdr:from>
    <xdr:to>
      <xdr:col>62</xdr:col>
      <xdr:colOff>20683</xdr:colOff>
      <xdr:row>239</xdr:row>
      <xdr:rowOff>76199</xdr:rowOff>
    </xdr:to>
    <xdr:cxnSp macro="">
      <xdr:nvCxnSpPr>
        <xdr:cNvPr id="18043" name="직선 화살표 연결선 18042">
          <a:extLst>
            <a:ext uri="{FF2B5EF4-FFF2-40B4-BE49-F238E27FC236}">
              <a16:creationId xmlns:a16="http://schemas.microsoft.com/office/drawing/2014/main" id="{4FD24609-DACB-4A73-9FCB-826B0C0B7E86}"/>
            </a:ext>
          </a:extLst>
        </xdr:cNvPr>
        <xdr:cNvCxnSpPr/>
      </xdr:nvCxnSpPr>
      <xdr:spPr>
        <a:xfrm>
          <a:off x="15275923" y="3670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238</xdr:row>
      <xdr:rowOff>19049</xdr:rowOff>
    </xdr:from>
    <xdr:to>
      <xdr:col>61</xdr:col>
      <xdr:colOff>125367</xdr:colOff>
      <xdr:row>238</xdr:row>
      <xdr:rowOff>133349</xdr:rowOff>
    </xdr:to>
    <xdr:sp macro="" textlink="">
      <xdr:nvSpPr>
        <xdr:cNvPr id="18044" name="235">
          <a:extLst>
            <a:ext uri="{FF2B5EF4-FFF2-40B4-BE49-F238E27FC236}">
              <a16:creationId xmlns:a16="http://schemas.microsoft.com/office/drawing/2014/main" id="{56D7895E-24F8-4961-A3C7-EE8D7CD91EB2}"/>
            </a:ext>
          </a:extLst>
        </xdr:cNvPr>
        <xdr:cNvSpPr/>
      </xdr:nvSpPr>
      <xdr:spPr>
        <a:xfrm>
          <a:off x="15131143" y="364959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238</xdr:row>
      <xdr:rowOff>76199</xdr:rowOff>
    </xdr:from>
    <xdr:to>
      <xdr:col>61</xdr:col>
      <xdr:colOff>20683</xdr:colOff>
      <xdr:row>238</xdr:row>
      <xdr:rowOff>76199</xdr:rowOff>
    </xdr:to>
    <xdr:cxnSp macro="">
      <xdr:nvCxnSpPr>
        <xdr:cNvPr id="18047" name="직선 화살표 연결선 18046">
          <a:extLst>
            <a:ext uri="{FF2B5EF4-FFF2-40B4-BE49-F238E27FC236}">
              <a16:creationId xmlns:a16="http://schemas.microsoft.com/office/drawing/2014/main" id="{2A59F0EC-06EA-4108-A5E2-F737498796CC}"/>
            </a:ext>
          </a:extLst>
        </xdr:cNvPr>
        <xdr:cNvCxnSpPr/>
      </xdr:nvCxnSpPr>
      <xdr:spPr>
        <a:xfrm>
          <a:off x="15131143" y="3655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237</xdr:row>
      <xdr:rowOff>19049</xdr:rowOff>
    </xdr:from>
    <xdr:to>
      <xdr:col>57</xdr:col>
      <xdr:colOff>125367</xdr:colOff>
      <xdr:row>237</xdr:row>
      <xdr:rowOff>133349</xdr:rowOff>
    </xdr:to>
    <xdr:sp macro="" textlink="">
      <xdr:nvSpPr>
        <xdr:cNvPr id="18048" name="234">
          <a:extLst>
            <a:ext uri="{FF2B5EF4-FFF2-40B4-BE49-F238E27FC236}">
              <a16:creationId xmlns:a16="http://schemas.microsoft.com/office/drawing/2014/main" id="{67BD4E0B-5385-448A-BC85-7C59242B4965}"/>
            </a:ext>
          </a:extLst>
        </xdr:cNvPr>
        <xdr:cNvSpPr/>
      </xdr:nvSpPr>
      <xdr:spPr>
        <a:xfrm>
          <a:off x="14200414" y="36343589"/>
          <a:ext cx="45629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237</xdr:row>
      <xdr:rowOff>76199</xdr:rowOff>
    </xdr:from>
    <xdr:to>
      <xdr:col>54</xdr:col>
      <xdr:colOff>103414</xdr:colOff>
      <xdr:row>237</xdr:row>
      <xdr:rowOff>76199</xdr:rowOff>
    </xdr:to>
    <xdr:cxnSp macro="">
      <xdr:nvCxnSpPr>
        <xdr:cNvPr id="18049" name="직선 화살표 연결선 18048">
          <a:extLst>
            <a:ext uri="{FF2B5EF4-FFF2-40B4-BE49-F238E27FC236}">
              <a16:creationId xmlns:a16="http://schemas.microsoft.com/office/drawing/2014/main" id="{504C6794-5D40-4C9F-A53B-99AB6F5F67B7}"/>
            </a:ext>
          </a:extLst>
        </xdr:cNvPr>
        <xdr:cNvCxnSpPr/>
      </xdr:nvCxnSpPr>
      <xdr:spPr>
        <a:xfrm>
          <a:off x="14200414" y="3640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236</xdr:row>
      <xdr:rowOff>19049</xdr:rowOff>
    </xdr:from>
    <xdr:to>
      <xdr:col>62</xdr:col>
      <xdr:colOff>125367</xdr:colOff>
      <xdr:row>236</xdr:row>
      <xdr:rowOff>133349</xdr:rowOff>
    </xdr:to>
    <xdr:sp macro="" textlink="">
      <xdr:nvSpPr>
        <xdr:cNvPr id="18050" name="233">
          <a:extLst>
            <a:ext uri="{FF2B5EF4-FFF2-40B4-BE49-F238E27FC236}">
              <a16:creationId xmlns:a16="http://schemas.microsoft.com/office/drawing/2014/main" id="{302B6B48-F944-451A-9D0E-D08E2B18ED26}"/>
            </a:ext>
          </a:extLst>
        </xdr:cNvPr>
        <xdr:cNvSpPr/>
      </xdr:nvSpPr>
      <xdr:spPr>
        <a:xfrm>
          <a:off x="14200414" y="36191189"/>
          <a:ext cx="118019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236</xdr:row>
      <xdr:rowOff>76199</xdr:rowOff>
    </xdr:from>
    <xdr:to>
      <xdr:col>54</xdr:col>
      <xdr:colOff>103414</xdr:colOff>
      <xdr:row>236</xdr:row>
      <xdr:rowOff>76199</xdr:rowOff>
    </xdr:to>
    <xdr:cxnSp macro="">
      <xdr:nvCxnSpPr>
        <xdr:cNvPr id="18051" name="직선 화살표 연결선 18050">
          <a:extLst>
            <a:ext uri="{FF2B5EF4-FFF2-40B4-BE49-F238E27FC236}">
              <a16:creationId xmlns:a16="http://schemas.microsoft.com/office/drawing/2014/main" id="{56D37B67-9173-4DAD-AAB2-06EB459D307C}"/>
            </a:ext>
          </a:extLst>
        </xdr:cNvPr>
        <xdr:cNvCxnSpPr/>
      </xdr:nvCxnSpPr>
      <xdr:spPr>
        <a:xfrm>
          <a:off x="14200414" y="3624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20683</xdr:colOff>
      <xdr:row>235</xdr:row>
      <xdr:rowOff>19049</xdr:rowOff>
    </xdr:from>
    <xdr:to>
      <xdr:col>55</xdr:col>
      <xdr:colOff>125366</xdr:colOff>
      <xdr:row>235</xdr:row>
      <xdr:rowOff>133349</xdr:rowOff>
    </xdr:to>
    <xdr:sp macro="" textlink="">
      <xdr:nvSpPr>
        <xdr:cNvPr id="18052" name="232">
          <a:extLst>
            <a:ext uri="{FF2B5EF4-FFF2-40B4-BE49-F238E27FC236}">
              <a16:creationId xmlns:a16="http://schemas.microsoft.com/office/drawing/2014/main" id="{DEC2AE40-F29A-4DA6-8F37-FDF553009D88}"/>
            </a:ext>
          </a:extLst>
        </xdr:cNvPr>
        <xdr:cNvSpPr/>
      </xdr:nvSpPr>
      <xdr:spPr>
        <a:xfrm>
          <a:off x="14262463" y="360387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20683</xdr:colOff>
      <xdr:row>235</xdr:row>
      <xdr:rowOff>76199</xdr:rowOff>
    </xdr:from>
    <xdr:to>
      <xdr:col>55</xdr:col>
      <xdr:colOff>20683</xdr:colOff>
      <xdr:row>235</xdr:row>
      <xdr:rowOff>76199</xdr:rowOff>
    </xdr:to>
    <xdr:cxnSp macro="">
      <xdr:nvCxnSpPr>
        <xdr:cNvPr id="18053" name="직선 화살표 연결선 18052">
          <a:extLst>
            <a:ext uri="{FF2B5EF4-FFF2-40B4-BE49-F238E27FC236}">
              <a16:creationId xmlns:a16="http://schemas.microsoft.com/office/drawing/2014/main" id="{3D7460DE-8FBB-4DC1-8556-4FEDA66E8D4F}"/>
            </a:ext>
          </a:extLst>
        </xdr:cNvPr>
        <xdr:cNvCxnSpPr/>
      </xdr:nvCxnSpPr>
      <xdr:spPr>
        <a:xfrm>
          <a:off x="14262463" y="3609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20682</xdr:colOff>
      <xdr:row>234</xdr:row>
      <xdr:rowOff>19049</xdr:rowOff>
    </xdr:from>
    <xdr:to>
      <xdr:col>54</xdr:col>
      <xdr:colOff>104684</xdr:colOff>
      <xdr:row>234</xdr:row>
      <xdr:rowOff>133349</xdr:rowOff>
    </xdr:to>
    <xdr:sp macro="" textlink="">
      <xdr:nvSpPr>
        <xdr:cNvPr id="18054" name="231">
          <a:extLst>
            <a:ext uri="{FF2B5EF4-FFF2-40B4-BE49-F238E27FC236}">
              <a16:creationId xmlns:a16="http://schemas.microsoft.com/office/drawing/2014/main" id="{A048AB10-BCFF-494D-B1F8-B4CC482C1E0A}"/>
            </a:ext>
          </a:extLst>
        </xdr:cNvPr>
        <xdr:cNvSpPr/>
      </xdr:nvSpPr>
      <xdr:spPr>
        <a:xfrm>
          <a:off x="14117682" y="35886389"/>
          <a:ext cx="8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20682</xdr:colOff>
      <xdr:row>234</xdr:row>
      <xdr:rowOff>76199</xdr:rowOff>
    </xdr:from>
    <xdr:to>
      <xdr:col>54</xdr:col>
      <xdr:colOff>20682</xdr:colOff>
      <xdr:row>234</xdr:row>
      <xdr:rowOff>76199</xdr:rowOff>
    </xdr:to>
    <xdr:cxnSp macro="">
      <xdr:nvCxnSpPr>
        <xdr:cNvPr id="18055" name="직선 화살표 연결선 18054">
          <a:extLst>
            <a:ext uri="{FF2B5EF4-FFF2-40B4-BE49-F238E27FC236}">
              <a16:creationId xmlns:a16="http://schemas.microsoft.com/office/drawing/2014/main" id="{83CB1F84-EC86-447F-BEAC-F1B2043497CA}"/>
            </a:ext>
          </a:extLst>
        </xdr:cNvPr>
        <xdr:cNvCxnSpPr/>
      </xdr:nvCxnSpPr>
      <xdr:spPr>
        <a:xfrm>
          <a:off x="14117682" y="3594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20682</xdr:colOff>
      <xdr:row>233</xdr:row>
      <xdr:rowOff>19049</xdr:rowOff>
    </xdr:from>
    <xdr:to>
      <xdr:col>53</xdr:col>
      <xdr:colOff>125367</xdr:colOff>
      <xdr:row>233</xdr:row>
      <xdr:rowOff>133349</xdr:rowOff>
    </xdr:to>
    <xdr:sp macro="" textlink="">
      <xdr:nvSpPr>
        <xdr:cNvPr id="18056" name="230">
          <a:extLst>
            <a:ext uri="{FF2B5EF4-FFF2-40B4-BE49-F238E27FC236}">
              <a16:creationId xmlns:a16="http://schemas.microsoft.com/office/drawing/2014/main" id="{7FCE65C9-0A07-4F13-97D2-27E6C65A12D2}"/>
            </a:ext>
          </a:extLst>
        </xdr:cNvPr>
        <xdr:cNvSpPr/>
      </xdr:nvSpPr>
      <xdr:spPr>
        <a:xfrm>
          <a:off x="13972902" y="3573398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20682</xdr:colOff>
      <xdr:row>233</xdr:row>
      <xdr:rowOff>76199</xdr:rowOff>
    </xdr:from>
    <xdr:to>
      <xdr:col>53</xdr:col>
      <xdr:colOff>20682</xdr:colOff>
      <xdr:row>233</xdr:row>
      <xdr:rowOff>76199</xdr:rowOff>
    </xdr:to>
    <xdr:cxnSp macro="">
      <xdr:nvCxnSpPr>
        <xdr:cNvPr id="18057" name="직선 화살표 연결선 18056">
          <a:extLst>
            <a:ext uri="{FF2B5EF4-FFF2-40B4-BE49-F238E27FC236}">
              <a16:creationId xmlns:a16="http://schemas.microsoft.com/office/drawing/2014/main" id="{2EBED842-E436-44AC-B246-EF1F52A94B35}"/>
            </a:ext>
          </a:extLst>
        </xdr:cNvPr>
        <xdr:cNvCxnSpPr/>
      </xdr:nvCxnSpPr>
      <xdr:spPr>
        <a:xfrm>
          <a:off x="13972902" y="3579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20682</xdr:colOff>
      <xdr:row>232</xdr:row>
      <xdr:rowOff>19049</xdr:rowOff>
    </xdr:from>
    <xdr:to>
      <xdr:col>55</xdr:col>
      <xdr:colOff>125366</xdr:colOff>
      <xdr:row>232</xdr:row>
      <xdr:rowOff>133349</xdr:rowOff>
    </xdr:to>
    <xdr:sp macro="" textlink="">
      <xdr:nvSpPr>
        <xdr:cNvPr id="18058" name="229">
          <a:extLst>
            <a:ext uri="{FF2B5EF4-FFF2-40B4-BE49-F238E27FC236}">
              <a16:creationId xmlns:a16="http://schemas.microsoft.com/office/drawing/2014/main" id="{2EB44DA2-1AE1-489D-AB0F-3E0C6667E730}"/>
            </a:ext>
          </a:extLst>
        </xdr:cNvPr>
        <xdr:cNvSpPr/>
      </xdr:nvSpPr>
      <xdr:spPr>
        <a:xfrm>
          <a:off x="13972902" y="35581589"/>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20682</xdr:colOff>
      <xdr:row>232</xdr:row>
      <xdr:rowOff>76199</xdr:rowOff>
    </xdr:from>
    <xdr:to>
      <xdr:col>53</xdr:col>
      <xdr:colOff>20682</xdr:colOff>
      <xdr:row>232</xdr:row>
      <xdr:rowOff>76199</xdr:rowOff>
    </xdr:to>
    <xdr:cxnSp macro="">
      <xdr:nvCxnSpPr>
        <xdr:cNvPr id="18059" name="직선 화살표 연결선 18058">
          <a:extLst>
            <a:ext uri="{FF2B5EF4-FFF2-40B4-BE49-F238E27FC236}">
              <a16:creationId xmlns:a16="http://schemas.microsoft.com/office/drawing/2014/main" id="{96C15F1D-AC41-494D-95B3-9819C1B79E9E}"/>
            </a:ext>
          </a:extLst>
        </xdr:cNvPr>
        <xdr:cNvCxnSpPr/>
      </xdr:nvCxnSpPr>
      <xdr:spPr>
        <a:xfrm>
          <a:off x="13972902" y="3563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20682</xdr:colOff>
      <xdr:row>231</xdr:row>
      <xdr:rowOff>19049</xdr:rowOff>
    </xdr:from>
    <xdr:to>
      <xdr:col>62</xdr:col>
      <xdr:colOff>125367</xdr:colOff>
      <xdr:row>231</xdr:row>
      <xdr:rowOff>133349</xdr:rowOff>
    </xdr:to>
    <xdr:sp macro="" textlink="">
      <xdr:nvSpPr>
        <xdr:cNvPr id="18060" name="228">
          <a:extLst>
            <a:ext uri="{FF2B5EF4-FFF2-40B4-BE49-F238E27FC236}">
              <a16:creationId xmlns:a16="http://schemas.microsoft.com/office/drawing/2014/main" id="{B22E9BAB-DE9B-4B32-8934-AB0267A1CAD7}"/>
            </a:ext>
          </a:extLst>
        </xdr:cNvPr>
        <xdr:cNvSpPr/>
      </xdr:nvSpPr>
      <xdr:spPr>
        <a:xfrm>
          <a:off x="13972902" y="35429189"/>
          <a:ext cx="14077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20682</xdr:colOff>
      <xdr:row>231</xdr:row>
      <xdr:rowOff>76199</xdr:rowOff>
    </xdr:from>
    <xdr:to>
      <xdr:col>53</xdr:col>
      <xdr:colOff>20682</xdr:colOff>
      <xdr:row>231</xdr:row>
      <xdr:rowOff>76199</xdr:rowOff>
    </xdr:to>
    <xdr:cxnSp macro="">
      <xdr:nvCxnSpPr>
        <xdr:cNvPr id="18061" name="직선 화살표 연결선 18060">
          <a:extLst>
            <a:ext uri="{FF2B5EF4-FFF2-40B4-BE49-F238E27FC236}">
              <a16:creationId xmlns:a16="http://schemas.microsoft.com/office/drawing/2014/main" id="{BDA1364F-7B3C-47C3-AC8F-FFF792B836A7}"/>
            </a:ext>
          </a:extLst>
        </xdr:cNvPr>
        <xdr:cNvCxnSpPr/>
      </xdr:nvCxnSpPr>
      <xdr:spPr>
        <a:xfrm>
          <a:off x="13972902" y="3548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230</xdr:row>
      <xdr:rowOff>19049</xdr:rowOff>
    </xdr:from>
    <xdr:to>
      <xdr:col>62</xdr:col>
      <xdr:colOff>42636</xdr:colOff>
      <xdr:row>230</xdr:row>
      <xdr:rowOff>133349</xdr:rowOff>
    </xdr:to>
    <xdr:sp macro="" textlink="">
      <xdr:nvSpPr>
        <xdr:cNvPr id="18062" name="227">
          <a:extLst>
            <a:ext uri="{FF2B5EF4-FFF2-40B4-BE49-F238E27FC236}">
              <a16:creationId xmlns:a16="http://schemas.microsoft.com/office/drawing/2014/main" id="{C5E22268-F73A-4882-8195-FF014C07600E}"/>
            </a:ext>
          </a:extLst>
        </xdr:cNvPr>
        <xdr:cNvSpPr/>
      </xdr:nvSpPr>
      <xdr:spPr>
        <a:xfrm>
          <a:off x="14841582" y="35276789"/>
          <a:ext cx="4562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230</xdr:row>
      <xdr:rowOff>76199</xdr:rowOff>
    </xdr:from>
    <xdr:to>
      <xdr:col>59</xdr:col>
      <xdr:colOff>20682</xdr:colOff>
      <xdr:row>230</xdr:row>
      <xdr:rowOff>76199</xdr:rowOff>
    </xdr:to>
    <xdr:cxnSp macro="">
      <xdr:nvCxnSpPr>
        <xdr:cNvPr id="18063" name="직선 화살표 연결선 18062">
          <a:extLst>
            <a:ext uri="{FF2B5EF4-FFF2-40B4-BE49-F238E27FC236}">
              <a16:creationId xmlns:a16="http://schemas.microsoft.com/office/drawing/2014/main" id="{67017FBC-2A3C-4F46-8B1F-27BE76017A70}"/>
            </a:ext>
          </a:extLst>
        </xdr:cNvPr>
        <xdr:cNvCxnSpPr/>
      </xdr:nvCxnSpPr>
      <xdr:spPr>
        <a:xfrm>
          <a:off x="14841582" y="3533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20683</xdr:colOff>
      <xdr:row>229</xdr:row>
      <xdr:rowOff>19049</xdr:rowOff>
    </xdr:from>
    <xdr:to>
      <xdr:col>62</xdr:col>
      <xdr:colOff>42636</xdr:colOff>
      <xdr:row>229</xdr:row>
      <xdr:rowOff>133349</xdr:rowOff>
    </xdr:to>
    <xdr:sp macro="" textlink="">
      <xdr:nvSpPr>
        <xdr:cNvPr id="18064" name="226">
          <a:extLst>
            <a:ext uri="{FF2B5EF4-FFF2-40B4-BE49-F238E27FC236}">
              <a16:creationId xmlns:a16="http://schemas.microsoft.com/office/drawing/2014/main" id="{2EE4BFDC-D32A-4007-AEC8-B33071DE30DE}"/>
            </a:ext>
          </a:extLst>
        </xdr:cNvPr>
        <xdr:cNvSpPr/>
      </xdr:nvSpPr>
      <xdr:spPr>
        <a:xfrm>
          <a:off x="14407243" y="35124389"/>
          <a:ext cx="8906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20683</xdr:colOff>
      <xdr:row>229</xdr:row>
      <xdr:rowOff>76199</xdr:rowOff>
    </xdr:from>
    <xdr:to>
      <xdr:col>56</xdr:col>
      <xdr:colOff>20683</xdr:colOff>
      <xdr:row>229</xdr:row>
      <xdr:rowOff>76199</xdr:rowOff>
    </xdr:to>
    <xdr:cxnSp macro="">
      <xdr:nvCxnSpPr>
        <xdr:cNvPr id="18065" name="직선 화살표 연결선 18064">
          <a:extLst>
            <a:ext uri="{FF2B5EF4-FFF2-40B4-BE49-F238E27FC236}">
              <a16:creationId xmlns:a16="http://schemas.microsoft.com/office/drawing/2014/main" id="{7F68511F-BD65-417B-8592-15BF5CCE35A7}"/>
            </a:ext>
          </a:extLst>
        </xdr:cNvPr>
        <xdr:cNvCxnSpPr/>
      </xdr:nvCxnSpPr>
      <xdr:spPr>
        <a:xfrm>
          <a:off x="14407243" y="3518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20683</xdr:colOff>
      <xdr:row>228</xdr:row>
      <xdr:rowOff>19049</xdr:rowOff>
    </xdr:from>
    <xdr:to>
      <xdr:col>62</xdr:col>
      <xdr:colOff>42636</xdr:colOff>
      <xdr:row>228</xdr:row>
      <xdr:rowOff>133349</xdr:rowOff>
    </xdr:to>
    <xdr:sp macro="" textlink="">
      <xdr:nvSpPr>
        <xdr:cNvPr id="18066" name="225">
          <a:extLst>
            <a:ext uri="{FF2B5EF4-FFF2-40B4-BE49-F238E27FC236}">
              <a16:creationId xmlns:a16="http://schemas.microsoft.com/office/drawing/2014/main" id="{0EB4DA29-DC75-4B44-9E99-A67D6FDE7653}"/>
            </a:ext>
          </a:extLst>
        </xdr:cNvPr>
        <xdr:cNvSpPr/>
      </xdr:nvSpPr>
      <xdr:spPr>
        <a:xfrm>
          <a:off x="14407243" y="34971989"/>
          <a:ext cx="8906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20683</xdr:colOff>
      <xdr:row>228</xdr:row>
      <xdr:rowOff>76199</xdr:rowOff>
    </xdr:from>
    <xdr:to>
      <xdr:col>56</xdr:col>
      <xdr:colOff>20683</xdr:colOff>
      <xdr:row>228</xdr:row>
      <xdr:rowOff>76199</xdr:rowOff>
    </xdr:to>
    <xdr:cxnSp macro="">
      <xdr:nvCxnSpPr>
        <xdr:cNvPr id="18068" name="직선 화살표 연결선 18067">
          <a:extLst>
            <a:ext uri="{FF2B5EF4-FFF2-40B4-BE49-F238E27FC236}">
              <a16:creationId xmlns:a16="http://schemas.microsoft.com/office/drawing/2014/main" id="{CADA708B-FEC2-4A66-8963-571E887DC649}"/>
            </a:ext>
          </a:extLst>
        </xdr:cNvPr>
        <xdr:cNvCxnSpPr/>
      </xdr:nvCxnSpPr>
      <xdr:spPr>
        <a:xfrm>
          <a:off x="14407243" y="3502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20683</xdr:colOff>
      <xdr:row>227</xdr:row>
      <xdr:rowOff>19049</xdr:rowOff>
    </xdr:from>
    <xdr:to>
      <xdr:col>55</xdr:col>
      <xdr:colOff>125366</xdr:colOff>
      <xdr:row>227</xdr:row>
      <xdr:rowOff>133349</xdr:rowOff>
    </xdr:to>
    <xdr:sp macro="" textlink="">
      <xdr:nvSpPr>
        <xdr:cNvPr id="18069" name="224">
          <a:extLst>
            <a:ext uri="{FF2B5EF4-FFF2-40B4-BE49-F238E27FC236}">
              <a16:creationId xmlns:a16="http://schemas.microsoft.com/office/drawing/2014/main" id="{2675E873-3DC5-4B16-9172-B8213CD6C281}"/>
            </a:ext>
          </a:extLst>
        </xdr:cNvPr>
        <xdr:cNvSpPr/>
      </xdr:nvSpPr>
      <xdr:spPr>
        <a:xfrm>
          <a:off x="14262463" y="348195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20683</xdr:colOff>
      <xdr:row>227</xdr:row>
      <xdr:rowOff>76199</xdr:rowOff>
    </xdr:from>
    <xdr:to>
      <xdr:col>55</xdr:col>
      <xdr:colOff>20683</xdr:colOff>
      <xdr:row>227</xdr:row>
      <xdr:rowOff>76199</xdr:rowOff>
    </xdr:to>
    <xdr:cxnSp macro="">
      <xdr:nvCxnSpPr>
        <xdr:cNvPr id="18070" name="직선 화살표 연결선 18069">
          <a:extLst>
            <a:ext uri="{FF2B5EF4-FFF2-40B4-BE49-F238E27FC236}">
              <a16:creationId xmlns:a16="http://schemas.microsoft.com/office/drawing/2014/main" id="{4A063967-81B7-4D58-99DD-A81D4C5649A1}"/>
            </a:ext>
          </a:extLst>
        </xdr:cNvPr>
        <xdr:cNvCxnSpPr/>
      </xdr:nvCxnSpPr>
      <xdr:spPr>
        <a:xfrm>
          <a:off x="14262463" y="3487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226</xdr:row>
      <xdr:rowOff>19049</xdr:rowOff>
    </xdr:from>
    <xdr:to>
      <xdr:col>55</xdr:col>
      <xdr:colOff>125366</xdr:colOff>
      <xdr:row>226</xdr:row>
      <xdr:rowOff>133349</xdr:rowOff>
    </xdr:to>
    <xdr:sp macro="" textlink="">
      <xdr:nvSpPr>
        <xdr:cNvPr id="18071" name="223">
          <a:extLst>
            <a:ext uri="{FF2B5EF4-FFF2-40B4-BE49-F238E27FC236}">
              <a16:creationId xmlns:a16="http://schemas.microsoft.com/office/drawing/2014/main" id="{7F52AD4E-5D33-4B0C-8593-55D1A621B02F}"/>
            </a:ext>
          </a:extLst>
        </xdr:cNvPr>
        <xdr:cNvSpPr/>
      </xdr:nvSpPr>
      <xdr:spPr>
        <a:xfrm>
          <a:off x="13828123" y="34667189"/>
          <a:ext cx="5390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226</xdr:row>
      <xdr:rowOff>76199</xdr:rowOff>
    </xdr:from>
    <xdr:to>
      <xdr:col>52</xdr:col>
      <xdr:colOff>20683</xdr:colOff>
      <xdr:row>226</xdr:row>
      <xdr:rowOff>76199</xdr:rowOff>
    </xdr:to>
    <xdr:cxnSp macro="">
      <xdr:nvCxnSpPr>
        <xdr:cNvPr id="18072" name="직선 화살표 연결선 18071">
          <a:extLst>
            <a:ext uri="{FF2B5EF4-FFF2-40B4-BE49-F238E27FC236}">
              <a16:creationId xmlns:a16="http://schemas.microsoft.com/office/drawing/2014/main" id="{FC51E4BE-FD71-41FD-A2BB-48CEFBAC8CD5}"/>
            </a:ext>
          </a:extLst>
        </xdr:cNvPr>
        <xdr:cNvCxnSpPr/>
      </xdr:nvCxnSpPr>
      <xdr:spPr>
        <a:xfrm>
          <a:off x="13828123" y="3472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225</xdr:row>
      <xdr:rowOff>19049</xdr:rowOff>
    </xdr:from>
    <xdr:to>
      <xdr:col>55</xdr:col>
      <xdr:colOff>125366</xdr:colOff>
      <xdr:row>225</xdr:row>
      <xdr:rowOff>133349</xdr:rowOff>
    </xdr:to>
    <xdr:sp macro="" textlink="">
      <xdr:nvSpPr>
        <xdr:cNvPr id="18073" name="222">
          <a:extLst>
            <a:ext uri="{FF2B5EF4-FFF2-40B4-BE49-F238E27FC236}">
              <a16:creationId xmlns:a16="http://schemas.microsoft.com/office/drawing/2014/main" id="{2E313FD9-7828-4CF7-91F1-ABDD2F395443}"/>
            </a:ext>
          </a:extLst>
        </xdr:cNvPr>
        <xdr:cNvSpPr/>
      </xdr:nvSpPr>
      <xdr:spPr>
        <a:xfrm>
          <a:off x="13828123" y="34514789"/>
          <a:ext cx="5390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225</xdr:row>
      <xdr:rowOff>76199</xdr:rowOff>
    </xdr:from>
    <xdr:to>
      <xdr:col>52</xdr:col>
      <xdr:colOff>20683</xdr:colOff>
      <xdr:row>225</xdr:row>
      <xdr:rowOff>76199</xdr:rowOff>
    </xdr:to>
    <xdr:cxnSp macro="">
      <xdr:nvCxnSpPr>
        <xdr:cNvPr id="18076" name="직선 화살표 연결선 18075">
          <a:extLst>
            <a:ext uri="{FF2B5EF4-FFF2-40B4-BE49-F238E27FC236}">
              <a16:creationId xmlns:a16="http://schemas.microsoft.com/office/drawing/2014/main" id="{8DEA53AD-170D-45C9-A9BB-114985C26751}"/>
            </a:ext>
          </a:extLst>
        </xdr:cNvPr>
        <xdr:cNvCxnSpPr/>
      </xdr:nvCxnSpPr>
      <xdr:spPr>
        <a:xfrm>
          <a:off x="13828123" y="3457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224</xdr:row>
      <xdr:rowOff>19049</xdr:rowOff>
    </xdr:from>
    <xdr:to>
      <xdr:col>51</xdr:col>
      <xdr:colOff>125367</xdr:colOff>
      <xdr:row>224</xdr:row>
      <xdr:rowOff>133349</xdr:rowOff>
    </xdr:to>
    <xdr:sp macro="" textlink="">
      <xdr:nvSpPr>
        <xdr:cNvPr id="18077" name="221">
          <a:extLst>
            <a:ext uri="{FF2B5EF4-FFF2-40B4-BE49-F238E27FC236}">
              <a16:creationId xmlns:a16="http://schemas.microsoft.com/office/drawing/2014/main" id="{544AD4F8-F2B2-402A-8304-406C789AD49B}"/>
            </a:ext>
          </a:extLst>
        </xdr:cNvPr>
        <xdr:cNvSpPr/>
      </xdr:nvSpPr>
      <xdr:spPr>
        <a:xfrm>
          <a:off x="13683343" y="343623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224</xdr:row>
      <xdr:rowOff>76199</xdr:rowOff>
    </xdr:from>
    <xdr:to>
      <xdr:col>51</xdr:col>
      <xdr:colOff>20683</xdr:colOff>
      <xdr:row>224</xdr:row>
      <xdr:rowOff>76199</xdr:rowOff>
    </xdr:to>
    <xdr:cxnSp macro="">
      <xdr:nvCxnSpPr>
        <xdr:cNvPr id="18079" name="직선 화살표 연결선 18078">
          <a:extLst>
            <a:ext uri="{FF2B5EF4-FFF2-40B4-BE49-F238E27FC236}">
              <a16:creationId xmlns:a16="http://schemas.microsoft.com/office/drawing/2014/main" id="{ACDB47DB-40A0-4046-800D-3D5ABE50E0E3}"/>
            </a:ext>
          </a:extLst>
        </xdr:cNvPr>
        <xdr:cNvCxnSpPr/>
      </xdr:nvCxnSpPr>
      <xdr:spPr>
        <a:xfrm>
          <a:off x="13683343" y="3441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223</xdr:row>
      <xdr:rowOff>19049</xdr:rowOff>
    </xdr:from>
    <xdr:to>
      <xdr:col>51</xdr:col>
      <xdr:colOff>125367</xdr:colOff>
      <xdr:row>223</xdr:row>
      <xdr:rowOff>133349</xdr:rowOff>
    </xdr:to>
    <xdr:sp macro="" textlink="">
      <xdr:nvSpPr>
        <xdr:cNvPr id="18080" name="220">
          <a:extLst>
            <a:ext uri="{FF2B5EF4-FFF2-40B4-BE49-F238E27FC236}">
              <a16:creationId xmlns:a16="http://schemas.microsoft.com/office/drawing/2014/main" id="{D85D5830-C7EC-4C3C-BC9A-FD661BB8FE6A}"/>
            </a:ext>
          </a:extLst>
        </xdr:cNvPr>
        <xdr:cNvSpPr/>
      </xdr:nvSpPr>
      <xdr:spPr>
        <a:xfrm>
          <a:off x="13393782" y="34209989"/>
          <a:ext cx="3942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223</xdr:row>
      <xdr:rowOff>76199</xdr:rowOff>
    </xdr:from>
    <xdr:to>
      <xdr:col>49</xdr:col>
      <xdr:colOff>20682</xdr:colOff>
      <xdr:row>223</xdr:row>
      <xdr:rowOff>76199</xdr:rowOff>
    </xdr:to>
    <xdr:cxnSp macro="">
      <xdr:nvCxnSpPr>
        <xdr:cNvPr id="18081" name="직선 화살표 연결선 18080">
          <a:extLst>
            <a:ext uri="{FF2B5EF4-FFF2-40B4-BE49-F238E27FC236}">
              <a16:creationId xmlns:a16="http://schemas.microsoft.com/office/drawing/2014/main" id="{809218C1-E13A-4A6D-A5D5-42199D6FF17E}"/>
            </a:ext>
          </a:extLst>
        </xdr:cNvPr>
        <xdr:cNvCxnSpPr/>
      </xdr:nvCxnSpPr>
      <xdr:spPr>
        <a:xfrm>
          <a:off x="13393782" y="3426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222</xdr:row>
      <xdr:rowOff>19049</xdr:rowOff>
    </xdr:from>
    <xdr:to>
      <xdr:col>48</xdr:col>
      <xdr:colOff>125367</xdr:colOff>
      <xdr:row>222</xdr:row>
      <xdr:rowOff>133349</xdr:rowOff>
    </xdr:to>
    <xdr:sp macro="" textlink="">
      <xdr:nvSpPr>
        <xdr:cNvPr id="18082" name="219">
          <a:extLst>
            <a:ext uri="{FF2B5EF4-FFF2-40B4-BE49-F238E27FC236}">
              <a16:creationId xmlns:a16="http://schemas.microsoft.com/office/drawing/2014/main" id="{267236D3-B875-42B1-9FC0-E9B6AD9221D3}"/>
            </a:ext>
          </a:extLst>
        </xdr:cNvPr>
        <xdr:cNvSpPr/>
      </xdr:nvSpPr>
      <xdr:spPr>
        <a:xfrm>
          <a:off x="13249002" y="3405758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222</xdr:row>
      <xdr:rowOff>76199</xdr:rowOff>
    </xdr:from>
    <xdr:to>
      <xdr:col>48</xdr:col>
      <xdr:colOff>20682</xdr:colOff>
      <xdr:row>222</xdr:row>
      <xdr:rowOff>76199</xdr:rowOff>
    </xdr:to>
    <xdr:cxnSp macro="">
      <xdr:nvCxnSpPr>
        <xdr:cNvPr id="18083" name="직선 화살표 연결선 18082">
          <a:extLst>
            <a:ext uri="{FF2B5EF4-FFF2-40B4-BE49-F238E27FC236}">
              <a16:creationId xmlns:a16="http://schemas.microsoft.com/office/drawing/2014/main" id="{E5545184-CE96-4D6B-8EC8-03C9EC39584E}"/>
            </a:ext>
          </a:extLst>
        </xdr:cNvPr>
        <xdr:cNvCxnSpPr/>
      </xdr:nvCxnSpPr>
      <xdr:spPr>
        <a:xfrm>
          <a:off x="13249002" y="3411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221</xdr:row>
      <xdr:rowOff>19049</xdr:rowOff>
    </xdr:from>
    <xdr:to>
      <xdr:col>51</xdr:col>
      <xdr:colOff>125367</xdr:colOff>
      <xdr:row>221</xdr:row>
      <xdr:rowOff>133349</xdr:rowOff>
    </xdr:to>
    <xdr:sp macro="" textlink="">
      <xdr:nvSpPr>
        <xdr:cNvPr id="18084" name="218">
          <a:extLst>
            <a:ext uri="{FF2B5EF4-FFF2-40B4-BE49-F238E27FC236}">
              <a16:creationId xmlns:a16="http://schemas.microsoft.com/office/drawing/2014/main" id="{B8EA0A9F-D5FD-46A9-87E3-02F297EA1C66}"/>
            </a:ext>
          </a:extLst>
        </xdr:cNvPr>
        <xdr:cNvSpPr/>
      </xdr:nvSpPr>
      <xdr:spPr>
        <a:xfrm>
          <a:off x="13249002" y="33905189"/>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221</xdr:row>
      <xdr:rowOff>76199</xdr:rowOff>
    </xdr:from>
    <xdr:to>
      <xdr:col>48</xdr:col>
      <xdr:colOff>20682</xdr:colOff>
      <xdr:row>221</xdr:row>
      <xdr:rowOff>76199</xdr:rowOff>
    </xdr:to>
    <xdr:cxnSp macro="">
      <xdr:nvCxnSpPr>
        <xdr:cNvPr id="18085" name="직선 화살표 연결선 18084">
          <a:extLst>
            <a:ext uri="{FF2B5EF4-FFF2-40B4-BE49-F238E27FC236}">
              <a16:creationId xmlns:a16="http://schemas.microsoft.com/office/drawing/2014/main" id="{E1B59933-71A9-433F-B676-B39299D757C6}"/>
            </a:ext>
          </a:extLst>
        </xdr:cNvPr>
        <xdr:cNvCxnSpPr/>
      </xdr:nvCxnSpPr>
      <xdr:spPr>
        <a:xfrm>
          <a:off x="13249002" y="3396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220</xdr:row>
      <xdr:rowOff>19049</xdr:rowOff>
    </xdr:from>
    <xdr:to>
      <xdr:col>62</xdr:col>
      <xdr:colOff>42636</xdr:colOff>
      <xdr:row>220</xdr:row>
      <xdr:rowOff>133349</xdr:rowOff>
    </xdr:to>
    <xdr:sp macro="" textlink="">
      <xdr:nvSpPr>
        <xdr:cNvPr id="18086" name="217">
          <a:extLst>
            <a:ext uri="{FF2B5EF4-FFF2-40B4-BE49-F238E27FC236}">
              <a16:creationId xmlns:a16="http://schemas.microsoft.com/office/drawing/2014/main" id="{42947029-382E-4850-B7E7-ECEF3000A40E}"/>
            </a:ext>
          </a:extLst>
        </xdr:cNvPr>
        <xdr:cNvSpPr/>
      </xdr:nvSpPr>
      <xdr:spPr>
        <a:xfrm>
          <a:off x="13249002" y="33752789"/>
          <a:ext cx="20488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220</xdr:row>
      <xdr:rowOff>76199</xdr:rowOff>
    </xdr:from>
    <xdr:to>
      <xdr:col>48</xdr:col>
      <xdr:colOff>20682</xdr:colOff>
      <xdr:row>220</xdr:row>
      <xdr:rowOff>76199</xdr:rowOff>
    </xdr:to>
    <xdr:cxnSp macro="">
      <xdr:nvCxnSpPr>
        <xdr:cNvPr id="18087" name="직선 화살표 연결선 18086">
          <a:extLst>
            <a:ext uri="{FF2B5EF4-FFF2-40B4-BE49-F238E27FC236}">
              <a16:creationId xmlns:a16="http://schemas.microsoft.com/office/drawing/2014/main" id="{53618BAD-5E78-4C1E-AF5D-9AC3607F0E77}"/>
            </a:ext>
          </a:extLst>
        </xdr:cNvPr>
        <xdr:cNvCxnSpPr/>
      </xdr:nvCxnSpPr>
      <xdr:spPr>
        <a:xfrm>
          <a:off x="13249002" y="3380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20683</xdr:colOff>
      <xdr:row>219</xdr:row>
      <xdr:rowOff>19049</xdr:rowOff>
    </xdr:from>
    <xdr:to>
      <xdr:col>65</xdr:col>
      <xdr:colOff>125366</xdr:colOff>
      <xdr:row>219</xdr:row>
      <xdr:rowOff>133349</xdr:rowOff>
    </xdr:to>
    <xdr:sp macro="" textlink="">
      <xdr:nvSpPr>
        <xdr:cNvPr id="18088" name="216">
          <a:extLst>
            <a:ext uri="{FF2B5EF4-FFF2-40B4-BE49-F238E27FC236}">
              <a16:creationId xmlns:a16="http://schemas.microsoft.com/office/drawing/2014/main" id="{29F399C6-18DB-42BF-975B-1746E6E9A45D}"/>
            </a:ext>
          </a:extLst>
        </xdr:cNvPr>
        <xdr:cNvSpPr/>
      </xdr:nvSpPr>
      <xdr:spPr>
        <a:xfrm>
          <a:off x="15710263" y="336003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20683</xdr:colOff>
      <xdr:row>219</xdr:row>
      <xdr:rowOff>76199</xdr:rowOff>
    </xdr:from>
    <xdr:to>
      <xdr:col>65</xdr:col>
      <xdr:colOff>20683</xdr:colOff>
      <xdr:row>219</xdr:row>
      <xdr:rowOff>76199</xdr:rowOff>
    </xdr:to>
    <xdr:cxnSp macro="">
      <xdr:nvCxnSpPr>
        <xdr:cNvPr id="18090" name="직선 화살표 연결선 18089">
          <a:extLst>
            <a:ext uri="{FF2B5EF4-FFF2-40B4-BE49-F238E27FC236}">
              <a16:creationId xmlns:a16="http://schemas.microsoft.com/office/drawing/2014/main" id="{78271694-8D8A-4F0F-B1C7-81A8121BFF7B}"/>
            </a:ext>
          </a:extLst>
        </xdr:cNvPr>
        <xdr:cNvCxnSpPr/>
      </xdr:nvCxnSpPr>
      <xdr:spPr>
        <a:xfrm>
          <a:off x="15710263" y="3365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20682</xdr:colOff>
      <xdr:row>218</xdr:row>
      <xdr:rowOff>19049</xdr:rowOff>
    </xdr:from>
    <xdr:to>
      <xdr:col>63</xdr:col>
      <xdr:colOff>104683</xdr:colOff>
      <xdr:row>218</xdr:row>
      <xdr:rowOff>133349</xdr:rowOff>
    </xdr:to>
    <xdr:sp macro="" textlink="">
      <xdr:nvSpPr>
        <xdr:cNvPr id="18091" name="215">
          <a:extLst>
            <a:ext uri="{FF2B5EF4-FFF2-40B4-BE49-F238E27FC236}">
              <a16:creationId xmlns:a16="http://schemas.microsoft.com/office/drawing/2014/main" id="{1B550176-EC7D-46CC-B50D-E2151D4AC77C}"/>
            </a:ext>
          </a:extLst>
        </xdr:cNvPr>
        <xdr:cNvSpPr/>
      </xdr:nvSpPr>
      <xdr:spPr>
        <a:xfrm>
          <a:off x="15420702" y="33447989"/>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20682</xdr:colOff>
      <xdr:row>218</xdr:row>
      <xdr:rowOff>76199</xdr:rowOff>
    </xdr:from>
    <xdr:to>
      <xdr:col>63</xdr:col>
      <xdr:colOff>20682</xdr:colOff>
      <xdr:row>218</xdr:row>
      <xdr:rowOff>76199</xdr:rowOff>
    </xdr:to>
    <xdr:cxnSp macro="">
      <xdr:nvCxnSpPr>
        <xdr:cNvPr id="18092" name="직선 화살표 연결선 18091">
          <a:extLst>
            <a:ext uri="{FF2B5EF4-FFF2-40B4-BE49-F238E27FC236}">
              <a16:creationId xmlns:a16="http://schemas.microsoft.com/office/drawing/2014/main" id="{5C061F7C-FE03-4C0E-840C-76A75DA7DA36}"/>
            </a:ext>
          </a:extLst>
        </xdr:cNvPr>
        <xdr:cNvCxnSpPr/>
      </xdr:nvCxnSpPr>
      <xdr:spPr>
        <a:xfrm>
          <a:off x="15420702" y="3350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20682</xdr:colOff>
      <xdr:row>217</xdr:row>
      <xdr:rowOff>19049</xdr:rowOff>
    </xdr:from>
    <xdr:to>
      <xdr:col>65</xdr:col>
      <xdr:colOff>125366</xdr:colOff>
      <xdr:row>217</xdr:row>
      <xdr:rowOff>133349</xdr:rowOff>
    </xdr:to>
    <xdr:sp macro="" textlink="">
      <xdr:nvSpPr>
        <xdr:cNvPr id="18107" name="214">
          <a:extLst>
            <a:ext uri="{FF2B5EF4-FFF2-40B4-BE49-F238E27FC236}">
              <a16:creationId xmlns:a16="http://schemas.microsoft.com/office/drawing/2014/main" id="{88E7E69F-6175-4654-AF60-DE6B5124DB6C}"/>
            </a:ext>
          </a:extLst>
        </xdr:cNvPr>
        <xdr:cNvSpPr/>
      </xdr:nvSpPr>
      <xdr:spPr>
        <a:xfrm>
          <a:off x="15420702" y="33295589"/>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20682</xdr:colOff>
      <xdr:row>217</xdr:row>
      <xdr:rowOff>76199</xdr:rowOff>
    </xdr:from>
    <xdr:to>
      <xdr:col>63</xdr:col>
      <xdr:colOff>20682</xdr:colOff>
      <xdr:row>217</xdr:row>
      <xdr:rowOff>76199</xdr:rowOff>
    </xdr:to>
    <xdr:cxnSp macro="">
      <xdr:nvCxnSpPr>
        <xdr:cNvPr id="18108" name="직선 화살표 연결선 18107">
          <a:extLst>
            <a:ext uri="{FF2B5EF4-FFF2-40B4-BE49-F238E27FC236}">
              <a16:creationId xmlns:a16="http://schemas.microsoft.com/office/drawing/2014/main" id="{3D1D9C00-0D51-4977-A947-F157800AD770}"/>
            </a:ext>
          </a:extLst>
        </xdr:cNvPr>
        <xdr:cNvCxnSpPr/>
      </xdr:nvCxnSpPr>
      <xdr:spPr>
        <a:xfrm>
          <a:off x="15420702" y="3335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20683</xdr:colOff>
      <xdr:row>216</xdr:row>
      <xdr:rowOff>19049</xdr:rowOff>
    </xdr:from>
    <xdr:to>
      <xdr:col>60</xdr:col>
      <xdr:colOff>125366</xdr:colOff>
      <xdr:row>216</xdr:row>
      <xdr:rowOff>133349</xdr:rowOff>
    </xdr:to>
    <xdr:sp macro="" textlink="">
      <xdr:nvSpPr>
        <xdr:cNvPr id="18109" name="213">
          <a:extLst>
            <a:ext uri="{FF2B5EF4-FFF2-40B4-BE49-F238E27FC236}">
              <a16:creationId xmlns:a16="http://schemas.microsoft.com/office/drawing/2014/main" id="{EB5FC8D6-361B-4009-A3EF-856909B8A3D7}"/>
            </a:ext>
          </a:extLst>
        </xdr:cNvPr>
        <xdr:cNvSpPr/>
      </xdr:nvSpPr>
      <xdr:spPr>
        <a:xfrm>
          <a:off x="14986363" y="331431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20683</xdr:colOff>
      <xdr:row>216</xdr:row>
      <xdr:rowOff>76199</xdr:rowOff>
    </xdr:from>
    <xdr:to>
      <xdr:col>60</xdr:col>
      <xdr:colOff>20683</xdr:colOff>
      <xdr:row>216</xdr:row>
      <xdr:rowOff>76199</xdr:rowOff>
    </xdr:to>
    <xdr:cxnSp macro="">
      <xdr:nvCxnSpPr>
        <xdr:cNvPr id="18110" name="직선 화살표 연결선 18109">
          <a:extLst>
            <a:ext uri="{FF2B5EF4-FFF2-40B4-BE49-F238E27FC236}">
              <a16:creationId xmlns:a16="http://schemas.microsoft.com/office/drawing/2014/main" id="{8259AC3A-FB2F-4422-B576-AFE22308D99D}"/>
            </a:ext>
          </a:extLst>
        </xdr:cNvPr>
        <xdr:cNvCxnSpPr/>
      </xdr:nvCxnSpPr>
      <xdr:spPr>
        <a:xfrm>
          <a:off x="14986363" y="3320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215</xdr:row>
      <xdr:rowOff>19049</xdr:rowOff>
    </xdr:from>
    <xdr:to>
      <xdr:col>59</xdr:col>
      <xdr:colOff>125368</xdr:colOff>
      <xdr:row>215</xdr:row>
      <xdr:rowOff>133349</xdr:rowOff>
    </xdr:to>
    <xdr:sp macro="" textlink="">
      <xdr:nvSpPr>
        <xdr:cNvPr id="18111" name="212">
          <a:extLst>
            <a:ext uri="{FF2B5EF4-FFF2-40B4-BE49-F238E27FC236}">
              <a16:creationId xmlns:a16="http://schemas.microsoft.com/office/drawing/2014/main" id="{5F04607D-2AC3-4057-A817-E0B2FB95BF74}"/>
            </a:ext>
          </a:extLst>
        </xdr:cNvPr>
        <xdr:cNvSpPr/>
      </xdr:nvSpPr>
      <xdr:spPr>
        <a:xfrm>
          <a:off x="14841582" y="32990789"/>
          <a:ext cx="1046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215</xdr:row>
      <xdr:rowOff>76199</xdr:rowOff>
    </xdr:from>
    <xdr:to>
      <xdr:col>59</xdr:col>
      <xdr:colOff>20682</xdr:colOff>
      <xdr:row>215</xdr:row>
      <xdr:rowOff>76199</xdr:rowOff>
    </xdr:to>
    <xdr:cxnSp macro="">
      <xdr:nvCxnSpPr>
        <xdr:cNvPr id="18112" name="직선 화살표 연결선 18111">
          <a:extLst>
            <a:ext uri="{FF2B5EF4-FFF2-40B4-BE49-F238E27FC236}">
              <a16:creationId xmlns:a16="http://schemas.microsoft.com/office/drawing/2014/main" id="{9F7188AE-5305-48B4-B3B9-573E5FFA83F4}"/>
            </a:ext>
          </a:extLst>
        </xdr:cNvPr>
        <xdr:cNvCxnSpPr/>
      </xdr:nvCxnSpPr>
      <xdr:spPr>
        <a:xfrm>
          <a:off x="14841582" y="3304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20683</xdr:colOff>
      <xdr:row>214</xdr:row>
      <xdr:rowOff>19049</xdr:rowOff>
    </xdr:from>
    <xdr:to>
      <xdr:col>58</xdr:col>
      <xdr:colOff>125367</xdr:colOff>
      <xdr:row>214</xdr:row>
      <xdr:rowOff>133349</xdr:rowOff>
    </xdr:to>
    <xdr:sp macro="" textlink="">
      <xdr:nvSpPr>
        <xdr:cNvPr id="18113" name="211">
          <a:extLst>
            <a:ext uri="{FF2B5EF4-FFF2-40B4-BE49-F238E27FC236}">
              <a16:creationId xmlns:a16="http://schemas.microsoft.com/office/drawing/2014/main" id="{92E5D32E-940D-430F-A9B0-DDC75A1D1ED2}"/>
            </a:ext>
          </a:extLst>
        </xdr:cNvPr>
        <xdr:cNvSpPr/>
      </xdr:nvSpPr>
      <xdr:spPr>
        <a:xfrm>
          <a:off x="14552023" y="32838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20683</xdr:colOff>
      <xdr:row>214</xdr:row>
      <xdr:rowOff>76199</xdr:rowOff>
    </xdr:from>
    <xdr:to>
      <xdr:col>57</xdr:col>
      <xdr:colOff>20683</xdr:colOff>
      <xdr:row>214</xdr:row>
      <xdr:rowOff>76199</xdr:rowOff>
    </xdr:to>
    <xdr:cxnSp macro="">
      <xdr:nvCxnSpPr>
        <xdr:cNvPr id="18114" name="직선 화살표 연결선 18113">
          <a:extLst>
            <a:ext uri="{FF2B5EF4-FFF2-40B4-BE49-F238E27FC236}">
              <a16:creationId xmlns:a16="http://schemas.microsoft.com/office/drawing/2014/main" id="{1EF16BF6-2D09-4A66-A965-5E39FDD9BBE6}"/>
            </a:ext>
          </a:extLst>
        </xdr:cNvPr>
        <xdr:cNvCxnSpPr/>
      </xdr:nvCxnSpPr>
      <xdr:spPr>
        <a:xfrm>
          <a:off x="14552023" y="3289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20683</xdr:colOff>
      <xdr:row>213</xdr:row>
      <xdr:rowOff>19049</xdr:rowOff>
    </xdr:from>
    <xdr:to>
      <xdr:col>60</xdr:col>
      <xdr:colOff>125366</xdr:colOff>
      <xdr:row>213</xdr:row>
      <xdr:rowOff>133349</xdr:rowOff>
    </xdr:to>
    <xdr:sp macro="" textlink="">
      <xdr:nvSpPr>
        <xdr:cNvPr id="18115" name="210">
          <a:extLst>
            <a:ext uri="{FF2B5EF4-FFF2-40B4-BE49-F238E27FC236}">
              <a16:creationId xmlns:a16="http://schemas.microsoft.com/office/drawing/2014/main" id="{4C901C54-2640-4CF5-9250-799F30721758}"/>
            </a:ext>
          </a:extLst>
        </xdr:cNvPr>
        <xdr:cNvSpPr/>
      </xdr:nvSpPr>
      <xdr:spPr>
        <a:xfrm>
          <a:off x="14552023" y="32685989"/>
          <a:ext cx="5390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20683</xdr:colOff>
      <xdr:row>213</xdr:row>
      <xdr:rowOff>76199</xdr:rowOff>
    </xdr:from>
    <xdr:to>
      <xdr:col>57</xdr:col>
      <xdr:colOff>20683</xdr:colOff>
      <xdr:row>213</xdr:row>
      <xdr:rowOff>76199</xdr:rowOff>
    </xdr:to>
    <xdr:cxnSp macro="">
      <xdr:nvCxnSpPr>
        <xdr:cNvPr id="18116" name="직선 화살표 연결선 18115">
          <a:extLst>
            <a:ext uri="{FF2B5EF4-FFF2-40B4-BE49-F238E27FC236}">
              <a16:creationId xmlns:a16="http://schemas.microsoft.com/office/drawing/2014/main" id="{9ED863BF-8503-43ED-A721-70D6A63FD6D1}"/>
            </a:ext>
          </a:extLst>
        </xdr:cNvPr>
        <xdr:cNvCxnSpPr/>
      </xdr:nvCxnSpPr>
      <xdr:spPr>
        <a:xfrm>
          <a:off x="14552023" y="3274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20683</xdr:colOff>
      <xdr:row>212</xdr:row>
      <xdr:rowOff>19049</xdr:rowOff>
    </xdr:from>
    <xdr:to>
      <xdr:col>56</xdr:col>
      <xdr:colOff>104684</xdr:colOff>
      <xdr:row>212</xdr:row>
      <xdr:rowOff>133349</xdr:rowOff>
    </xdr:to>
    <xdr:sp macro="" textlink="">
      <xdr:nvSpPr>
        <xdr:cNvPr id="18117" name="209">
          <a:extLst>
            <a:ext uri="{FF2B5EF4-FFF2-40B4-BE49-F238E27FC236}">
              <a16:creationId xmlns:a16="http://schemas.microsoft.com/office/drawing/2014/main" id="{C241106D-12BC-4604-813A-E2054884F867}"/>
            </a:ext>
          </a:extLst>
        </xdr:cNvPr>
        <xdr:cNvSpPr/>
      </xdr:nvSpPr>
      <xdr:spPr>
        <a:xfrm>
          <a:off x="14407243" y="32533589"/>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20683</xdr:colOff>
      <xdr:row>212</xdr:row>
      <xdr:rowOff>76199</xdr:rowOff>
    </xdr:from>
    <xdr:to>
      <xdr:col>56</xdr:col>
      <xdr:colOff>20683</xdr:colOff>
      <xdr:row>212</xdr:row>
      <xdr:rowOff>76199</xdr:rowOff>
    </xdr:to>
    <xdr:cxnSp macro="">
      <xdr:nvCxnSpPr>
        <xdr:cNvPr id="18118" name="직선 화살표 연결선 18117">
          <a:extLst>
            <a:ext uri="{FF2B5EF4-FFF2-40B4-BE49-F238E27FC236}">
              <a16:creationId xmlns:a16="http://schemas.microsoft.com/office/drawing/2014/main" id="{489DF5E7-CD16-4D77-A10E-BDCD3DAE37A0}"/>
            </a:ext>
          </a:extLst>
        </xdr:cNvPr>
        <xdr:cNvCxnSpPr/>
      </xdr:nvCxnSpPr>
      <xdr:spPr>
        <a:xfrm>
          <a:off x="14407243" y="3259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20683</xdr:colOff>
      <xdr:row>211</xdr:row>
      <xdr:rowOff>19049</xdr:rowOff>
    </xdr:from>
    <xdr:to>
      <xdr:col>55</xdr:col>
      <xdr:colOff>125366</xdr:colOff>
      <xdr:row>211</xdr:row>
      <xdr:rowOff>133349</xdr:rowOff>
    </xdr:to>
    <xdr:sp macro="" textlink="">
      <xdr:nvSpPr>
        <xdr:cNvPr id="18119" name="208">
          <a:extLst>
            <a:ext uri="{FF2B5EF4-FFF2-40B4-BE49-F238E27FC236}">
              <a16:creationId xmlns:a16="http://schemas.microsoft.com/office/drawing/2014/main" id="{D19D5637-2AED-429F-A3D9-6BD38AE40819}"/>
            </a:ext>
          </a:extLst>
        </xdr:cNvPr>
        <xdr:cNvSpPr/>
      </xdr:nvSpPr>
      <xdr:spPr>
        <a:xfrm>
          <a:off x="14262463" y="323811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20683</xdr:colOff>
      <xdr:row>211</xdr:row>
      <xdr:rowOff>76199</xdr:rowOff>
    </xdr:from>
    <xdr:to>
      <xdr:col>55</xdr:col>
      <xdr:colOff>20683</xdr:colOff>
      <xdr:row>211</xdr:row>
      <xdr:rowOff>76199</xdr:rowOff>
    </xdr:to>
    <xdr:cxnSp macro="">
      <xdr:nvCxnSpPr>
        <xdr:cNvPr id="18120" name="직선 화살표 연결선 18119">
          <a:extLst>
            <a:ext uri="{FF2B5EF4-FFF2-40B4-BE49-F238E27FC236}">
              <a16:creationId xmlns:a16="http://schemas.microsoft.com/office/drawing/2014/main" id="{A0E0DC9F-9B34-4CB4-BA43-9FB3B4E7161F}"/>
            </a:ext>
          </a:extLst>
        </xdr:cNvPr>
        <xdr:cNvCxnSpPr/>
      </xdr:nvCxnSpPr>
      <xdr:spPr>
        <a:xfrm>
          <a:off x="14262463" y="3243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20683</xdr:colOff>
      <xdr:row>210</xdr:row>
      <xdr:rowOff>19049</xdr:rowOff>
    </xdr:from>
    <xdr:to>
      <xdr:col>56</xdr:col>
      <xdr:colOff>104684</xdr:colOff>
      <xdr:row>210</xdr:row>
      <xdr:rowOff>133349</xdr:rowOff>
    </xdr:to>
    <xdr:sp macro="" textlink="">
      <xdr:nvSpPr>
        <xdr:cNvPr id="18121" name="207">
          <a:extLst>
            <a:ext uri="{FF2B5EF4-FFF2-40B4-BE49-F238E27FC236}">
              <a16:creationId xmlns:a16="http://schemas.microsoft.com/office/drawing/2014/main" id="{8FFF4595-ED30-42AF-9AE5-7224D45155DB}"/>
            </a:ext>
          </a:extLst>
        </xdr:cNvPr>
        <xdr:cNvSpPr/>
      </xdr:nvSpPr>
      <xdr:spPr>
        <a:xfrm>
          <a:off x="14262463" y="32228789"/>
          <a:ext cx="2287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20683</xdr:colOff>
      <xdr:row>210</xdr:row>
      <xdr:rowOff>76199</xdr:rowOff>
    </xdr:from>
    <xdr:to>
      <xdr:col>55</xdr:col>
      <xdr:colOff>20683</xdr:colOff>
      <xdr:row>210</xdr:row>
      <xdr:rowOff>76199</xdr:rowOff>
    </xdr:to>
    <xdr:cxnSp macro="">
      <xdr:nvCxnSpPr>
        <xdr:cNvPr id="18122" name="직선 화살표 연결선 18121">
          <a:extLst>
            <a:ext uri="{FF2B5EF4-FFF2-40B4-BE49-F238E27FC236}">
              <a16:creationId xmlns:a16="http://schemas.microsoft.com/office/drawing/2014/main" id="{EEDA0B03-9402-4BD6-A4D7-8303A7F3480E}"/>
            </a:ext>
          </a:extLst>
        </xdr:cNvPr>
        <xdr:cNvCxnSpPr/>
      </xdr:nvCxnSpPr>
      <xdr:spPr>
        <a:xfrm>
          <a:off x="14262463" y="3228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20682</xdr:colOff>
      <xdr:row>209</xdr:row>
      <xdr:rowOff>19049</xdr:rowOff>
    </xdr:from>
    <xdr:to>
      <xdr:col>54</xdr:col>
      <xdr:colOff>125368</xdr:colOff>
      <xdr:row>209</xdr:row>
      <xdr:rowOff>133349</xdr:rowOff>
    </xdr:to>
    <xdr:sp macro="" textlink="">
      <xdr:nvSpPr>
        <xdr:cNvPr id="18123" name="206">
          <a:extLst>
            <a:ext uri="{FF2B5EF4-FFF2-40B4-BE49-F238E27FC236}">
              <a16:creationId xmlns:a16="http://schemas.microsoft.com/office/drawing/2014/main" id="{2B5CB729-1A1C-4549-88F6-482EDD67A0B3}"/>
            </a:ext>
          </a:extLst>
        </xdr:cNvPr>
        <xdr:cNvSpPr/>
      </xdr:nvSpPr>
      <xdr:spPr>
        <a:xfrm>
          <a:off x="14117682" y="32076389"/>
          <a:ext cx="1046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20682</xdr:colOff>
      <xdr:row>209</xdr:row>
      <xdr:rowOff>76199</xdr:rowOff>
    </xdr:from>
    <xdr:to>
      <xdr:col>54</xdr:col>
      <xdr:colOff>20682</xdr:colOff>
      <xdr:row>209</xdr:row>
      <xdr:rowOff>76199</xdr:rowOff>
    </xdr:to>
    <xdr:cxnSp macro="">
      <xdr:nvCxnSpPr>
        <xdr:cNvPr id="18124" name="직선 화살표 연결선 18123">
          <a:extLst>
            <a:ext uri="{FF2B5EF4-FFF2-40B4-BE49-F238E27FC236}">
              <a16:creationId xmlns:a16="http://schemas.microsoft.com/office/drawing/2014/main" id="{14BE49A0-367D-4FA8-880F-B97F4DC3035E}"/>
            </a:ext>
          </a:extLst>
        </xdr:cNvPr>
        <xdr:cNvCxnSpPr/>
      </xdr:nvCxnSpPr>
      <xdr:spPr>
        <a:xfrm>
          <a:off x="14117682" y="3213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20682</xdr:colOff>
      <xdr:row>208</xdr:row>
      <xdr:rowOff>19049</xdr:rowOff>
    </xdr:from>
    <xdr:to>
      <xdr:col>53</xdr:col>
      <xdr:colOff>125367</xdr:colOff>
      <xdr:row>208</xdr:row>
      <xdr:rowOff>133349</xdr:rowOff>
    </xdr:to>
    <xdr:sp macro="" textlink="">
      <xdr:nvSpPr>
        <xdr:cNvPr id="18125" name="205">
          <a:extLst>
            <a:ext uri="{FF2B5EF4-FFF2-40B4-BE49-F238E27FC236}">
              <a16:creationId xmlns:a16="http://schemas.microsoft.com/office/drawing/2014/main" id="{6B8F4A43-2F05-4194-9565-04CDF53B28C4}"/>
            </a:ext>
          </a:extLst>
        </xdr:cNvPr>
        <xdr:cNvSpPr/>
      </xdr:nvSpPr>
      <xdr:spPr>
        <a:xfrm>
          <a:off x="13972902" y="3192398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20682</xdr:colOff>
      <xdr:row>208</xdr:row>
      <xdr:rowOff>76199</xdr:rowOff>
    </xdr:from>
    <xdr:to>
      <xdr:col>53</xdr:col>
      <xdr:colOff>20682</xdr:colOff>
      <xdr:row>208</xdr:row>
      <xdr:rowOff>76199</xdr:rowOff>
    </xdr:to>
    <xdr:cxnSp macro="">
      <xdr:nvCxnSpPr>
        <xdr:cNvPr id="18126" name="직선 화살표 연결선 18125">
          <a:extLst>
            <a:ext uri="{FF2B5EF4-FFF2-40B4-BE49-F238E27FC236}">
              <a16:creationId xmlns:a16="http://schemas.microsoft.com/office/drawing/2014/main" id="{93F71EB4-4287-472F-A1C8-3D1F6781E136}"/>
            </a:ext>
          </a:extLst>
        </xdr:cNvPr>
        <xdr:cNvCxnSpPr/>
      </xdr:nvCxnSpPr>
      <xdr:spPr>
        <a:xfrm>
          <a:off x="13972902" y="3198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207</xdr:row>
      <xdr:rowOff>19049</xdr:rowOff>
    </xdr:from>
    <xdr:to>
      <xdr:col>52</xdr:col>
      <xdr:colOff>125367</xdr:colOff>
      <xdr:row>207</xdr:row>
      <xdr:rowOff>133349</xdr:rowOff>
    </xdr:to>
    <xdr:sp macro="" textlink="">
      <xdr:nvSpPr>
        <xdr:cNvPr id="18127" name="204">
          <a:extLst>
            <a:ext uri="{FF2B5EF4-FFF2-40B4-BE49-F238E27FC236}">
              <a16:creationId xmlns:a16="http://schemas.microsoft.com/office/drawing/2014/main" id="{49F2540E-386C-410E-A411-6DF4EA6CDE48}"/>
            </a:ext>
          </a:extLst>
        </xdr:cNvPr>
        <xdr:cNvSpPr/>
      </xdr:nvSpPr>
      <xdr:spPr>
        <a:xfrm>
          <a:off x="13249002" y="31771589"/>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207</xdr:row>
      <xdr:rowOff>76199</xdr:rowOff>
    </xdr:from>
    <xdr:to>
      <xdr:col>48</xdr:col>
      <xdr:colOff>20682</xdr:colOff>
      <xdr:row>207</xdr:row>
      <xdr:rowOff>76199</xdr:rowOff>
    </xdr:to>
    <xdr:cxnSp macro="">
      <xdr:nvCxnSpPr>
        <xdr:cNvPr id="18128" name="직선 화살표 연결선 18127">
          <a:extLst>
            <a:ext uri="{FF2B5EF4-FFF2-40B4-BE49-F238E27FC236}">
              <a16:creationId xmlns:a16="http://schemas.microsoft.com/office/drawing/2014/main" id="{13AD0468-282D-47A9-B6FF-63CC87C0968B}"/>
            </a:ext>
          </a:extLst>
        </xdr:cNvPr>
        <xdr:cNvCxnSpPr/>
      </xdr:nvCxnSpPr>
      <xdr:spPr>
        <a:xfrm>
          <a:off x="13249002" y="3182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206</xdr:row>
      <xdr:rowOff>19049</xdr:rowOff>
    </xdr:from>
    <xdr:to>
      <xdr:col>54</xdr:col>
      <xdr:colOff>125368</xdr:colOff>
      <xdr:row>206</xdr:row>
      <xdr:rowOff>133349</xdr:rowOff>
    </xdr:to>
    <xdr:sp macro="" textlink="">
      <xdr:nvSpPr>
        <xdr:cNvPr id="18129" name="203">
          <a:extLst>
            <a:ext uri="{FF2B5EF4-FFF2-40B4-BE49-F238E27FC236}">
              <a16:creationId xmlns:a16="http://schemas.microsoft.com/office/drawing/2014/main" id="{0AE74726-590A-43E6-AA78-40B0F5ECE2FD}"/>
            </a:ext>
          </a:extLst>
        </xdr:cNvPr>
        <xdr:cNvSpPr/>
      </xdr:nvSpPr>
      <xdr:spPr>
        <a:xfrm>
          <a:off x="13249002" y="31619189"/>
          <a:ext cx="973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206</xdr:row>
      <xdr:rowOff>76199</xdr:rowOff>
    </xdr:from>
    <xdr:to>
      <xdr:col>48</xdr:col>
      <xdr:colOff>20682</xdr:colOff>
      <xdr:row>206</xdr:row>
      <xdr:rowOff>76199</xdr:rowOff>
    </xdr:to>
    <xdr:cxnSp macro="">
      <xdr:nvCxnSpPr>
        <xdr:cNvPr id="18130" name="직선 화살표 연결선 18129">
          <a:extLst>
            <a:ext uri="{FF2B5EF4-FFF2-40B4-BE49-F238E27FC236}">
              <a16:creationId xmlns:a16="http://schemas.microsoft.com/office/drawing/2014/main" id="{A39EE7B9-9A44-4CA9-9704-25E9938D66CE}"/>
            </a:ext>
          </a:extLst>
        </xdr:cNvPr>
        <xdr:cNvCxnSpPr/>
      </xdr:nvCxnSpPr>
      <xdr:spPr>
        <a:xfrm>
          <a:off x="13249002" y="3167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205</xdr:row>
      <xdr:rowOff>19049</xdr:rowOff>
    </xdr:from>
    <xdr:to>
      <xdr:col>65</xdr:col>
      <xdr:colOff>125366</xdr:colOff>
      <xdr:row>205</xdr:row>
      <xdr:rowOff>133349</xdr:rowOff>
    </xdr:to>
    <xdr:sp macro="" textlink="">
      <xdr:nvSpPr>
        <xdr:cNvPr id="18133" name="202">
          <a:extLst>
            <a:ext uri="{FF2B5EF4-FFF2-40B4-BE49-F238E27FC236}">
              <a16:creationId xmlns:a16="http://schemas.microsoft.com/office/drawing/2014/main" id="{B6F5AB21-4F67-4CFB-9948-12D27900E069}"/>
            </a:ext>
          </a:extLst>
        </xdr:cNvPr>
        <xdr:cNvSpPr/>
      </xdr:nvSpPr>
      <xdr:spPr>
        <a:xfrm>
          <a:off x="13249002" y="31466789"/>
          <a:ext cx="25659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205</xdr:row>
      <xdr:rowOff>76199</xdr:rowOff>
    </xdr:from>
    <xdr:to>
      <xdr:col>48</xdr:col>
      <xdr:colOff>20682</xdr:colOff>
      <xdr:row>205</xdr:row>
      <xdr:rowOff>76199</xdr:rowOff>
    </xdr:to>
    <xdr:cxnSp macro="">
      <xdr:nvCxnSpPr>
        <xdr:cNvPr id="18134" name="직선 화살표 연결선 18133">
          <a:extLst>
            <a:ext uri="{FF2B5EF4-FFF2-40B4-BE49-F238E27FC236}">
              <a16:creationId xmlns:a16="http://schemas.microsoft.com/office/drawing/2014/main" id="{5EBE19B7-3A40-4E73-B0F8-01FAD3405929}"/>
            </a:ext>
          </a:extLst>
        </xdr:cNvPr>
        <xdr:cNvCxnSpPr/>
      </xdr:nvCxnSpPr>
      <xdr:spPr>
        <a:xfrm>
          <a:off x="13249002" y="3152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20683</xdr:colOff>
      <xdr:row>204</xdr:row>
      <xdr:rowOff>19049</xdr:rowOff>
    </xdr:from>
    <xdr:to>
      <xdr:col>58</xdr:col>
      <xdr:colOff>125367</xdr:colOff>
      <xdr:row>204</xdr:row>
      <xdr:rowOff>133349</xdr:rowOff>
    </xdr:to>
    <xdr:sp macro="" textlink="">
      <xdr:nvSpPr>
        <xdr:cNvPr id="18136" name="201">
          <a:extLst>
            <a:ext uri="{FF2B5EF4-FFF2-40B4-BE49-F238E27FC236}">
              <a16:creationId xmlns:a16="http://schemas.microsoft.com/office/drawing/2014/main" id="{D108E12E-B544-46B3-BF33-145788D9A666}"/>
            </a:ext>
          </a:extLst>
        </xdr:cNvPr>
        <xdr:cNvSpPr/>
      </xdr:nvSpPr>
      <xdr:spPr>
        <a:xfrm>
          <a:off x="14552023" y="31314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20683</xdr:colOff>
      <xdr:row>204</xdr:row>
      <xdr:rowOff>76199</xdr:rowOff>
    </xdr:from>
    <xdr:to>
      <xdr:col>57</xdr:col>
      <xdr:colOff>20683</xdr:colOff>
      <xdr:row>204</xdr:row>
      <xdr:rowOff>76199</xdr:rowOff>
    </xdr:to>
    <xdr:cxnSp macro="">
      <xdr:nvCxnSpPr>
        <xdr:cNvPr id="18137" name="직선 화살표 연결선 18136">
          <a:extLst>
            <a:ext uri="{FF2B5EF4-FFF2-40B4-BE49-F238E27FC236}">
              <a16:creationId xmlns:a16="http://schemas.microsoft.com/office/drawing/2014/main" id="{B18CCE8E-26AA-47E1-AF8C-DAAFAACF4BD8}"/>
            </a:ext>
          </a:extLst>
        </xdr:cNvPr>
        <xdr:cNvCxnSpPr/>
      </xdr:nvCxnSpPr>
      <xdr:spPr>
        <a:xfrm>
          <a:off x="14552023" y="3137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20682</xdr:colOff>
      <xdr:row>203</xdr:row>
      <xdr:rowOff>19049</xdr:rowOff>
    </xdr:from>
    <xdr:to>
      <xdr:col>58</xdr:col>
      <xdr:colOff>125367</xdr:colOff>
      <xdr:row>203</xdr:row>
      <xdr:rowOff>133349</xdr:rowOff>
    </xdr:to>
    <xdr:sp macro="" textlink="">
      <xdr:nvSpPr>
        <xdr:cNvPr id="18138" name="200">
          <a:extLst>
            <a:ext uri="{FF2B5EF4-FFF2-40B4-BE49-F238E27FC236}">
              <a16:creationId xmlns:a16="http://schemas.microsoft.com/office/drawing/2014/main" id="{B607AC42-4F6E-47D0-BF78-2C2EF62A48CD}"/>
            </a:ext>
          </a:extLst>
        </xdr:cNvPr>
        <xdr:cNvSpPr/>
      </xdr:nvSpPr>
      <xdr:spPr>
        <a:xfrm>
          <a:off x="13972902" y="31161989"/>
          <a:ext cx="8285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20682</xdr:colOff>
      <xdr:row>203</xdr:row>
      <xdr:rowOff>76199</xdr:rowOff>
    </xdr:from>
    <xdr:to>
      <xdr:col>53</xdr:col>
      <xdr:colOff>20682</xdr:colOff>
      <xdr:row>203</xdr:row>
      <xdr:rowOff>76199</xdr:rowOff>
    </xdr:to>
    <xdr:cxnSp macro="">
      <xdr:nvCxnSpPr>
        <xdr:cNvPr id="18156" name="직선 화살표 연결선 18155">
          <a:extLst>
            <a:ext uri="{FF2B5EF4-FFF2-40B4-BE49-F238E27FC236}">
              <a16:creationId xmlns:a16="http://schemas.microsoft.com/office/drawing/2014/main" id="{3566BA0C-5E71-4347-B5F9-C9EEBD3747E1}"/>
            </a:ext>
          </a:extLst>
        </xdr:cNvPr>
        <xdr:cNvCxnSpPr/>
      </xdr:nvCxnSpPr>
      <xdr:spPr>
        <a:xfrm>
          <a:off x="13972902" y="3121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20683</xdr:colOff>
      <xdr:row>202</xdr:row>
      <xdr:rowOff>19049</xdr:rowOff>
    </xdr:from>
    <xdr:to>
      <xdr:col>47</xdr:col>
      <xdr:colOff>125367</xdr:colOff>
      <xdr:row>202</xdr:row>
      <xdr:rowOff>133349</xdr:rowOff>
    </xdr:to>
    <xdr:sp macro="" textlink="">
      <xdr:nvSpPr>
        <xdr:cNvPr id="18157" name="199">
          <a:extLst>
            <a:ext uri="{FF2B5EF4-FFF2-40B4-BE49-F238E27FC236}">
              <a16:creationId xmlns:a16="http://schemas.microsoft.com/office/drawing/2014/main" id="{D3E15018-2D3A-4930-B4E5-E831085C6FDE}"/>
            </a:ext>
          </a:extLst>
        </xdr:cNvPr>
        <xdr:cNvSpPr/>
      </xdr:nvSpPr>
      <xdr:spPr>
        <a:xfrm>
          <a:off x="12669883" y="310095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20683</xdr:colOff>
      <xdr:row>202</xdr:row>
      <xdr:rowOff>76199</xdr:rowOff>
    </xdr:from>
    <xdr:to>
      <xdr:col>44</xdr:col>
      <xdr:colOff>20683</xdr:colOff>
      <xdr:row>202</xdr:row>
      <xdr:rowOff>76199</xdr:rowOff>
    </xdr:to>
    <xdr:cxnSp macro="">
      <xdr:nvCxnSpPr>
        <xdr:cNvPr id="18158" name="직선 화살표 연결선 18157">
          <a:extLst>
            <a:ext uri="{FF2B5EF4-FFF2-40B4-BE49-F238E27FC236}">
              <a16:creationId xmlns:a16="http://schemas.microsoft.com/office/drawing/2014/main" id="{950E115D-3160-4B0D-9E01-0BDC50A48EC7}"/>
            </a:ext>
          </a:extLst>
        </xdr:cNvPr>
        <xdr:cNvCxnSpPr/>
      </xdr:nvCxnSpPr>
      <xdr:spPr>
        <a:xfrm>
          <a:off x="12669883" y="3106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201</xdr:row>
      <xdr:rowOff>19049</xdr:rowOff>
    </xdr:from>
    <xdr:to>
      <xdr:col>52</xdr:col>
      <xdr:colOff>125367</xdr:colOff>
      <xdr:row>201</xdr:row>
      <xdr:rowOff>133349</xdr:rowOff>
    </xdr:to>
    <xdr:sp macro="" textlink="">
      <xdr:nvSpPr>
        <xdr:cNvPr id="18159" name="198">
          <a:extLst>
            <a:ext uri="{FF2B5EF4-FFF2-40B4-BE49-F238E27FC236}">
              <a16:creationId xmlns:a16="http://schemas.microsoft.com/office/drawing/2014/main" id="{47B39F25-0144-4C8B-9ADC-63D29C99C30A}"/>
            </a:ext>
          </a:extLst>
        </xdr:cNvPr>
        <xdr:cNvSpPr/>
      </xdr:nvSpPr>
      <xdr:spPr>
        <a:xfrm>
          <a:off x="13249002" y="30857189"/>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201</xdr:row>
      <xdr:rowOff>76199</xdr:rowOff>
    </xdr:from>
    <xdr:to>
      <xdr:col>48</xdr:col>
      <xdr:colOff>20682</xdr:colOff>
      <xdr:row>201</xdr:row>
      <xdr:rowOff>76199</xdr:rowOff>
    </xdr:to>
    <xdr:cxnSp macro="">
      <xdr:nvCxnSpPr>
        <xdr:cNvPr id="18160" name="직선 화살표 연결선 18159">
          <a:extLst>
            <a:ext uri="{FF2B5EF4-FFF2-40B4-BE49-F238E27FC236}">
              <a16:creationId xmlns:a16="http://schemas.microsoft.com/office/drawing/2014/main" id="{4013C720-3FE7-495B-83A6-44CD110C2FE3}"/>
            </a:ext>
          </a:extLst>
        </xdr:cNvPr>
        <xdr:cNvCxnSpPr/>
      </xdr:nvCxnSpPr>
      <xdr:spPr>
        <a:xfrm>
          <a:off x="13249002" y="3091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200</xdr:row>
      <xdr:rowOff>19049</xdr:rowOff>
    </xdr:from>
    <xdr:to>
      <xdr:col>51</xdr:col>
      <xdr:colOff>125367</xdr:colOff>
      <xdr:row>200</xdr:row>
      <xdr:rowOff>133349</xdr:rowOff>
    </xdr:to>
    <xdr:sp macro="" textlink="">
      <xdr:nvSpPr>
        <xdr:cNvPr id="18161" name="197">
          <a:extLst>
            <a:ext uri="{FF2B5EF4-FFF2-40B4-BE49-F238E27FC236}">
              <a16:creationId xmlns:a16="http://schemas.microsoft.com/office/drawing/2014/main" id="{0F7D9E24-DA4E-41A3-BF6F-403F26331CEE}"/>
            </a:ext>
          </a:extLst>
        </xdr:cNvPr>
        <xdr:cNvSpPr/>
      </xdr:nvSpPr>
      <xdr:spPr>
        <a:xfrm>
          <a:off x="11511643" y="30704789"/>
          <a:ext cx="22763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200</xdr:row>
      <xdr:rowOff>76199</xdr:rowOff>
    </xdr:from>
    <xdr:to>
      <xdr:col>36</xdr:col>
      <xdr:colOff>20683</xdr:colOff>
      <xdr:row>200</xdr:row>
      <xdr:rowOff>76199</xdr:rowOff>
    </xdr:to>
    <xdr:cxnSp macro="">
      <xdr:nvCxnSpPr>
        <xdr:cNvPr id="18162" name="직선 화살표 연결선 18161">
          <a:extLst>
            <a:ext uri="{FF2B5EF4-FFF2-40B4-BE49-F238E27FC236}">
              <a16:creationId xmlns:a16="http://schemas.microsoft.com/office/drawing/2014/main" id="{47651D17-1CB4-4D52-97BC-CC2918DEC171}"/>
            </a:ext>
          </a:extLst>
        </xdr:cNvPr>
        <xdr:cNvCxnSpPr/>
      </xdr:nvCxnSpPr>
      <xdr:spPr>
        <a:xfrm>
          <a:off x="11511643" y="3076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199</xdr:row>
      <xdr:rowOff>19049</xdr:rowOff>
    </xdr:from>
    <xdr:to>
      <xdr:col>43</xdr:col>
      <xdr:colOff>125366</xdr:colOff>
      <xdr:row>199</xdr:row>
      <xdr:rowOff>133349</xdr:rowOff>
    </xdr:to>
    <xdr:sp macro="" textlink="">
      <xdr:nvSpPr>
        <xdr:cNvPr id="18163" name="196">
          <a:extLst>
            <a:ext uri="{FF2B5EF4-FFF2-40B4-BE49-F238E27FC236}">
              <a16:creationId xmlns:a16="http://schemas.microsoft.com/office/drawing/2014/main" id="{E414CA42-D2D5-4B76-9E9E-7EFA18DED17B}"/>
            </a:ext>
          </a:extLst>
        </xdr:cNvPr>
        <xdr:cNvSpPr/>
      </xdr:nvSpPr>
      <xdr:spPr>
        <a:xfrm>
          <a:off x="11366863" y="30552389"/>
          <a:ext cx="12629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199</xdr:row>
      <xdr:rowOff>76199</xdr:rowOff>
    </xdr:from>
    <xdr:to>
      <xdr:col>35</xdr:col>
      <xdr:colOff>20683</xdr:colOff>
      <xdr:row>199</xdr:row>
      <xdr:rowOff>76199</xdr:rowOff>
    </xdr:to>
    <xdr:cxnSp macro="">
      <xdr:nvCxnSpPr>
        <xdr:cNvPr id="18164" name="직선 화살표 연결선 18163">
          <a:extLst>
            <a:ext uri="{FF2B5EF4-FFF2-40B4-BE49-F238E27FC236}">
              <a16:creationId xmlns:a16="http://schemas.microsoft.com/office/drawing/2014/main" id="{24DB9592-2EF3-4D17-A4AC-272182C88494}"/>
            </a:ext>
          </a:extLst>
        </xdr:cNvPr>
        <xdr:cNvCxnSpPr/>
      </xdr:nvCxnSpPr>
      <xdr:spPr>
        <a:xfrm>
          <a:off x="11366863" y="3060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82731</xdr:colOff>
      <xdr:row>198</xdr:row>
      <xdr:rowOff>19049</xdr:rowOff>
    </xdr:from>
    <xdr:to>
      <xdr:col>43</xdr:col>
      <xdr:colOff>125366</xdr:colOff>
      <xdr:row>198</xdr:row>
      <xdr:rowOff>133349</xdr:rowOff>
    </xdr:to>
    <xdr:sp macro="" textlink="">
      <xdr:nvSpPr>
        <xdr:cNvPr id="18165" name="195">
          <a:extLst>
            <a:ext uri="{FF2B5EF4-FFF2-40B4-BE49-F238E27FC236}">
              <a16:creationId xmlns:a16="http://schemas.microsoft.com/office/drawing/2014/main" id="{1BE4F8F1-CBE3-4C1E-BCB5-A6FF7569AEA8}"/>
            </a:ext>
          </a:extLst>
        </xdr:cNvPr>
        <xdr:cNvSpPr/>
      </xdr:nvSpPr>
      <xdr:spPr>
        <a:xfrm>
          <a:off x="12297591" y="30399989"/>
          <a:ext cx="332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82731</xdr:colOff>
      <xdr:row>198</xdr:row>
      <xdr:rowOff>76199</xdr:rowOff>
    </xdr:from>
    <xdr:to>
      <xdr:col>41</xdr:col>
      <xdr:colOff>82731</xdr:colOff>
      <xdr:row>198</xdr:row>
      <xdr:rowOff>76199</xdr:rowOff>
    </xdr:to>
    <xdr:cxnSp macro="">
      <xdr:nvCxnSpPr>
        <xdr:cNvPr id="18166" name="직선 화살표 연결선 18165">
          <a:extLst>
            <a:ext uri="{FF2B5EF4-FFF2-40B4-BE49-F238E27FC236}">
              <a16:creationId xmlns:a16="http://schemas.microsoft.com/office/drawing/2014/main" id="{059E754D-D25A-4579-A521-030580B1EE40}"/>
            </a:ext>
          </a:extLst>
        </xdr:cNvPr>
        <xdr:cNvCxnSpPr/>
      </xdr:nvCxnSpPr>
      <xdr:spPr>
        <a:xfrm>
          <a:off x="12297591" y="3045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197</xdr:row>
      <xdr:rowOff>19049</xdr:rowOff>
    </xdr:from>
    <xdr:to>
      <xdr:col>42</xdr:col>
      <xdr:colOff>125367</xdr:colOff>
      <xdr:row>197</xdr:row>
      <xdr:rowOff>133349</xdr:rowOff>
    </xdr:to>
    <xdr:sp macro="" textlink="">
      <xdr:nvSpPr>
        <xdr:cNvPr id="18167" name="194">
          <a:extLst>
            <a:ext uri="{FF2B5EF4-FFF2-40B4-BE49-F238E27FC236}">
              <a16:creationId xmlns:a16="http://schemas.microsoft.com/office/drawing/2014/main" id="{36103605-EDAC-452E-8AFD-D511E2087F46}"/>
            </a:ext>
          </a:extLst>
        </xdr:cNvPr>
        <xdr:cNvSpPr/>
      </xdr:nvSpPr>
      <xdr:spPr>
        <a:xfrm>
          <a:off x="12090763" y="302475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197</xdr:row>
      <xdr:rowOff>76199</xdr:rowOff>
    </xdr:from>
    <xdr:to>
      <xdr:col>40</xdr:col>
      <xdr:colOff>20683</xdr:colOff>
      <xdr:row>197</xdr:row>
      <xdr:rowOff>76199</xdr:rowOff>
    </xdr:to>
    <xdr:cxnSp macro="">
      <xdr:nvCxnSpPr>
        <xdr:cNvPr id="18168" name="직선 화살표 연결선 18167">
          <a:extLst>
            <a:ext uri="{FF2B5EF4-FFF2-40B4-BE49-F238E27FC236}">
              <a16:creationId xmlns:a16="http://schemas.microsoft.com/office/drawing/2014/main" id="{FFD6DB9B-190E-4E9B-BBA4-07CF73C6FE3B}"/>
            </a:ext>
          </a:extLst>
        </xdr:cNvPr>
        <xdr:cNvCxnSpPr/>
      </xdr:nvCxnSpPr>
      <xdr:spPr>
        <a:xfrm>
          <a:off x="12090763" y="3030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196</xdr:row>
      <xdr:rowOff>19049</xdr:rowOff>
    </xdr:from>
    <xdr:to>
      <xdr:col>41</xdr:col>
      <xdr:colOff>84001</xdr:colOff>
      <xdr:row>196</xdr:row>
      <xdr:rowOff>133349</xdr:rowOff>
    </xdr:to>
    <xdr:sp macro="" textlink="">
      <xdr:nvSpPr>
        <xdr:cNvPr id="18169" name="193">
          <a:extLst>
            <a:ext uri="{FF2B5EF4-FFF2-40B4-BE49-F238E27FC236}">
              <a16:creationId xmlns:a16="http://schemas.microsoft.com/office/drawing/2014/main" id="{2E93ED3B-3548-46A3-ACE6-391D37E54BE2}"/>
            </a:ext>
          </a:extLst>
        </xdr:cNvPr>
        <xdr:cNvSpPr/>
      </xdr:nvSpPr>
      <xdr:spPr>
        <a:xfrm>
          <a:off x="11945983" y="30095189"/>
          <a:ext cx="3528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196</xdr:row>
      <xdr:rowOff>76199</xdr:rowOff>
    </xdr:from>
    <xdr:to>
      <xdr:col>39</xdr:col>
      <xdr:colOff>20683</xdr:colOff>
      <xdr:row>196</xdr:row>
      <xdr:rowOff>76199</xdr:rowOff>
    </xdr:to>
    <xdr:cxnSp macro="">
      <xdr:nvCxnSpPr>
        <xdr:cNvPr id="18170" name="직선 화살표 연결선 18169">
          <a:extLst>
            <a:ext uri="{FF2B5EF4-FFF2-40B4-BE49-F238E27FC236}">
              <a16:creationId xmlns:a16="http://schemas.microsoft.com/office/drawing/2014/main" id="{6B326B3A-4905-4610-83FD-119630ABAB19}"/>
            </a:ext>
          </a:extLst>
        </xdr:cNvPr>
        <xdr:cNvCxnSpPr/>
      </xdr:nvCxnSpPr>
      <xdr:spPr>
        <a:xfrm>
          <a:off x="11945983" y="3015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82731</xdr:colOff>
      <xdr:row>195</xdr:row>
      <xdr:rowOff>19049</xdr:rowOff>
    </xdr:from>
    <xdr:to>
      <xdr:col>39</xdr:col>
      <xdr:colOff>63319</xdr:colOff>
      <xdr:row>195</xdr:row>
      <xdr:rowOff>133349</xdr:rowOff>
    </xdr:to>
    <xdr:sp macro="" textlink="">
      <xdr:nvSpPr>
        <xdr:cNvPr id="18171" name="192">
          <a:extLst>
            <a:ext uri="{FF2B5EF4-FFF2-40B4-BE49-F238E27FC236}">
              <a16:creationId xmlns:a16="http://schemas.microsoft.com/office/drawing/2014/main" id="{3D7BAE55-ECF1-411C-9CAB-83DD2591B39D}"/>
            </a:ext>
          </a:extLst>
        </xdr:cNvPr>
        <xdr:cNvSpPr/>
      </xdr:nvSpPr>
      <xdr:spPr>
        <a:xfrm>
          <a:off x="11863251" y="29942789"/>
          <a:ext cx="1253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82731</xdr:colOff>
      <xdr:row>195</xdr:row>
      <xdr:rowOff>76199</xdr:rowOff>
    </xdr:from>
    <xdr:to>
      <xdr:col>38</xdr:col>
      <xdr:colOff>82731</xdr:colOff>
      <xdr:row>195</xdr:row>
      <xdr:rowOff>76199</xdr:rowOff>
    </xdr:to>
    <xdr:cxnSp macro="">
      <xdr:nvCxnSpPr>
        <xdr:cNvPr id="18172" name="직선 화살표 연결선 18171">
          <a:extLst>
            <a:ext uri="{FF2B5EF4-FFF2-40B4-BE49-F238E27FC236}">
              <a16:creationId xmlns:a16="http://schemas.microsoft.com/office/drawing/2014/main" id="{82B857C4-6100-41E2-A924-42805E8A0911}"/>
            </a:ext>
          </a:extLst>
        </xdr:cNvPr>
        <xdr:cNvCxnSpPr/>
      </xdr:nvCxnSpPr>
      <xdr:spPr>
        <a:xfrm>
          <a:off x="11863251" y="2999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194</xdr:row>
      <xdr:rowOff>19049</xdr:rowOff>
    </xdr:from>
    <xdr:to>
      <xdr:col>34</xdr:col>
      <xdr:colOff>125367</xdr:colOff>
      <xdr:row>194</xdr:row>
      <xdr:rowOff>133349</xdr:rowOff>
    </xdr:to>
    <xdr:sp macro="" textlink="">
      <xdr:nvSpPr>
        <xdr:cNvPr id="18173" name="191">
          <a:extLst>
            <a:ext uri="{FF2B5EF4-FFF2-40B4-BE49-F238E27FC236}">
              <a16:creationId xmlns:a16="http://schemas.microsoft.com/office/drawing/2014/main" id="{6234A837-8BDA-443A-8EBF-F65CA0F11C74}"/>
            </a:ext>
          </a:extLst>
        </xdr:cNvPr>
        <xdr:cNvSpPr/>
      </xdr:nvSpPr>
      <xdr:spPr>
        <a:xfrm>
          <a:off x="10787743" y="297903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194</xdr:row>
      <xdr:rowOff>76199</xdr:rowOff>
    </xdr:from>
    <xdr:to>
      <xdr:col>31</xdr:col>
      <xdr:colOff>20683</xdr:colOff>
      <xdr:row>194</xdr:row>
      <xdr:rowOff>76199</xdr:rowOff>
    </xdr:to>
    <xdr:cxnSp macro="">
      <xdr:nvCxnSpPr>
        <xdr:cNvPr id="18174" name="직선 화살표 연결선 18173">
          <a:extLst>
            <a:ext uri="{FF2B5EF4-FFF2-40B4-BE49-F238E27FC236}">
              <a16:creationId xmlns:a16="http://schemas.microsoft.com/office/drawing/2014/main" id="{101B7769-6C1A-41EC-9C75-BB2F9989870C}"/>
            </a:ext>
          </a:extLst>
        </xdr:cNvPr>
        <xdr:cNvCxnSpPr/>
      </xdr:nvCxnSpPr>
      <xdr:spPr>
        <a:xfrm>
          <a:off x="10787743" y="2984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193</xdr:row>
      <xdr:rowOff>19049</xdr:rowOff>
    </xdr:from>
    <xdr:to>
      <xdr:col>58</xdr:col>
      <xdr:colOff>125367</xdr:colOff>
      <xdr:row>193</xdr:row>
      <xdr:rowOff>133349</xdr:rowOff>
    </xdr:to>
    <xdr:sp macro="" textlink="">
      <xdr:nvSpPr>
        <xdr:cNvPr id="18175" name="190">
          <a:extLst>
            <a:ext uri="{FF2B5EF4-FFF2-40B4-BE49-F238E27FC236}">
              <a16:creationId xmlns:a16="http://schemas.microsoft.com/office/drawing/2014/main" id="{4394FB6B-9C57-44A7-8B78-5CDCEF82B167}"/>
            </a:ext>
          </a:extLst>
        </xdr:cNvPr>
        <xdr:cNvSpPr/>
      </xdr:nvSpPr>
      <xdr:spPr>
        <a:xfrm>
          <a:off x="10787743" y="29637989"/>
          <a:ext cx="40137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193</xdr:row>
      <xdr:rowOff>76199</xdr:rowOff>
    </xdr:from>
    <xdr:to>
      <xdr:col>31</xdr:col>
      <xdr:colOff>20683</xdr:colOff>
      <xdr:row>193</xdr:row>
      <xdr:rowOff>76199</xdr:rowOff>
    </xdr:to>
    <xdr:cxnSp macro="">
      <xdr:nvCxnSpPr>
        <xdr:cNvPr id="75776" name="직선 화살표 연결선 75775">
          <a:extLst>
            <a:ext uri="{FF2B5EF4-FFF2-40B4-BE49-F238E27FC236}">
              <a16:creationId xmlns:a16="http://schemas.microsoft.com/office/drawing/2014/main" id="{D32062F4-65DD-4742-B4C3-3734FDDB7597}"/>
            </a:ext>
          </a:extLst>
        </xdr:cNvPr>
        <xdr:cNvCxnSpPr/>
      </xdr:nvCxnSpPr>
      <xdr:spPr>
        <a:xfrm>
          <a:off x="10787743" y="2969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192</xdr:row>
      <xdr:rowOff>19049</xdr:rowOff>
    </xdr:from>
    <xdr:to>
      <xdr:col>52</xdr:col>
      <xdr:colOff>125367</xdr:colOff>
      <xdr:row>192</xdr:row>
      <xdr:rowOff>133349</xdr:rowOff>
    </xdr:to>
    <xdr:sp macro="" textlink="">
      <xdr:nvSpPr>
        <xdr:cNvPr id="75777" name="189">
          <a:extLst>
            <a:ext uri="{FF2B5EF4-FFF2-40B4-BE49-F238E27FC236}">
              <a16:creationId xmlns:a16="http://schemas.microsoft.com/office/drawing/2014/main" id="{38897DB5-C1CA-4A29-8895-23A6C6A579BF}"/>
            </a:ext>
          </a:extLst>
        </xdr:cNvPr>
        <xdr:cNvSpPr/>
      </xdr:nvSpPr>
      <xdr:spPr>
        <a:xfrm>
          <a:off x="13249002" y="29485589"/>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192</xdr:row>
      <xdr:rowOff>76199</xdr:rowOff>
    </xdr:from>
    <xdr:to>
      <xdr:col>48</xdr:col>
      <xdr:colOff>20682</xdr:colOff>
      <xdr:row>192</xdr:row>
      <xdr:rowOff>76199</xdr:rowOff>
    </xdr:to>
    <xdr:cxnSp macro="">
      <xdr:nvCxnSpPr>
        <xdr:cNvPr id="75778" name="직선 화살표 연결선 75777">
          <a:extLst>
            <a:ext uri="{FF2B5EF4-FFF2-40B4-BE49-F238E27FC236}">
              <a16:creationId xmlns:a16="http://schemas.microsoft.com/office/drawing/2014/main" id="{358E3AF1-4EED-4603-86C2-6339972B6E2D}"/>
            </a:ext>
          </a:extLst>
        </xdr:cNvPr>
        <xdr:cNvCxnSpPr/>
      </xdr:nvCxnSpPr>
      <xdr:spPr>
        <a:xfrm>
          <a:off x="13249002" y="2954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191</xdr:row>
      <xdr:rowOff>19049</xdr:rowOff>
    </xdr:from>
    <xdr:to>
      <xdr:col>51</xdr:col>
      <xdr:colOff>125367</xdr:colOff>
      <xdr:row>191</xdr:row>
      <xdr:rowOff>133349</xdr:rowOff>
    </xdr:to>
    <xdr:sp macro="" textlink="">
      <xdr:nvSpPr>
        <xdr:cNvPr id="75779" name="188">
          <a:extLst>
            <a:ext uri="{FF2B5EF4-FFF2-40B4-BE49-F238E27FC236}">
              <a16:creationId xmlns:a16="http://schemas.microsoft.com/office/drawing/2014/main" id="{29413FE9-2FB3-4E4B-864A-3B809EC76DE1}"/>
            </a:ext>
          </a:extLst>
        </xdr:cNvPr>
        <xdr:cNvSpPr/>
      </xdr:nvSpPr>
      <xdr:spPr>
        <a:xfrm>
          <a:off x="11511643" y="29333189"/>
          <a:ext cx="22763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191</xdr:row>
      <xdr:rowOff>76199</xdr:rowOff>
    </xdr:from>
    <xdr:to>
      <xdr:col>36</xdr:col>
      <xdr:colOff>20683</xdr:colOff>
      <xdr:row>191</xdr:row>
      <xdr:rowOff>76199</xdr:rowOff>
    </xdr:to>
    <xdr:cxnSp macro="">
      <xdr:nvCxnSpPr>
        <xdr:cNvPr id="75780" name="직선 화살표 연결선 75779">
          <a:extLst>
            <a:ext uri="{FF2B5EF4-FFF2-40B4-BE49-F238E27FC236}">
              <a16:creationId xmlns:a16="http://schemas.microsoft.com/office/drawing/2014/main" id="{FBADFD3C-641D-4789-A517-05D310B3159D}"/>
            </a:ext>
          </a:extLst>
        </xdr:cNvPr>
        <xdr:cNvCxnSpPr/>
      </xdr:nvCxnSpPr>
      <xdr:spPr>
        <a:xfrm>
          <a:off x="11511643" y="2939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190</xdr:row>
      <xdr:rowOff>19049</xdr:rowOff>
    </xdr:from>
    <xdr:to>
      <xdr:col>43</xdr:col>
      <xdr:colOff>125366</xdr:colOff>
      <xdr:row>190</xdr:row>
      <xdr:rowOff>133349</xdr:rowOff>
    </xdr:to>
    <xdr:sp macro="" textlink="">
      <xdr:nvSpPr>
        <xdr:cNvPr id="75781" name="187">
          <a:extLst>
            <a:ext uri="{FF2B5EF4-FFF2-40B4-BE49-F238E27FC236}">
              <a16:creationId xmlns:a16="http://schemas.microsoft.com/office/drawing/2014/main" id="{0130C242-ABC1-4115-A816-1C85DF5FEC8B}"/>
            </a:ext>
          </a:extLst>
        </xdr:cNvPr>
        <xdr:cNvSpPr/>
      </xdr:nvSpPr>
      <xdr:spPr>
        <a:xfrm>
          <a:off x="11366863" y="29180789"/>
          <a:ext cx="12629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190</xdr:row>
      <xdr:rowOff>76199</xdr:rowOff>
    </xdr:from>
    <xdr:to>
      <xdr:col>35</xdr:col>
      <xdr:colOff>20683</xdr:colOff>
      <xdr:row>190</xdr:row>
      <xdr:rowOff>76199</xdr:rowOff>
    </xdr:to>
    <xdr:cxnSp macro="">
      <xdr:nvCxnSpPr>
        <xdr:cNvPr id="75782" name="직선 화살표 연결선 75781">
          <a:extLst>
            <a:ext uri="{FF2B5EF4-FFF2-40B4-BE49-F238E27FC236}">
              <a16:creationId xmlns:a16="http://schemas.microsoft.com/office/drawing/2014/main" id="{D359A98E-FC93-477B-8409-5B86928BB980}"/>
            </a:ext>
          </a:extLst>
        </xdr:cNvPr>
        <xdr:cNvCxnSpPr/>
      </xdr:nvCxnSpPr>
      <xdr:spPr>
        <a:xfrm>
          <a:off x="11366863" y="2923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187</xdr:row>
      <xdr:rowOff>19049</xdr:rowOff>
    </xdr:from>
    <xdr:to>
      <xdr:col>34</xdr:col>
      <xdr:colOff>125367</xdr:colOff>
      <xdr:row>187</xdr:row>
      <xdr:rowOff>133349</xdr:rowOff>
    </xdr:to>
    <xdr:sp macro="" textlink="">
      <xdr:nvSpPr>
        <xdr:cNvPr id="75783" name="184">
          <a:extLst>
            <a:ext uri="{FF2B5EF4-FFF2-40B4-BE49-F238E27FC236}">
              <a16:creationId xmlns:a16="http://schemas.microsoft.com/office/drawing/2014/main" id="{634D1975-A07B-40B3-A4C9-61AE1890632F}"/>
            </a:ext>
          </a:extLst>
        </xdr:cNvPr>
        <xdr:cNvSpPr/>
      </xdr:nvSpPr>
      <xdr:spPr>
        <a:xfrm>
          <a:off x="10787743" y="287235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187</xdr:row>
      <xdr:rowOff>76199</xdr:rowOff>
    </xdr:from>
    <xdr:to>
      <xdr:col>31</xdr:col>
      <xdr:colOff>20683</xdr:colOff>
      <xdr:row>187</xdr:row>
      <xdr:rowOff>76199</xdr:rowOff>
    </xdr:to>
    <xdr:cxnSp macro="">
      <xdr:nvCxnSpPr>
        <xdr:cNvPr id="75784" name="직선 화살표 연결선 75783">
          <a:extLst>
            <a:ext uri="{FF2B5EF4-FFF2-40B4-BE49-F238E27FC236}">
              <a16:creationId xmlns:a16="http://schemas.microsoft.com/office/drawing/2014/main" id="{74C50022-62CF-41CE-A346-E931871F80AB}"/>
            </a:ext>
          </a:extLst>
        </xdr:cNvPr>
        <xdr:cNvCxnSpPr/>
      </xdr:nvCxnSpPr>
      <xdr:spPr>
        <a:xfrm>
          <a:off x="10787743" y="2878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186</xdr:row>
      <xdr:rowOff>19049</xdr:rowOff>
    </xdr:from>
    <xdr:to>
      <xdr:col>52</xdr:col>
      <xdr:colOff>125367</xdr:colOff>
      <xdr:row>186</xdr:row>
      <xdr:rowOff>133349</xdr:rowOff>
    </xdr:to>
    <xdr:sp macro="" textlink="">
      <xdr:nvSpPr>
        <xdr:cNvPr id="75785" name="183">
          <a:extLst>
            <a:ext uri="{FF2B5EF4-FFF2-40B4-BE49-F238E27FC236}">
              <a16:creationId xmlns:a16="http://schemas.microsoft.com/office/drawing/2014/main" id="{8E868329-108A-4BDF-BE8A-20EA9BF6D264}"/>
            </a:ext>
          </a:extLst>
        </xdr:cNvPr>
        <xdr:cNvSpPr/>
      </xdr:nvSpPr>
      <xdr:spPr>
        <a:xfrm>
          <a:off x="10787743" y="28571189"/>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186</xdr:row>
      <xdr:rowOff>76199</xdr:rowOff>
    </xdr:from>
    <xdr:to>
      <xdr:col>31</xdr:col>
      <xdr:colOff>20683</xdr:colOff>
      <xdr:row>186</xdr:row>
      <xdr:rowOff>76199</xdr:rowOff>
    </xdr:to>
    <xdr:cxnSp macro="">
      <xdr:nvCxnSpPr>
        <xdr:cNvPr id="75786" name="직선 화살표 연결선 75785">
          <a:extLst>
            <a:ext uri="{FF2B5EF4-FFF2-40B4-BE49-F238E27FC236}">
              <a16:creationId xmlns:a16="http://schemas.microsoft.com/office/drawing/2014/main" id="{41F7000E-79EB-412B-B832-3D6D076A7568}"/>
            </a:ext>
          </a:extLst>
        </xdr:cNvPr>
        <xdr:cNvCxnSpPr/>
      </xdr:nvCxnSpPr>
      <xdr:spPr>
        <a:xfrm>
          <a:off x="10787743" y="2862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185</xdr:row>
      <xdr:rowOff>19049</xdr:rowOff>
    </xdr:from>
    <xdr:to>
      <xdr:col>31</xdr:col>
      <xdr:colOff>125367</xdr:colOff>
      <xdr:row>185</xdr:row>
      <xdr:rowOff>133349</xdr:rowOff>
    </xdr:to>
    <xdr:sp macro="" textlink="">
      <xdr:nvSpPr>
        <xdr:cNvPr id="75787" name="182">
          <a:extLst>
            <a:ext uri="{FF2B5EF4-FFF2-40B4-BE49-F238E27FC236}">
              <a16:creationId xmlns:a16="http://schemas.microsoft.com/office/drawing/2014/main" id="{42C93A5D-B27B-47C2-8E45-14F17743EDEF}"/>
            </a:ext>
          </a:extLst>
        </xdr:cNvPr>
        <xdr:cNvSpPr/>
      </xdr:nvSpPr>
      <xdr:spPr>
        <a:xfrm>
          <a:off x="10787743" y="284187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185</xdr:row>
      <xdr:rowOff>76199</xdr:rowOff>
    </xdr:from>
    <xdr:to>
      <xdr:col>31</xdr:col>
      <xdr:colOff>20683</xdr:colOff>
      <xdr:row>185</xdr:row>
      <xdr:rowOff>76199</xdr:rowOff>
    </xdr:to>
    <xdr:cxnSp macro="">
      <xdr:nvCxnSpPr>
        <xdr:cNvPr id="75788" name="직선 화살표 연결선 75787">
          <a:extLst>
            <a:ext uri="{FF2B5EF4-FFF2-40B4-BE49-F238E27FC236}">
              <a16:creationId xmlns:a16="http://schemas.microsoft.com/office/drawing/2014/main" id="{981C85E9-4B47-4EA8-9EC3-8EFB918EF493}"/>
            </a:ext>
          </a:extLst>
        </xdr:cNvPr>
        <xdr:cNvCxnSpPr/>
      </xdr:nvCxnSpPr>
      <xdr:spPr>
        <a:xfrm>
          <a:off x="10787743" y="2847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184</xdr:row>
      <xdr:rowOff>19049</xdr:rowOff>
    </xdr:from>
    <xdr:to>
      <xdr:col>31</xdr:col>
      <xdr:colOff>125367</xdr:colOff>
      <xdr:row>184</xdr:row>
      <xdr:rowOff>133349</xdr:rowOff>
    </xdr:to>
    <xdr:sp macro="" textlink="">
      <xdr:nvSpPr>
        <xdr:cNvPr id="75789" name="181">
          <a:extLst>
            <a:ext uri="{FF2B5EF4-FFF2-40B4-BE49-F238E27FC236}">
              <a16:creationId xmlns:a16="http://schemas.microsoft.com/office/drawing/2014/main" id="{19335E0B-64B2-4E8E-A3A3-8E2416A9E718}"/>
            </a:ext>
          </a:extLst>
        </xdr:cNvPr>
        <xdr:cNvSpPr/>
      </xdr:nvSpPr>
      <xdr:spPr>
        <a:xfrm>
          <a:off x="10787743" y="282663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184</xdr:row>
      <xdr:rowOff>76199</xdr:rowOff>
    </xdr:from>
    <xdr:to>
      <xdr:col>31</xdr:col>
      <xdr:colOff>20683</xdr:colOff>
      <xdr:row>184</xdr:row>
      <xdr:rowOff>76199</xdr:rowOff>
    </xdr:to>
    <xdr:cxnSp macro="">
      <xdr:nvCxnSpPr>
        <xdr:cNvPr id="75790" name="직선 화살표 연결선 75789">
          <a:extLst>
            <a:ext uri="{FF2B5EF4-FFF2-40B4-BE49-F238E27FC236}">
              <a16:creationId xmlns:a16="http://schemas.microsoft.com/office/drawing/2014/main" id="{687AF7B7-F775-4E3C-8878-EA09A69257C5}"/>
            </a:ext>
          </a:extLst>
        </xdr:cNvPr>
        <xdr:cNvCxnSpPr/>
      </xdr:nvCxnSpPr>
      <xdr:spPr>
        <a:xfrm>
          <a:off x="10787743" y="2832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183</xdr:row>
      <xdr:rowOff>19049</xdr:rowOff>
    </xdr:from>
    <xdr:to>
      <xdr:col>31</xdr:col>
      <xdr:colOff>125367</xdr:colOff>
      <xdr:row>183</xdr:row>
      <xdr:rowOff>133349</xdr:rowOff>
    </xdr:to>
    <xdr:sp macro="" textlink="">
      <xdr:nvSpPr>
        <xdr:cNvPr id="75791" name="180">
          <a:extLst>
            <a:ext uri="{FF2B5EF4-FFF2-40B4-BE49-F238E27FC236}">
              <a16:creationId xmlns:a16="http://schemas.microsoft.com/office/drawing/2014/main" id="{6FA8F1B5-2641-4034-97B2-5C64D2F6A91A}"/>
            </a:ext>
          </a:extLst>
        </xdr:cNvPr>
        <xdr:cNvSpPr/>
      </xdr:nvSpPr>
      <xdr:spPr>
        <a:xfrm>
          <a:off x="10787743" y="281139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183</xdr:row>
      <xdr:rowOff>76199</xdr:rowOff>
    </xdr:from>
    <xdr:to>
      <xdr:col>31</xdr:col>
      <xdr:colOff>20683</xdr:colOff>
      <xdr:row>183</xdr:row>
      <xdr:rowOff>76199</xdr:rowOff>
    </xdr:to>
    <xdr:cxnSp macro="">
      <xdr:nvCxnSpPr>
        <xdr:cNvPr id="75792" name="직선 화살표 연결선 75791">
          <a:extLst>
            <a:ext uri="{FF2B5EF4-FFF2-40B4-BE49-F238E27FC236}">
              <a16:creationId xmlns:a16="http://schemas.microsoft.com/office/drawing/2014/main" id="{55C4670F-A5C1-40EE-90F5-B98C068482C2}"/>
            </a:ext>
          </a:extLst>
        </xdr:cNvPr>
        <xdr:cNvCxnSpPr/>
      </xdr:nvCxnSpPr>
      <xdr:spPr>
        <a:xfrm>
          <a:off x="10787743" y="2817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182</xdr:row>
      <xdr:rowOff>19049</xdr:rowOff>
    </xdr:from>
    <xdr:to>
      <xdr:col>31</xdr:col>
      <xdr:colOff>125367</xdr:colOff>
      <xdr:row>182</xdr:row>
      <xdr:rowOff>133349</xdr:rowOff>
    </xdr:to>
    <xdr:sp macro="" textlink="">
      <xdr:nvSpPr>
        <xdr:cNvPr id="75793" name="179">
          <a:extLst>
            <a:ext uri="{FF2B5EF4-FFF2-40B4-BE49-F238E27FC236}">
              <a16:creationId xmlns:a16="http://schemas.microsoft.com/office/drawing/2014/main" id="{ECC23BF9-7440-4A42-9430-2AA5D3FB3672}"/>
            </a:ext>
          </a:extLst>
        </xdr:cNvPr>
        <xdr:cNvSpPr/>
      </xdr:nvSpPr>
      <xdr:spPr>
        <a:xfrm>
          <a:off x="10787743" y="279615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182</xdr:row>
      <xdr:rowOff>76199</xdr:rowOff>
    </xdr:from>
    <xdr:to>
      <xdr:col>31</xdr:col>
      <xdr:colOff>20683</xdr:colOff>
      <xdr:row>182</xdr:row>
      <xdr:rowOff>76199</xdr:rowOff>
    </xdr:to>
    <xdr:cxnSp macro="">
      <xdr:nvCxnSpPr>
        <xdr:cNvPr id="75794" name="직선 화살표 연결선 75793">
          <a:extLst>
            <a:ext uri="{FF2B5EF4-FFF2-40B4-BE49-F238E27FC236}">
              <a16:creationId xmlns:a16="http://schemas.microsoft.com/office/drawing/2014/main" id="{76B2CD00-5417-46B9-8283-5727FD3F65E6}"/>
            </a:ext>
          </a:extLst>
        </xdr:cNvPr>
        <xdr:cNvCxnSpPr/>
      </xdr:nvCxnSpPr>
      <xdr:spPr>
        <a:xfrm>
          <a:off x="10787743" y="2801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181</xdr:row>
      <xdr:rowOff>19049</xdr:rowOff>
    </xdr:from>
    <xdr:to>
      <xdr:col>45</xdr:col>
      <xdr:colOff>125367</xdr:colOff>
      <xdr:row>181</xdr:row>
      <xdr:rowOff>133349</xdr:rowOff>
    </xdr:to>
    <xdr:sp macro="" textlink="">
      <xdr:nvSpPr>
        <xdr:cNvPr id="75795" name="178">
          <a:extLst>
            <a:ext uri="{FF2B5EF4-FFF2-40B4-BE49-F238E27FC236}">
              <a16:creationId xmlns:a16="http://schemas.microsoft.com/office/drawing/2014/main" id="{0FF22B65-D720-4D6C-BE85-BE1B16AD408F}"/>
            </a:ext>
          </a:extLst>
        </xdr:cNvPr>
        <xdr:cNvSpPr/>
      </xdr:nvSpPr>
      <xdr:spPr>
        <a:xfrm>
          <a:off x="12525103" y="278091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181</xdr:row>
      <xdr:rowOff>76199</xdr:rowOff>
    </xdr:from>
    <xdr:to>
      <xdr:col>43</xdr:col>
      <xdr:colOff>20683</xdr:colOff>
      <xdr:row>181</xdr:row>
      <xdr:rowOff>76199</xdr:rowOff>
    </xdr:to>
    <xdr:cxnSp macro="">
      <xdr:nvCxnSpPr>
        <xdr:cNvPr id="75796" name="직선 화살표 연결선 75795">
          <a:extLst>
            <a:ext uri="{FF2B5EF4-FFF2-40B4-BE49-F238E27FC236}">
              <a16:creationId xmlns:a16="http://schemas.microsoft.com/office/drawing/2014/main" id="{BCF0F22F-3F7D-4DE9-A114-B15205F16CE4}"/>
            </a:ext>
          </a:extLst>
        </xdr:cNvPr>
        <xdr:cNvCxnSpPr/>
      </xdr:nvCxnSpPr>
      <xdr:spPr>
        <a:xfrm>
          <a:off x="12525103" y="2786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82731</xdr:colOff>
      <xdr:row>180</xdr:row>
      <xdr:rowOff>19049</xdr:rowOff>
    </xdr:from>
    <xdr:to>
      <xdr:col>43</xdr:col>
      <xdr:colOff>125366</xdr:colOff>
      <xdr:row>180</xdr:row>
      <xdr:rowOff>133349</xdr:rowOff>
    </xdr:to>
    <xdr:sp macro="" textlink="">
      <xdr:nvSpPr>
        <xdr:cNvPr id="75797" name="177">
          <a:extLst>
            <a:ext uri="{FF2B5EF4-FFF2-40B4-BE49-F238E27FC236}">
              <a16:creationId xmlns:a16="http://schemas.microsoft.com/office/drawing/2014/main" id="{3E7336F2-FFD9-439A-AA90-AF0E9B6F708B}"/>
            </a:ext>
          </a:extLst>
        </xdr:cNvPr>
        <xdr:cNvSpPr/>
      </xdr:nvSpPr>
      <xdr:spPr>
        <a:xfrm>
          <a:off x="12297591" y="27656789"/>
          <a:ext cx="332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82731</xdr:colOff>
      <xdr:row>180</xdr:row>
      <xdr:rowOff>76199</xdr:rowOff>
    </xdr:from>
    <xdr:to>
      <xdr:col>41</xdr:col>
      <xdr:colOff>82731</xdr:colOff>
      <xdr:row>180</xdr:row>
      <xdr:rowOff>76199</xdr:rowOff>
    </xdr:to>
    <xdr:cxnSp macro="">
      <xdr:nvCxnSpPr>
        <xdr:cNvPr id="75798" name="직선 화살표 연결선 75797">
          <a:extLst>
            <a:ext uri="{FF2B5EF4-FFF2-40B4-BE49-F238E27FC236}">
              <a16:creationId xmlns:a16="http://schemas.microsoft.com/office/drawing/2014/main" id="{50F90EE7-21BF-4460-BDD0-9FF2CE4DD7F7}"/>
            </a:ext>
          </a:extLst>
        </xdr:cNvPr>
        <xdr:cNvCxnSpPr/>
      </xdr:nvCxnSpPr>
      <xdr:spPr>
        <a:xfrm>
          <a:off x="12297591" y="2771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82731</xdr:colOff>
      <xdr:row>179</xdr:row>
      <xdr:rowOff>19049</xdr:rowOff>
    </xdr:from>
    <xdr:to>
      <xdr:col>41</xdr:col>
      <xdr:colOff>125367</xdr:colOff>
      <xdr:row>179</xdr:row>
      <xdr:rowOff>133349</xdr:rowOff>
    </xdr:to>
    <xdr:sp macro="" textlink="">
      <xdr:nvSpPr>
        <xdr:cNvPr id="75799" name="176">
          <a:extLst>
            <a:ext uri="{FF2B5EF4-FFF2-40B4-BE49-F238E27FC236}">
              <a16:creationId xmlns:a16="http://schemas.microsoft.com/office/drawing/2014/main" id="{076C4658-0CA7-4492-8BCB-CA272105FF17}"/>
            </a:ext>
          </a:extLst>
        </xdr:cNvPr>
        <xdr:cNvSpPr/>
      </xdr:nvSpPr>
      <xdr:spPr>
        <a:xfrm>
          <a:off x="12297591" y="27504389"/>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82731</xdr:colOff>
      <xdr:row>179</xdr:row>
      <xdr:rowOff>76199</xdr:rowOff>
    </xdr:from>
    <xdr:to>
      <xdr:col>41</xdr:col>
      <xdr:colOff>82731</xdr:colOff>
      <xdr:row>179</xdr:row>
      <xdr:rowOff>76199</xdr:rowOff>
    </xdr:to>
    <xdr:cxnSp macro="">
      <xdr:nvCxnSpPr>
        <xdr:cNvPr id="75800" name="직선 화살표 연결선 75799">
          <a:extLst>
            <a:ext uri="{FF2B5EF4-FFF2-40B4-BE49-F238E27FC236}">
              <a16:creationId xmlns:a16="http://schemas.microsoft.com/office/drawing/2014/main" id="{ED3E8184-A681-4340-BC6C-25533FD0BE2D}"/>
            </a:ext>
          </a:extLst>
        </xdr:cNvPr>
        <xdr:cNvCxnSpPr/>
      </xdr:nvCxnSpPr>
      <xdr:spPr>
        <a:xfrm>
          <a:off x="12297591" y="2756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178</xdr:row>
      <xdr:rowOff>19049</xdr:rowOff>
    </xdr:from>
    <xdr:to>
      <xdr:col>31</xdr:col>
      <xdr:colOff>125367</xdr:colOff>
      <xdr:row>178</xdr:row>
      <xdr:rowOff>133349</xdr:rowOff>
    </xdr:to>
    <xdr:sp macro="" textlink="">
      <xdr:nvSpPr>
        <xdr:cNvPr id="75801" name="175">
          <a:extLst>
            <a:ext uri="{FF2B5EF4-FFF2-40B4-BE49-F238E27FC236}">
              <a16:creationId xmlns:a16="http://schemas.microsoft.com/office/drawing/2014/main" id="{7EE17C5F-F864-4537-BBEB-686535FBD4E6}"/>
            </a:ext>
          </a:extLst>
        </xdr:cNvPr>
        <xdr:cNvSpPr/>
      </xdr:nvSpPr>
      <xdr:spPr>
        <a:xfrm>
          <a:off x="10787743" y="273519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178</xdr:row>
      <xdr:rowOff>76199</xdr:rowOff>
    </xdr:from>
    <xdr:to>
      <xdr:col>31</xdr:col>
      <xdr:colOff>20683</xdr:colOff>
      <xdr:row>178</xdr:row>
      <xdr:rowOff>76199</xdr:rowOff>
    </xdr:to>
    <xdr:cxnSp macro="">
      <xdr:nvCxnSpPr>
        <xdr:cNvPr id="75802" name="직선 화살표 연결선 75801">
          <a:extLst>
            <a:ext uri="{FF2B5EF4-FFF2-40B4-BE49-F238E27FC236}">
              <a16:creationId xmlns:a16="http://schemas.microsoft.com/office/drawing/2014/main" id="{12CE93AE-19CA-4212-989C-BC6AD16493D8}"/>
            </a:ext>
          </a:extLst>
        </xdr:cNvPr>
        <xdr:cNvCxnSpPr/>
      </xdr:nvCxnSpPr>
      <xdr:spPr>
        <a:xfrm>
          <a:off x="10787743" y="2740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177</xdr:row>
      <xdr:rowOff>19049</xdr:rowOff>
    </xdr:from>
    <xdr:to>
      <xdr:col>45</xdr:col>
      <xdr:colOff>125368</xdr:colOff>
      <xdr:row>177</xdr:row>
      <xdr:rowOff>133349</xdr:rowOff>
    </xdr:to>
    <xdr:sp macro="" textlink="">
      <xdr:nvSpPr>
        <xdr:cNvPr id="75803" name="174">
          <a:extLst>
            <a:ext uri="{FF2B5EF4-FFF2-40B4-BE49-F238E27FC236}">
              <a16:creationId xmlns:a16="http://schemas.microsoft.com/office/drawing/2014/main" id="{C5AF951B-917A-44AA-BC58-804882ECC458}"/>
            </a:ext>
          </a:extLst>
        </xdr:cNvPr>
        <xdr:cNvSpPr/>
      </xdr:nvSpPr>
      <xdr:spPr>
        <a:xfrm>
          <a:off x="10787743" y="27199589"/>
          <a:ext cx="21316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177</xdr:row>
      <xdr:rowOff>76199</xdr:rowOff>
    </xdr:from>
    <xdr:to>
      <xdr:col>31</xdr:col>
      <xdr:colOff>20683</xdr:colOff>
      <xdr:row>177</xdr:row>
      <xdr:rowOff>76199</xdr:rowOff>
    </xdr:to>
    <xdr:cxnSp macro="">
      <xdr:nvCxnSpPr>
        <xdr:cNvPr id="75804" name="직선 화살표 연결선 75803">
          <a:extLst>
            <a:ext uri="{FF2B5EF4-FFF2-40B4-BE49-F238E27FC236}">
              <a16:creationId xmlns:a16="http://schemas.microsoft.com/office/drawing/2014/main" id="{542EE5E8-195C-4C77-9727-9AA97816D224}"/>
            </a:ext>
          </a:extLst>
        </xdr:cNvPr>
        <xdr:cNvCxnSpPr/>
      </xdr:nvCxnSpPr>
      <xdr:spPr>
        <a:xfrm>
          <a:off x="10787743" y="2725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176</xdr:row>
      <xdr:rowOff>19049</xdr:rowOff>
    </xdr:from>
    <xdr:to>
      <xdr:col>31</xdr:col>
      <xdr:colOff>125367</xdr:colOff>
      <xdr:row>176</xdr:row>
      <xdr:rowOff>133349</xdr:rowOff>
    </xdr:to>
    <xdr:sp macro="" textlink="">
      <xdr:nvSpPr>
        <xdr:cNvPr id="75805" name="173">
          <a:extLst>
            <a:ext uri="{FF2B5EF4-FFF2-40B4-BE49-F238E27FC236}">
              <a16:creationId xmlns:a16="http://schemas.microsoft.com/office/drawing/2014/main" id="{71ECE1CF-949B-4300-966E-F3657E0F2599}"/>
            </a:ext>
          </a:extLst>
        </xdr:cNvPr>
        <xdr:cNvSpPr/>
      </xdr:nvSpPr>
      <xdr:spPr>
        <a:xfrm>
          <a:off x="10787743" y="270471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176</xdr:row>
      <xdr:rowOff>76199</xdr:rowOff>
    </xdr:from>
    <xdr:to>
      <xdr:col>31</xdr:col>
      <xdr:colOff>20683</xdr:colOff>
      <xdr:row>176</xdr:row>
      <xdr:rowOff>76199</xdr:rowOff>
    </xdr:to>
    <xdr:cxnSp macro="">
      <xdr:nvCxnSpPr>
        <xdr:cNvPr id="75806" name="직선 화살표 연결선 75805">
          <a:extLst>
            <a:ext uri="{FF2B5EF4-FFF2-40B4-BE49-F238E27FC236}">
              <a16:creationId xmlns:a16="http://schemas.microsoft.com/office/drawing/2014/main" id="{A8A79CCB-6BD7-41DE-8791-0FCC8F502EBE}"/>
            </a:ext>
          </a:extLst>
        </xdr:cNvPr>
        <xdr:cNvCxnSpPr/>
      </xdr:nvCxnSpPr>
      <xdr:spPr>
        <a:xfrm>
          <a:off x="10787743" y="2710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175</xdr:row>
      <xdr:rowOff>19049</xdr:rowOff>
    </xdr:from>
    <xdr:to>
      <xdr:col>31</xdr:col>
      <xdr:colOff>125367</xdr:colOff>
      <xdr:row>175</xdr:row>
      <xdr:rowOff>133349</xdr:rowOff>
    </xdr:to>
    <xdr:sp macro="" textlink="">
      <xdr:nvSpPr>
        <xdr:cNvPr id="75807" name="172">
          <a:extLst>
            <a:ext uri="{FF2B5EF4-FFF2-40B4-BE49-F238E27FC236}">
              <a16:creationId xmlns:a16="http://schemas.microsoft.com/office/drawing/2014/main" id="{702B4DDF-1DA1-4DD5-AF5E-93DE1039FCC2}"/>
            </a:ext>
          </a:extLst>
        </xdr:cNvPr>
        <xdr:cNvSpPr/>
      </xdr:nvSpPr>
      <xdr:spPr>
        <a:xfrm>
          <a:off x="10787743" y="268947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175</xdr:row>
      <xdr:rowOff>76199</xdr:rowOff>
    </xdr:from>
    <xdr:to>
      <xdr:col>31</xdr:col>
      <xdr:colOff>20683</xdr:colOff>
      <xdr:row>175</xdr:row>
      <xdr:rowOff>76199</xdr:rowOff>
    </xdr:to>
    <xdr:cxnSp macro="">
      <xdr:nvCxnSpPr>
        <xdr:cNvPr id="75808" name="직선 화살표 연결선 75807">
          <a:extLst>
            <a:ext uri="{FF2B5EF4-FFF2-40B4-BE49-F238E27FC236}">
              <a16:creationId xmlns:a16="http://schemas.microsoft.com/office/drawing/2014/main" id="{40462950-08EF-4FEF-AF4C-85043C2D1820}"/>
            </a:ext>
          </a:extLst>
        </xdr:cNvPr>
        <xdr:cNvCxnSpPr/>
      </xdr:nvCxnSpPr>
      <xdr:spPr>
        <a:xfrm>
          <a:off x="10787743" y="2695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174</xdr:row>
      <xdr:rowOff>19049</xdr:rowOff>
    </xdr:from>
    <xdr:to>
      <xdr:col>31</xdr:col>
      <xdr:colOff>125367</xdr:colOff>
      <xdr:row>174</xdr:row>
      <xdr:rowOff>133349</xdr:rowOff>
    </xdr:to>
    <xdr:sp macro="" textlink="">
      <xdr:nvSpPr>
        <xdr:cNvPr id="75809" name="171">
          <a:extLst>
            <a:ext uri="{FF2B5EF4-FFF2-40B4-BE49-F238E27FC236}">
              <a16:creationId xmlns:a16="http://schemas.microsoft.com/office/drawing/2014/main" id="{CDE039EE-4260-4908-978D-B47CB3270B9B}"/>
            </a:ext>
          </a:extLst>
        </xdr:cNvPr>
        <xdr:cNvSpPr/>
      </xdr:nvSpPr>
      <xdr:spPr>
        <a:xfrm>
          <a:off x="10787743" y="267423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174</xdr:row>
      <xdr:rowOff>76199</xdr:rowOff>
    </xdr:from>
    <xdr:to>
      <xdr:col>31</xdr:col>
      <xdr:colOff>20683</xdr:colOff>
      <xdr:row>174</xdr:row>
      <xdr:rowOff>76199</xdr:rowOff>
    </xdr:to>
    <xdr:cxnSp macro="">
      <xdr:nvCxnSpPr>
        <xdr:cNvPr id="75810" name="직선 화살표 연결선 75809">
          <a:extLst>
            <a:ext uri="{FF2B5EF4-FFF2-40B4-BE49-F238E27FC236}">
              <a16:creationId xmlns:a16="http://schemas.microsoft.com/office/drawing/2014/main" id="{D5A58805-697E-42A7-9325-A3CA80CEE3C7}"/>
            </a:ext>
          </a:extLst>
        </xdr:cNvPr>
        <xdr:cNvCxnSpPr/>
      </xdr:nvCxnSpPr>
      <xdr:spPr>
        <a:xfrm>
          <a:off x="10787743" y="2679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173</xdr:row>
      <xdr:rowOff>19049</xdr:rowOff>
    </xdr:from>
    <xdr:to>
      <xdr:col>31</xdr:col>
      <xdr:colOff>125367</xdr:colOff>
      <xdr:row>173</xdr:row>
      <xdr:rowOff>133349</xdr:rowOff>
    </xdr:to>
    <xdr:sp macro="" textlink="">
      <xdr:nvSpPr>
        <xdr:cNvPr id="75811" name="170">
          <a:extLst>
            <a:ext uri="{FF2B5EF4-FFF2-40B4-BE49-F238E27FC236}">
              <a16:creationId xmlns:a16="http://schemas.microsoft.com/office/drawing/2014/main" id="{DEE9E2B6-235C-4DC5-ACB2-56758D089D14}"/>
            </a:ext>
          </a:extLst>
        </xdr:cNvPr>
        <xdr:cNvSpPr/>
      </xdr:nvSpPr>
      <xdr:spPr>
        <a:xfrm>
          <a:off x="10787743" y="265899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173</xdr:row>
      <xdr:rowOff>76199</xdr:rowOff>
    </xdr:from>
    <xdr:to>
      <xdr:col>31</xdr:col>
      <xdr:colOff>20683</xdr:colOff>
      <xdr:row>173</xdr:row>
      <xdr:rowOff>76199</xdr:rowOff>
    </xdr:to>
    <xdr:cxnSp macro="">
      <xdr:nvCxnSpPr>
        <xdr:cNvPr id="75812" name="직선 화살표 연결선 75811">
          <a:extLst>
            <a:ext uri="{FF2B5EF4-FFF2-40B4-BE49-F238E27FC236}">
              <a16:creationId xmlns:a16="http://schemas.microsoft.com/office/drawing/2014/main" id="{EEB325CE-552E-4529-8217-F5734FD6E605}"/>
            </a:ext>
          </a:extLst>
        </xdr:cNvPr>
        <xdr:cNvCxnSpPr/>
      </xdr:nvCxnSpPr>
      <xdr:spPr>
        <a:xfrm>
          <a:off x="10787743" y="2664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172</xdr:row>
      <xdr:rowOff>19049</xdr:rowOff>
    </xdr:from>
    <xdr:to>
      <xdr:col>39</xdr:col>
      <xdr:colOff>125367</xdr:colOff>
      <xdr:row>172</xdr:row>
      <xdr:rowOff>133349</xdr:rowOff>
    </xdr:to>
    <xdr:sp macro="" textlink="">
      <xdr:nvSpPr>
        <xdr:cNvPr id="75813" name="169">
          <a:extLst>
            <a:ext uri="{FF2B5EF4-FFF2-40B4-BE49-F238E27FC236}">
              <a16:creationId xmlns:a16="http://schemas.microsoft.com/office/drawing/2014/main" id="{D00DA8D6-8F41-4D7E-B11D-E0EC7142E3E0}"/>
            </a:ext>
          </a:extLst>
        </xdr:cNvPr>
        <xdr:cNvSpPr/>
      </xdr:nvSpPr>
      <xdr:spPr>
        <a:xfrm>
          <a:off x="11511643" y="264375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172</xdr:row>
      <xdr:rowOff>76199</xdr:rowOff>
    </xdr:from>
    <xdr:to>
      <xdr:col>36</xdr:col>
      <xdr:colOff>20683</xdr:colOff>
      <xdr:row>172</xdr:row>
      <xdr:rowOff>76199</xdr:rowOff>
    </xdr:to>
    <xdr:cxnSp macro="">
      <xdr:nvCxnSpPr>
        <xdr:cNvPr id="75814" name="직선 화살표 연결선 75813">
          <a:extLst>
            <a:ext uri="{FF2B5EF4-FFF2-40B4-BE49-F238E27FC236}">
              <a16:creationId xmlns:a16="http://schemas.microsoft.com/office/drawing/2014/main" id="{9CDA730A-3561-4FBA-90E3-547D022FCB86}"/>
            </a:ext>
          </a:extLst>
        </xdr:cNvPr>
        <xdr:cNvCxnSpPr/>
      </xdr:nvCxnSpPr>
      <xdr:spPr>
        <a:xfrm>
          <a:off x="11511643" y="2649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171</xdr:row>
      <xdr:rowOff>19049</xdr:rowOff>
    </xdr:from>
    <xdr:to>
      <xdr:col>38</xdr:col>
      <xdr:colOff>125366</xdr:colOff>
      <xdr:row>171</xdr:row>
      <xdr:rowOff>133349</xdr:rowOff>
    </xdr:to>
    <xdr:sp macro="" textlink="">
      <xdr:nvSpPr>
        <xdr:cNvPr id="75815" name="168">
          <a:extLst>
            <a:ext uri="{FF2B5EF4-FFF2-40B4-BE49-F238E27FC236}">
              <a16:creationId xmlns:a16="http://schemas.microsoft.com/office/drawing/2014/main" id="{9B6738E8-0ED2-4CDF-9D4F-735F25D729A0}"/>
            </a:ext>
          </a:extLst>
        </xdr:cNvPr>
        <xdr:cNvSpPr/>
      </xdr:nvSpPr>
      <xdr:spPr>
        <a:xfrm>
          <a:off x="11366863" y="26285189"/>
          <a:ext cx="5390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171</xdr:row>
      <xdr:rowOff>76199</xdr:rowOff>
    </xdr:from>
    <xdr:to>
      <xdr:col>35</xdr:col>
      <xdr:colOff>20683</xdr:colOff>
      <xdr:row>171</xdr:row>
      <xdr:rowOff>76199</xdr:rowOff>
    </xdr:to>
    <xdr:cxnSp macro="">
      <xdr:nvCxnSpPr>
        <xdr:cNvPr id="75816" name="직선 화살표 연결선 75815">
          <a:extLst>
            <a:ext uri="{FF2B5EF4-FFF2-40B4-BE49-F238E27FC236}">
              <a16:creationId xmlns:a16="http://schemas.microsoft.com/office/drawing/2014/main" id="{EBDE19C7-C958-4365-B4DC-04D0A98F1260}"/>
            </a:ext>
          </a:extLst>
        </xdr:cNvPr>
        <xdr:cNvCxnSpPr/>
      </xdr:nvCxnSpPr>
      <xdr:spPr>
        <a:xfrm>
          <a:off x="11366863" y="2634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170</xdr:row>
      <xdr:rowOff>19049</xdr:rowOff>
    </xdr:from>
    <xdr:to>
      <xdr:col>34</xdr:col>
      <xdr:colOff>125367</xdr:colOff>
      <xdr:row>170</xdr:row>
      <xdr:rowOff>133349</xdr:rowOff>
    </xdr:to>
    <xdr:sp macro="" textlink="">
      <xdr:nvSpPr>
        <xdr:cNvPr id="75817" name="167">
          <a:extLst>
            <a:ext uri="{FF2B5EF4-FFF2-40B4-BE49-F238E27FC236}">
              <a16:creationId xmlns:a16="http://schemas.microsoft.com/office/drawing/2014/main" id="{DFD7576A-1ECC-47AA-9883-365CE5D1B565}"/>
            </a:ext>
          </a:extLst>
        </xdr:cNvPr>
        <xdr:cNvSpPr/>
      </xdr:nvSpPr>
      <xdr:spPr>
        <a:xfrm>
          <a:off x="10787743" y="261327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170</xdr:row>
      <xdr:rowOff>76199</xdr:rowOff>
    </xdr:from>
    <xdr:to>
      <xdr:col>31</xdr:col>
      <xdr:colOff>20683</xdr:colOff>
      <xdr:row>170</xdr:row>
      <xdr:rowOff>76199</xdr:rowOff>
    </xdr:to>
    <xdr:cxnSp macro="">
      <xdr:nvCxnSpPr>
        <xdr:cNvPr id="75818" name="직선 화살표 연결선 75817">
          <a:extLst>
            <a:ext uri="{FF2B5EF4-FFF2-40B4-BE49-F238E27FC236}">
              <a16:creationId xmlns:a16="http://schemas.microsoft.com/office/drawing/2014/main" id="{653F7296-8292-44D0-B04C-B8697344EEF7}"/>
            </a:ext>
          </a:extLst>
        </xdr:cNvPr>
        <xdr:cNvCxnSpPr/>
      </xdr:nvCxnSpPr>
      <xdr:spPr>
        <a:xfrm>
          <a:off x="10787743" y="2618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169</xdr:row>
      <xdr:rowOff>19049</xdr:rowOff>
    </xdr:from>
    <xdr:to>
      <xdr:col>31</xdr:col>
      <xdr:colOff>125367</xdr:colOff>
      <xdr:row>169</xdr:row>
      <xdr:rowOff>133349</xdr:rowOff>
    </xdr:to>
    <xdr:sp macro="" textlink="">
      <xdr:nvSpPr>
        <xdr:cNvPr id="75819" name="166">
          <a:extLst>
            <a:ext uri="{FF2B5EF4-FFF2-40B4-BE49-F238E27FC236}">
              <a16:creationId xmlns:a16="http://schemas.microsoft.com/office/drawing/2014/main" id="{6DDA8EA4-9BAE-4670-88B8-90A37FD44C90}"/>
            </a:ext>
          </a:extLst>
        </xdr:cNvPr>
        <xdr:cNvSpPr/>
      </xdr:nvSpPr>
      <xdr:spPr>
        <a:xfrm>
          <a:off x="10787743" y="259803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169</xdr:row>
      <xdr:rowOff>76199</xdr:rowOff>
    </xdr:from>
    <xdr:to>
      <xdr:col>31</xdr:col>
      <xdr:colOff>20683</xdr:colOff>
      <xdr:row>169</xdr:row>
      <xdr:rowOff>76199</xdr:rowOff>
    </xdr:to>
    <xdr:cxnSp macro="">
      <xdr:nvCxnSpPr>
        <xdr:cNvPr id="75820" name="직선 화살표 연결선 75819">
          <a:extLst>
            <a:ext uri="{FF2B5EF4-FFF2-40B4-BE49-F238E27FC236}">
              <a16:creationId xmlns:a16="http://schemas.microsoft.com/office/drawing/2014/main" id="{A86586DA-D459-46F0-8E44-F9CAA31F314F}"/>
            </a:ext>
          </a:extLst>
        </xdr:cNvPr>
        <xdr:cNvCxnSpPr/>
      </xdr:nvCxnSpPr>
      <xdr:spPr>
        <a:xfrm>
          <a:off x="10787743" y="2603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168</xdr:row>
      <xdr:rowOff>19049</xdr:rowOff>
    </xdr:from>
    <xdr:to>
      <xdr:col>39</xdr:col>
      <xdr:colOff>125367</xdr:colOff>
      <xdr:row>168</xdr:row>
      <xdr:rowOff>133349</xdr:rowOff>
    </xdr:to>
    <xdr:sp macro="" textlink="">
      <xdr:nvSpPr>
        <xdr:cNvPr id="75821" name="165">
          <a:extLst>
            <a:ext uri="{FF2B5EF4-FFF2-40B4-BE49-F238E27FC236}">
              <a16:creationId xmlns:a16="http://schemas.microsoft.com/office/drawing/2014/main" id="{72264042-C930-4CB4-88E0-FB22AC5AECB7}"/>
            </a:ext>
          </a:extLst>
        </xdr:cNvPr>
        <xdr:cNvSpPr/>
      </xdr:nvSpPr>
      <xdr:spPr>
        <a:xfrm>
          <a:off x="10787743" y="25827989"/>
          <a:ext cx="12629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168</xdr:row>
      <xdr:rowOff>76199</xdr:rowOff>
    </xdr:from>
    <xdr:to>
      <xdr:col>31</xdr:col>
      <xdr:colOff>20683</xdr:colOff>
      <xdr:row>168</xdr:row>
      <xdr:rowOff>76199</xdr:rowOff>
    </xdr:to>
    <xdr:cxnSp macro="">
      <xdr:nvCxnSpPr>
        <xdr:cNvPr id="75822" name="직선 화살표 연결선 75821">
          <a:extLst>
            <a:ext uri="{FF2B5EF4-FFF2-40B4-BE49-F238E27FC236}">
              <a16:creationId xmlns:a16="http://schemas.microsoft.com/office/drawing/2014/main" id="{B8781BB3-0473-42BD-96FF-C410292B07C9}"/>
            </a:ext>
          </a:extLst>
        </xdr:cNvPr>
        <xdr:cNvCxnSpPr/>
      </xdr:nvCxnSpPr>
      <xdr:spPr>
        <a:xfrm>
          <a:off x="10787743" y="2588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167</xdr:row>
      <xdr:rowOff>19049</xdr:rowOff>
    </xdr:from>
    <xdr:to>
      <xdr:col>76</xdr:col>
      <xdr:colOff>42635</xdr:colOff>
      <xdr:row>167</xdr:row>
      <xdr:rowOff>133349</xdr:rowOff>
    </xdr:to>
    <xdr:sp macro="" textlink="">
      <xdr:nvSpPr>
        <xdr:cNvPr id="75823" name="164">
          <a:extLst>
            <a:ext uri="{FF2B5EF4-FFF2-40B4-BE49-F238E27FC236}">
              <a16:creationId xmlns:a16="http://schemas.microsoft.com/office/drawing/2014/main" id="{73BE6652-FD3F-4ABD-972F-B040C94DEB99}"/>
            </a:ext>
          </a:extLst>
        </xdr:cNvPr>
        <xdr:cNvSpPr/>
      </xdr:nvSpPr>
      <xdr:spPr>
        <a:xfrm>
          <a:off x="10787743" y="25675589"/>
          <a:ext cx="65370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167</xdr:row>
      <xdr:rowOff>76199</xdr:rowOff>
    </xdr:from>
    <xdr:to>
      <xdr:col>31</xdr:col>
      <xdr:colOff>20683</xdr:colOff>
      <xdr:row>167</xdr:row>
      <xdr:rowOff>76199</xdr:rowOff>
    </xdr:to>
    <xdr:cxnSp macro="">
      <xdr:nvCxnSpPr>
        <xdr:cNvPr id="75824" name="직선 화살표 연결선 75823">
          <a:extLst>
            <a:ext uri="{FF2B5EF4-FFF2-40B4-BE49-F238E27FC236}">
              <a16:creationId xmlns:a16="http://schemas.microsoft.com/office/drawing/2014/main" id="{46A2730C-5F1D-4A77-B25F-1B1BBDF6AC4B}"/>
            </a:ext>
          </a:extLst>
        </xdr:cNvPr>
        <xdr:cNvCxnSpPr/>
      </xdr:nvCxnSpPr>
      <xdr:spPr>
        <a:xfrm>
          <a:off x="10787743" y="2573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166</xdr:row>
      <xdr:rowOff>19049</xdr:rowOff>
    </xdr:from>
    <xdr:to>
      <xdr:col>53</xdr:col>
      <xdr:colOff>125367</xdr:colOff>
      <xdr:row>166</xdr:row>
      <xdr:rowOff>133349</xdr:rowOff>
    </xdr:to>
    <xdr:sp macro="" textlink="">
      <xdr:nvSpPr>
        <xdr:cNvPr id="75825" name="163">
          <a:extLst>
            <a:ext uri="{FF2B5EF4-FFF2-40B4-BE49-F238E27FC236}">
              <a16:creationId xmlns:a16="http://schemas.microsoft.com/office/drawing/2014/main" id="{FD749C3D-389C-46C5-A569-EAC38463BE64}"/>
            </a:ext>
          </a:extLst>
        </xdr:cNvPr>
        <xdr:cNvSpPr/>
      </xdr:nvSpPr>
      <xdr:spPr>
        <a:xfrm>
          <a:off x="13828123" y="255231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166</xdr:row>
      <xdr:rowOff>76199</xdr:rowOff>
    </xdr:from>
    <xdr:to>
      <xdr:col>52</xdr:col>
      <xdr:colOff>20683</xdr:colOff>
      <xdr:row>166</xdr:row>
      <xdr:rowOff>76199</xdr:rowOff>
    </xdr:to>
    <xdr:cxnSp macro="">
      <xdr:nvCxnSpPr>
        <xdr:cNvPr id="75826" name="직선 화살표 연결선 75825">
          <a:extLst>
            <a:ext uri="{FF2B5EF4-FFF2-40B4-BE49-F238E27FC236}">
              <a16:creationId xmlns:a16="http://schemas.microsoft.com/office/drawing/2014/main" id="{37DAE146-F85E-4454-9F32-B243B32D4D7C}"/>
            </a:ext>
          </a:extLst>
        </xdr:cNvPr>
        <xdr:cNvCxnSpPr/>
      </xdr:nvCxnSpPr>
      <xdr:spPr>
        <a:xfrm>
          <a:off x="13828123" y="2558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165</xdr:row>
      <xdr:rowOff>19049</xdr:rowOff>
    </xdr:from>
    <xdr:to>
      <xdr:col>53</xdr:col>
      <xdr:colOff>125367</xdr:colOff>
      <xdr:row>165</xdr:row>
      <xdr:rowOff>133349</xdr:rowOff>
    </xdr:to>
    <xdr:sp macro="" textlink="">
      <xdr:nvSpPr>
        <xdr:cNvPr id="75827" name="162">
          <a:extLst>
            <a:ext uri="{FF2B5EF4-FFF2-40B4-BE49-F238E27FC236}">
              <a16:creationId xmlns:a16="http://schemas.microsoft.com/office/drawing/2014/main" id="{F78595C1-A28C-4367-BA79-E7861011E0C6}"/>
            </a:ext>
          </a:extLst>
        </xdr:cNvPr>
        <xdr:cNvSpPr/>
      </xdr:nvSpPr>
      <xdr:spPr>
        <a:xfrm>
          <a:off x="13828123" y="253707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165</xdr:row>
      <xdr:rowOff>76199</xdr:rowOff>
    </xdr:from>
    <xdr:to>
      <xdr:col>52</xdr:col>
      <xdr:colOff>20683</xdr:colOff>
      <xdr:row>165</xdr:row>
      <xdr:rowOff>76199</xdr:rowOff>
    </xdr:to>
    <xdr:cxnSp macro="">
      <xdr:nvCxnSpPr>
        <xdr:cNvPr id="75828" name="직선 화살표 연결선 75827">
          <a:extLst>
            <a:ext uri="{FF2B5EF4-FFF2-40B4-BE49-F238E27FC236}">
              <a16:creationId xmlns:a16="http://schemas.microsoft.com/office/drawing/2014/main" id="{C3F50203-7468-47E1-8D83-8E298A2EF8E7}"/>
            </a:ext>
          </a:extLst>
        </xdr:cNvPr>
        <xdr:cNvCxnSpPr/>
      </xdr:nvCxnSpPr>
      <xdr:spPr>
        <a:xfrm>
          <a:off x="13828123" y="2542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164</xdr:row>
      <xdr:rowOff>19049</xdr:rowOff>
    </xdr:from>
    <xdr:to>
      <xdr:col>53</xdr:col>
      <xdr:colOff>125367</xdr:colOff>
      <xdr:row>164</xdr:row>
      <xdr:rowOff>133349</xdr:rowOff>
    </xdr:to>
    <xdr:sp macro="" textlink="">
      <xdr:nvSpPr>
        <xdr:cNvPr id="75829" name="161">
          <a:extLst>
            <a:ext uri="{FF2B5EF4-FFF2-40B4-BE49-F238E27FC236}">
              <a16:creationId xmlns:a16="http://schemas.microsoft.com/office/drawing/2014/main" id="{F570088C-89FA-403E-9664-64C16E741F7D}"/>
            </a:ext>
          </a:extLst>
        </xdr:cNvPr>
        <xdr:cNvSpPr/>
      </xdr:nvSpPr>
      <xdr:spPr>
        <a:xfrm>
          <a:off x="13828123" y="25218389"/>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164</xdr:row>
      <xdr:rowOff>76199</xdr:rowOff>
    </xdr:from>
    <xdr:to>
      <xdr:col>52</xdr:col>
      <xdr:colOff>20683</xdr:colOff>
      <xdr:row>164</xdr:row>
      <xdr:rowOff>76199</xdr:rowOff>
    </xdr:to>
    <xdr:cxnSp macro="">
      <xdr:nvCxnSpPr>
        <xdr:cNvPr id="75830" name="직선 화살표 연결선 75829">
          <a:extLst>
            <a:ext uri="{FF2B5EF4-FFF2-40B4-BE49-F238E27FC236}">
              <a16:creationId xmlns:a16="http://schemas.microsoft.com/office/drawing/2014/main" id="{1DB6C6E6-B8D8-4C9A-BC63-565398F8105B}"/>
            </a:ext>
          </a:extLst>
        </xdr:cNvPr>
        <xdr:cNvCxnSpPr/>
      </xdr:nvCxnSpPr>
      <xdr:spPr>
        <a:xfrm>
          <a:off x="13828123" y="2527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163</xdr:row>
      <xdr:rowOff>19049</xdr:rowOff>
    </xdr:from>
    <xdr:to>
      <xdr:col>52</xdr:col>
      <xdr:colOff>125367</xdr:colOff>
      <xdr:row>163</xdr:row>
      <xdr:rowOff>133349</xdr:rowOff>
    </xdr:to>
    <xdr:sp macro="" textlink="">
      <xdr:nvSpPr>
        <xdr:cNvPr id="75831" name="160">
          <a:extLst>
            <a:ext uri="{FF2B5EF4-FFF2-40B4-BE49-F238E27FC236}">
              <a16:creationId xmlns:a16="http://schemas.microsoft.com/office/drawing/2014/main" id="{D90D1475-184B-41B3-A28D-9B52774D571D}"/>
            </a:ext>
          </a:extLst>
        </xdr:cNvPr>
        <xdr:cNvSpPr/>
      </xdr:nvSpPr>
      <xdr:spPr>
        <a:xfrm>
          <a:off x="13683343" y="250659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163</xdr:row>
      <xdr:rowOff>76199</xdr:rowOff>
    </xdr:from>
    <xdr:to>
      <xdr:col>51</xdr:col>
      <xdr:colOff>20683</xdr:colOff>
      <xdr:row>163</xdr:row>
      <xdr:rowOff>76199</xdr:rowOff>
    </xdr:to>
    <xdr:cxnSp macro="">
      <xdr:nvCxnSpPr>
        <xdr:cNvPr id="75832" name="직선 화살표 연결선 75831">
          <a:extLst>
            <a:ext uri="{FF2B5EF4-FFF2-40B4-BE49-F238E27FC236}">
              <a16:creationId xmlns:a16="http://schemas.microsoft.com/office/drawing/2014/main" id="{1392C7B3-E982-49C9-9F85-F3E848CACD9D}"/>
            </a:ext>
          </a:extLst>
        </xdr:cNvPr>
        <xdr:cNvCxnSpPr/>
      </xdr:nvCxnSpPr>
      <xdr:spPr>
        <a:xfrm>
          <a:off x="13683343" y="2512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162</xdr:row>
      <xdr:rowOff>19049</xdr:rowOff>
    </xdr:from>
    <xdr:to>
      <xdr:col>52</xdr:col>
      <xdr:colOff>125367</xdr:colOff>
      <xdr:row>162</xdr:row>
      <xdr:rowOff>133349</xdr:rowOff>
    </xdr:to>
    <xdr:sp macro="" textlink="">
      <xdr:nvSpPr>
        <xdr:cNvPr id="75833" name="159">
          <a:extLst>
            <a:ext uri="{FF2B5EF4-FFF2-40B4-BE49-F238E27FC236}">
              <a16:creationId xmlns:a16="http://schemas.microsoft.com/office/drawing/2014/main" id="{FF20EDD9-F71F-4168-9C5E-536C4645D6D4}"/>
            </a:ext>
          </a:extLst>
        </xdr:cNvPr>
        <xdr:cNvSpPr/>
      </xdr:nvSpPr>
      <xdr:spPr>
        <a:xfrm>
          <a:off x="13683343" y="249135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162</xdr:row>
      <xdr:rowOff>76199</xdr:rowOff>
    </xdr:from>
    <xdr:to>
      <xdr:col>51</xdr:col>
      <xdr:colOff>20683</xdr:colOff>
      <xdr:row>162</xdr:row>
      <xdr:rowOff>76199</xdr:rowOff>
    </xdr:to>
    <xdr:cxnSp macro="">
      <xdr:nvCxnSpPr>
        <xdr:cNvPr id="75834" name="직선 화살표 연결선 75833">
          <a:extLst>
            <a:ext uri="{FF2B5EF4-FFF2-40B4-BE49-F238E27FC236}">
              <a16:creationId xmlns:a16="http://schemas.microsoft.com/office/drawing/2014/main" id="{6FF70E09-673B-41FA-8AA8-6CB27F84BEB6}"/>
            </a:ext>
          </a:extLst>
        </xdr:cNvPr>
        <xdr:cNvCxnSpPr/>
      </xdr:nvCxnSpPr>
      <xdr:spPr>
        <a:xfrm>
          <a:off x="13683343" y="2497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161</xdr:row>
      <xdr:rowOff>19049</xdr:rowOff>
    </xdr:from>
    <xdr:to>
      <xdr:col>52</xdr:col>
      <xdr:colOff>125367</xdr:colOff>
      <xdr:row>161</xdr:row>
      <xdr:rowOff>133349</xdr:rowOff>
    </xdr:to>
    <xdr:sp macro="" textlink="">
      <xdr:nvSpPr>
        <xdr:cNvPr id="75835" name="158">
          <a:extLst>
            <a:ext uri="{FF2B5EF4-FFF2-40B4-BE49-F238E27FC236}">
              <a16:creationId xmlns:a16="http://schemas.microsoft.com/office/drawing/2014/main" id="{CBD98884-F9B7-4CD1-9660-EF217842CE95}"/>
            </a:ext>
          </a:extLst>
        </xdr:cNvPr>
        <xdr:cNvSpPr/>
      </xdr:nvSpPr>
      <xdr:spPr>
        <a:xfrm>
          <a:off x="13683343" y="247611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161</xdr:row>
      <xdr:rowOff>76199</xdr:rowOff>
    </xdr:from>
    <xdr:to>
      <xdr:col>51</xdr:col>
      <xdr:colOff>20683</xdr:colOff>
      <xdr:row>161</xdr:row>
      <xdr:rowOff>76199</xdr:rowOff>
    </xdr:to>
    <xdr:cxnSp macro="">
      <xdr:nvCxnSpPr>
        <xdr:cNvPr id="75836" name="직선 화살표 연결선 75835">
          <a:extLst>
            <a:ext uri="{FF2B5EF4-FFF2-40B4-BE49-F238E27FC236}">
              <a16:creationId xmlns:a16="http://schemas.microsoft.com/office/drawing/2014/main" id="{7EC3178E-6779-494B-8E0E-F2ED3796B2F4}"/>
            </a:ext>
          </a:extLst>
        </xdr:cNvPr>
        <xdr:cNvCxnSpPr/>
      </xdr:nvCxnSpPr>
      <xdr:spPr>
        <a:xfrm>
          <a:off x="13683343" y="2481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160</xdr:row>
      <xdr:rowOff>19049</xdr:rowOff>
    </xdr:from>
    <xdr:to>
      <xdr:col>52</xdr:col>
      <xdr:colOff>125367</xdr:colOff>
      <xdr:row>160</xdr:row>
      <xdr:rowOff>133349</xdr:rowOff>
    </xdr:to>
    <xdr:sp macro="" textlink="">
      <xdr:nvSpPr>
        <xdr:cNvPr id="75837" name="157">
          <a:extLst>
            <a:ext uri="{FF2B5EF4-FFF2-40B4-BE49-F238E27FC236}">
              <a16:creationId xmlns:a16="http://schemas.microsoft.com/office/drawing/2014/main" id="{56DA8913-FEC4-400F-BA09-13738FF7983D}"/>
            </a:ext>
          </a:extLst>
        </xdr:cNvPr>
        <xdr:cNvSpPr/>
      </xdr:nvSpPr>
      <xdr:spPr>
        <a:xfrm>
          <a:off x="13683343" y="246087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160</xdr:row>
      <xdr:rowOff>76199</xdr:rowOff>
    </xdr:from>
    <xdr:to>
      <xdr:col>51</xdr:col>
      <xdr:colOff>20683</xdr:colOff>
      <xdr:row>160</xdr:row>
      <xdr:rowOff>76199</xdr:rowOff>
    </xdr:to>
    <xdr:cxnSp macro="">
      <xdr:nvCxnSpPr>
        <xdr:cNvPr id="75838" name="직선 화살표 연결선 75837">
          <a:extLst>
            <a:ext uri="{FF2B5EF4-FFF2-40B4-BE49-F238E27FC236}">
              <a16:creationId xmlns:a16="http://schemas.microsoft.com/office/drawing/2014/main" id="{91943E8D-13B5-41A6-B226-EF50C7384E43}"/>
            </a:ext>
          </a:extLst>
        </xdr:cNvPr>
        <xdr:cNvCxnSpPr/>
      </xdr:nvCxnSpPr>
      <xdr:spPr>
        <a:xfrm>
          <a:off x="13683343" y="2466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159</xdr:row>
      <xdr:rowOff>19049</xdr:rowOff>
    </xdr:from>
    <xdr:to>
      <xdr:col>52</xdr:col>
      <xdr:colOff>125367</xdr:colOff>
      <xdr:row>159</xdr:row>
      <xdr:rowOff>133349</xdr:rowOff>
    </xdr:to>
    <xdr:sp macro="" textlink="">
      <xdr:nvSpPr>
        <xdr:cNvPr id="75839" name="156">
          <a:extLst>
            <a:ext uri="{FF2B5EF4-FFF2-40B4-BE49-F238E27FC236}">
              <a16:creationId xmlns:a16="http://schemas.microsoft.com/office/drawing/2014/main" id="{7827F4DA-A39D-4902-A488-81564A225CCA}"/>
            </a:ext>
          </a:extLst>
        </xdr:cNvPr>
        <xdr:cNvSpPr/>
      </xdr:nvSpPr>
      <xdr:spPr>
        <a:xfrm>
          <a:off x="13683343" y="24456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159</xdr:row>
      <xdr:rowOff>76199</xdr:rowOff>
    </xdr:from>
    <xdr:to>
      <xdr:col>51</xdr:col>
      <xdr:colOff>20683</xdr:colOff>
      <xdr:row>159</xdr:row>
      <xdr:rowOff>76199</xdr:rowOff>
    </xdr:to>
    <xdr:cxnSp macro="">
      <xdr:nvCxnSpPr>
        <xdr:cNvPr id="75840" name="직선 화살표 연결선 75839">
          <a:extLst>
            <a:ext uri="{FF2B5EF4-FFF2-40B4-BE49-F238E27FC236}">
              <a16:creationId xmlns:a16="http://schemas.microsoft.com/office/drawing/2014/main" id="{8BE974CE-6EE6-4C4B-9BE3-C00A16CDF8B4}"/>
            </a:ext>
          </a:extLst>
        </xdr:cNvPr>
        <xdr:cNvCxnSpPr/>
      </xdr:nvCxnSpPr>
      <xdr:spPr>
        <a:xfrm>
          <a:off x="13683343" y="2451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158</xdr:row>
      <xdr:rowOff>19049</xdr:rowOff>
    </xdr:from>
    <xdr:to>
      <xdr:col>52</xdr:col>
      <xdr:colOff>125367</xdr:colOff>
      <xdr:row>158</xdr:row>
      <xdr:rowOff>133349</xdr:rowOff>
    </xdr:to>
    <xdr:sp macro="" textlink="">
      <xdr:nvSpPr>
        <xdr:cNvPr id="75841" name="155">
          <a:extLst>
            <a:ext uri="{FF2B5EF4-FFF2-40B4-BE49-F238E27FC236}">
              <a16:creationId xmlns:a16="http://schemas.microsoft.com/office/drawing/2014/main" id="{129FEE18-7B67-4B90-AB8C-49D310BE519F}"/>
            </a:ext>
          </a:extLst>
        </xdr:cNvPr>
        <xdr:cNvSpPr/>
      </xdr:nvSpPr>
      <xdr:spPr>
        <a:xfrm>
          <a:off x="13683343" y="24303989"/>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158</xdr:row>
      <xdr:rowOff>76199</xdr:rowOff>
    </xdr:from>
    <xdr:to>
      <xdr:col>51</xdr:col>
      <xdr:colOff>20683</xdr:colOff>
      <xdr:row>158</xdr:row>
      <xdr:rowOff>76199</xdr:rowOff>
    </xdr:to>
    <xdr:cxnSp macro="">
      <xdr:nvCxnSpPr>
        <xdr:cNvPr id="75842" name="직선 화살표 연결선 75841">
          <a:extLst>
            <a:ext uri="{FF2B5EF4-FFF2-40B4-BE49-F238E27FC236}">
              <a16:creationId xmlns:a16="http://schemas.microsoft.com/office/drawing/2014/main" id="{9AEBF4B8-F30C-4DC0-80D1-6BE6B375EB0F}"/>
            </a:ext>
          </a:extLst>
        </xdr:cNvPr>
        <xdr:cNvCxnSpPr/>
      </xdr:nvCxnSpPr>
      <xdr:spPr>
        <a:xfrm>
          <a:off x="13683343" y="2436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157</xdr:row>
      <xdr:rowOff>19049</xdr:rowOff>
    </xdr:from>
    <xdr:to>
      <xdr:col>53</xdr:col>
      <xdr:colOff>125367</xdr:colOff>
      <xdr:row>157</xdr:row>
      <xdr:rowOff>133349</xdr:rowOff>
    </xdr:to>
    <xdr:sp macro="" textlink="">
      <xdr:nvSpPr>
        <xdr:cNvPr id="75843" name="154">
          <a:extLst>
            <a:ext uri="{FF2B5EF4-FFF2-40B4-BE49-F238E27FC236}">
              <a16:creationId xmlns:a16="http://schemas.microsoft.com/office/drawing/2014/main" id="{8EC5480D-49ED-4145-AE93-66B298029BAA}"/>
            </a:ext>
          </a:extLst>
        </xdr:cNvPr>
        <xdr:cNvSpPr/>
      </xdr:nvSpPr>
      <xdr:spPr>
        <a:xfrm>
          <a:off x="13828123" y="241515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157</xdr:row>
      <xdr:rowOff>76199</xdr:rowOff>
    </xdr:from>
    <xdr:to>
      <xdr:col>52</xdr:col>
      <xdr:colOff>20683</xdr:colOff>
      <xdr:row>157</xdr:row>
      <xdr:rowOff>76199</xdr:rowOff>
    </xdr:to>
    <xdr:cxnSp macro="">
      <xdr:nvCxnSpPr>
        <xdr:cNvPr id="75844" name="직선 화살표 연결선 75843">
          <a:extLst>
            <a:ext uri="{FF2B5EF4-FFF2-40B4-BE49-F238E27FC236}">
              <a16:creationId xmlns:a16="http://schemas.microsoft.com/office/drawing/2014/main" id="{CC110340-DFF1-4731-9F03-267E0461707D}"/>
            </a:ext>
          </a:extLst>
        </xdr:cNvPr>
        <xdr:cNvCxnSpPr/>
      </xdr:nvCxnSpPr>
      <xdr:spPr>
        <a:xfrm>
          <a:off x="13828123" y="2420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156</xdr:row>
      <xdr:rowOff>19049</xdr:rowOff>
    </xdr:from>
    <xdr:to>
      <xdr:col>51</xdr:col>
      <xdr:colOff>125367</xdr:colOff>
      <xdr:row>156</xdr:row>
      <xdr:rowOff>133349</xdr:rowOff>
    </xdr:to>
    <xdr:sp macro="" textlink="">
      <xdr:nvSpPr>
        <xdr:cNvPr id="75845" name="153">
          <a:extLst>
            <a:ext uri="{FF2B5EF4-FFF2-40B4-BE49-F238E27FC236}">
              <a16:creationId xmlns:a16="http://schemas.microsoft.com/office/drawing/2014/main" id="{906C0BB6-F2CE-4BC4-A282-C46D955798AB}"/>
            </a:ext>
          </a:extLst>
        </xdr:cNvPr>
        <xdr:cNvSpPr/>
      </xdr:nvSpPr>
      <xdr:spPr>
        <a:xfrm>
          <a:off x="13393782" y="23999189"/>
          <a:ext cx="3942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156</xdr:row>
      <xdr:rowOff>76199</xdr:rowOff>
    </xdr:from>
    <xdr:to>
      <xdr:col>49</xdr:col>
      <xdr:colOff>20682</xdr:colOff>
      <xdr:row>156</xdr:row>
      <xdr:rowOff>76199</xdr:rowOff>
    </xdr:to>
    <xdr:cxnSp macro="">
      <xdr:nvCxnSpPr>
        <xdr:cNvPr id="75846" name="직선 화살표 연결선 75845">
          <a:extLst>
            <a:ext uri="{FF2B5EF4-FFF2-40B4-BE49-F238E27FC236}">
              <a16:creationId xmlns:a16="http://schemas.microsoft.com/office/drawing/2014/main" id="{D5A3D58B-1597-4F48-8A76-F0817210D232}"/>
            </a:ext>
          </a:extLst>
        </xdr:cNvPr>
        <xdr:cNvCxnSpPr/>
      </xdr:nvCxnSpPr>
      <xdr:spPr>
        <a:xfrm>
          <a:off x="13393782" y="2405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155</xdr:row>
      <xdr:rowOff>19049</xdr:rowOff>
    </xdr:from>
    <xdr:to>
      <xdr:col>51</xdr:col>
      <xdr:colOff>125367</xdr:colOff>
      <xdr:row>155</xdr:row>
      <xdr:rowOff>133349</xdr:rowOff>
    </xdr:to>
    <xdr:sp macro="" textlink="">
      <xdr:nvSpPr>
        <xdr:cNvPr id="75847" name="152">
          <a:extLst>
            <a:ext uri="{FF2B5EF4-FFF2-40B4-BE49-F238E27FC236}">
              <a16:creationId xmlns:a16="http://schemas.microsoft.com/office/drawing/2014/main" id="{E1126149-B52D-424E-81F5-D0F46B593214}"/>
            </a:ext>
          </a:extLst>
        </xdr:cNvPr>
        <xdr:cNvSpPr/>
      </xdr:nvSpPr>
      <xdr:spPr>
        <a:xfrm>
          <a:off x="13393782" y="23846789"/>
          <a:ext cx="3942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155</xdr:row>
      <xdr:rowOff>76199</xdr:rowOff>
    </xdr:from>
    <xdr:to>
      <xdr:col>49</xdr:col>
      <xdr:colOff>20682</xdr:colOff>
      <xdr:row>155</xdr:row>
      <xdr:rowOff>76199</xdr:rowOff>
    </xdr:to>
    <xdr:cxnSp macro="">
      <xdr:nvCxnSpPr>
        <xdr:cNvPr id="75848" name="직선 화살표 연결선 75847">
          <a:extLst>
            <a:ext uri="{FF2B5EF4-FFF2-40B4-BE49-F238E27FC236}">
              <a16:creationId xmlns:a16="http://schemas.microsoft.com/office/drawing/2014/main" id="{EA49C18F-D583-4C19-ACE0-B19BCC3820E6}"/>
            </a:ext>
          </a:extLst>
        </xdr:cNvPr>
        <xdr:cNvCxnSpPr/>
      </xdr:nvCxnSpPr>
      <xdr:spPr>
        <a:xfrm>
          <a:off x="13393782" y="2390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154</xdr:row>
      <xdr:rowOff>19049</xdr:rowOff>
    </xdr:from>
    <xdr:to>
      <xdr:col>50</xdr:col>
      <xdr:colOff>125366</xdr:colOff>
      <xdr:row>154</xdr:row>
      <xdr:rowOff>133349</xdr:rowOff>
    </xdr:to>
    <xdr:sp macro="" textlink="">
      <xdr:nvSpPr>
        <xdr:cNvPr id="75849" name="151">
          <a:extLst>
            <a:ext uri="{FF2B5EF4-FFF2-40B4-BE49-F238E27FC236}">
              <a16:creationId xmlns:a16="http://schemas.microsoft.com/office/drawing/2014/main" id="{430FA45D-EFA2-4EC2-888C-D100F2D2ECDD}"/>
            </a:ext>
          </a:extLst>
        </xdr:cNvPr>
        <xdr:cNvSpPr/>
      </xdr:nvSpPr>
      <xdr:spPr>
        <a:xfrm>
          <a:off x="13393782" y="23694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154</xdr:row>
      <xdr:rowOff>76199</xdr:rowOff>
    </xdr:from>
    <xdr:to>
      <xdr:col>49</xdr:col>
      <xdr:colOff>20682</xdr:colOff>
      <xdr:row>154</xdr:row>
      <xdr:rowOff>76199</xdr:rowOff>
    </xdr:to>
    <xdr:cxnSp macro="">
      <xdr:nvCxnSpPr>
        <xdr:cNvPr id="75850" name="직선 화살표 연결선 75849">
          <a:extLst>
            <a:ext uri="{FF2B5EF4-FFF2-40B4-BE49-F238E27FC236}">
              <a16:creationId xmlns:a16="http://schemas.microsoft.com/office/drawing/2014/main" id="{094D3807-9C48-4AED-8759-220CB4F69180}"/>
            </a:ext>
          </a:extLst>
        </xdr:cNvPr>
        <xdr:cNvCxnSpPr/>
      </xdr:nvCxnSpPr>
      <xdr:spPr>
        <a:xfrm>
          <a:off x="13393782" y="2375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153</xdr:row>
      <xdr:rowOff>19049</xdr:rowOff>
    </xdr:from>
    <xdr:to>
      <xdr:col>53</xdr:col>
      <xdr:colOff>125367</xdr:colOff>
      <xdr:row>153</xdr:row>
      <xdr:rowOff>133349</xdr:rowOff>
    </xdr:to>
    <xdr:sp macro="" textlink="">
      <xdr:nvSpPr>
        <xdr:cNvPr id="75851" name="150">
          <a:extLst>
            <a:ext uri="{FF2B5EF4-FFF2-40B4-BE49-F238E27FC236}">
              <a16:creationId xmlns:a16="http://schemas.microsoft.com/office/drawing/2014/main" id="{227CEC95-588D-4E29-9C72-8ECD2E2F194D}"/>
            </a:ext>
          </a:extLst>
        </xdr:cNvPr>
        <xdr:cNvSpPr/>
      </xdr:nvSpPr>
      <xdr:spPr>
        <a:xfrm>
          <a:off x="13393782" y="23541989"/>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153</xdr:row>
      <xdr:rowOff>76199</xdr:rowOff>
    </xdr:from>
    <xdr:to>
      <xdr:col>49</xdr:col>
      <xdr:colOff>20682</xdr:colOff>
      <xdr:row>153</xdr:row>
      <xdr:rowOff>76199</xdr:rowOff>
    </xdr:to>
    <xdr:cxnSp macro="">
      <xdr:nvCxnSpPr>
        <xdr:cNvPr id="75852" name="직선 화살표 연결선 75851">
          <a:extLst>
            <a:ext uri="{FF2B5EF4-FFF2-40B4-BE49-F238E27FC236}">
              <a16:creationId xmlns:a16="http://schemas.microsoft.com/office/drawing/2014/main" id="{B58E19AE-B768-4F93-8370-8498C88592C9}"/>
            </a:ext>
          </a:extLst>
        </xdr:cNvPr>
        <xdr:cNvCxnSpPr/>
      </xdr:nvCxnSpPr>
      <xdr:spPr>
        <a:xfrm>
          <a:off x="13393782" y="2359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152</xdr:row>
      <xdr:rowOff>19049</xdr:rowOff>
    </xdr:from>
    <xdr:to>
      <xdr:col>53</xdr:col>
      <xdr:colOff>125367</xdr:colOff>
      <xdr:row>152</xdr:row>
      <xdr:rowOff>133349</xdr:rowOff>
    </xdr:to>
    <xdr:sp macro="" textlink="">
      <xdr:nvSpPr>
        <xdr:cNvPr id="75853" name="149">
          <a:extLst>
            <a:ext uri="{FF2B5EF4-FFF2-40B4-BE49-F238E27FC236}">
              <a16:creationId xmlns:a16="http://schemas.microsoft.com/office/drawing/2014/main" id="{4876E6CA-A389-4F8E-B0B2-ED5466D51436}"/>
            </a:ext>
          </a:extLst>
        </xdr:cNvPr>
        <xdr:cNvSpPr/>
      </xdr:nvSpPr>
      <xdr:spPr>
        <a:xfrm>
          <a:off x="13393782" y="23389589"/>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152</xdr:row>
      <xdr:rowOff>76199</xdr:rowOff>
    </xdr:from>
    <xdr:to>
      <xdr:col>49</xdr:col>
      <xdr:colOff>20682</xdr:colOff>
      <xdr:row>152</xdr:row>
      <xdr:rowOff>76199</xdr:rowOff>
    </xdr:to>
    <xdr:cxnSp macro="">
      <xdr:nvCxnSpPr>
        <xdr:cNvPr id="75854" name="직선 화살표 연결선 75853">
          <a:extLst>
            <a:ext uri="{FF2B5EF4-FFF2-40B4-BE49-F238E27FC236}">
              <a16:creationId xmlns:a16="http://schemas.microsoft.com/office/drawing/2014/main" id="{ED8C2A51-F231-4499-A1E9-FA573E1CC2F2}"/>
            </a:ext>
          </a:extLst>
        </xdr:cNvPr>
        <xdr:cNvCxnSpPr/>
      </xdr:nvCxnSpPr>
      <xdr:spPr>
        <a:xfrm>
          <a:off x="13393782" y="2344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151</xdr:row>
      <xdr:rowOff>19049</xdr:rowOff>
    </xdr:from>
    <xdr:to>
      <xdr:col>41</xdr:col>
      <xdr:colOff>125367</xdr:colOff>
      <xdr:row>151</xdr:row>
      <xdr:rowOff>133349</xdr:rowOff>
    </xdr:to>
    <xdr:sp macro="" textlink="">
      <xdr:nvSpPr>
        <xdr:cNvPr id="75855" name="148">
          <a:extLst>
            <a:ext uri="{FF2B5EF4-FFF2-40B4-BE49-F238E27FC236}">
              <a16:creationId xmlns:a16="http://schemas.microsoft.com/office/drawing/2014/main" id="{BA58C1B9-B2B2-42B2-9A8F-CBB0DB283D52}"/>
            </a:ext>
          </a:extLst>
        </xdr:cNvPr>
        <xdr:cNvSpPr/>
      </xdr:nvSpPr>
      <xdr:spPr>
        <a:xfrm>
          <a:off x="11656423" y="23237189"/>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151</xdr:row>
      <xdr:rowOff>76199</xdr:rowOff>
    </xdr:from>
    <xdr:to>
      <xdr:col>37</xdr:col>
      <xdr:colOff>20683</xdr:colOff>
      <xdr:row>151</xdr:row>
      <xdr:rowOff>76199</xdr:rowOff>
    </xdr:to>
    <xdr:cxnSp macro="">
      <xdr:nvCxnSpPr>
        <xdr:cNvPr id="75856" name="직선 화살표 연결선 75855">
          <a:extLst>
            <a:ext uri="{FF2B5EF4-FFF2-40B4-BE49-F238E27FC236}">
              <a16:creationId xmlns:a16="http://schemas.microsoft.com/office/drawing/2014/main" id="{58608948-B53A-4992-B3ED-3267C6C203D1}"/>
            </a:ext>
          </a:extLst>
        </xdr:cNvPr>
        <xdr:cNvCxnSpPr/>
      </xdr:nvCxnSpPr>
      <xdr:spPr>
        <a:xfrm>
          <a:off x="11656423" y="2329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150</xdr:row>
      <xdr:rowOff>19049</xdr:rowOff>
    </xdr:from>
    <xdr:to>
      <xdr:col>41</xdr:col>
      <xdr:colOff>125367</xdr:colOff>
      <xdr:row>150</xdr:row>
      <xdr:rowOff>133349</xdr:rowOff>
    </xdr:to>
    <xdr:sp macro="" textlink="">
      <xdr:nvSpPr>
        <xdr:cNvPr id="75857" name="147">
          <a:extLst>
            <a:ext uri="{FF2B5EF4-FFF2-40B4-BE49-F238E27FC236}">
              <a16:creationId xmlns:a16="http://schemas.microsoft.com/office/drawing/2014/main" id="{9C065680-A27D-4B8E-9525-DF73EAE614ED}"/>
            </a:ext>
          </a:extLst>
        </xdr:cNvPr>
        <xdr:cNvSpPr/>
      </xdr:nvSpPr>
      <xdr:spPr>
        <a:xfrm>
          <a:off x="11656423" y="23084789"/>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150</xdr:row>
      <xdr:rowOff>76199</xdr:rowOff>
    </xdr:from>
    <xdr:to>
      <xdr:col>37</xdr:col>
      <xdr:colOff>20683</xdr:colOff>
      <xdr:row>150</xdr:row>
      <xdr:rowOff>76199</xdr:rowOff>
    </xdr:to>
    <xdr:cxnSp macro="">
      <xdr:nvCxnSpPr>
        <xdr:cNvPr id="75858" name="직선 화살표 연결선 75857">
          <a:extLst>
            <a:ext uri="{FF2B5EF4-FFF2-40B4-BE49-F238E27FC236}">
              <a16:creationId xmlns:a16="http://schemas.microsoft.com/office/drawing/2014/main" id="{E9BD109B-F422-4A2F-BC95-E66882696DAF}"/>
            </a:ext>
          </a:extLst>
        </xdr:cNvPr>
        <xdr:cNvCxnSpPr/>
      </xdr:nvCxnSpPr>
      <xdr:spPr>
        <a:xfrm>
          <a:off x="11656423" y="2314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149</xdr:row>
      <xdr:rowOff>19049</xdr:rowOff>
    </xdr:from>
    <xdr:to>
      <xdr:col>41</xdr:col>
      <xdr:colOff>125367</xdr:colOff>
      <xdr:row>149</xdr:row>
      <xdr:rowOff>133349</xdr:rowOff>
    </xdr:to>
    <xdr:sp macro="" textlink="">
      <xdr:nvSpPr>
        <xdr:cNvPr id="75859" name="146">
          <a:extLst>
            <a:ext uri="{FF2B5EF4-FFF2-40B4-BE49-F238E27FC236}">
              <a16:creationId xmlns:a16="http://schemas.microsoft.com/office/drawing/2014/main" id="{356AFDEA-7AC3-4F70-BDC6-4DD6297EDA63}"/>
            </a:ext>
          </a:extLst>
        </xdr:cNvPr>
        <xdr:cNvSpPr/>
      </xdr:nvSpPr>
      <xdr:spPr>
        <a:xfrm>
          <a:off x="11656423" y="22932389"/>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149</xdr:row>
      <xdr:rowOff>76199</xdr:rowOff>
    </xdr:from>
    <xdr:to>
      <xdr:col>37</xdr:col>
      <xdr:colOff>20683</xdr:colOff>
      <xdr:row>149</xdr:row>
      <xdr:rowOff>76199</xdr:rowOff>
    </xdr:to>
    <xdr:cxnSp macro="">
      <xdr:nvCxnSpPr>
        <xdr:cNvPr id="75860" name="직선 화살표 연결선 75859">
          <a:extLst>
            <a:ext uri="{FF2B5EF4-FFF2-40B4-BE49-F238E27FC236}">
              <a16:creationId xmlns:a16="http://schemas.microsoft.com/office/drawing/2014/main" id="{0184DEC1-D5E7-421E-A520-449C914C1639}"/>
            </a:ext>
          </a:extLst>
        </xdr:cNvPr>
        <xdr:cNvCxnSpPr/>
      </xdr:nvCxnSpPr>
      <xdr:spPr>
        <a:xfrm>
          <a:off x="11656423" y="2298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148</xdr:row>
      <xdr:rowOff>19049</xdr:rowOff>
    </xdr:from>
    <xdr:to>
      <xdr:col>42</xdr:col>
      <xdr:colOff>125367</xdr:colOff>
      <xdr:row>148</xdr:row>
      <xdr:rowOff>133349</xdr:rowOff>
    </xdr:to>
    <xdr:sp macro="" textlink="">
      <xdr:nvSpPr>
        <xdr:cNvPr id="75861" name="145">
          <a:extLst>
            <a:ext uri="{FF2B5EF4-FFF2-40B4-BE49-F238E27FC236}">
              <a16:creationId xmlns:a16="http://schemas.microsoft.com/office/drawing/2014/main" id="{A15FCB2A-86DB-4EA9-83F0-8BE5C2E84027}"/>
            </a:ext>
          </a:extLst>
        </xdr:cNvPr>
        <xdr:cNvSpPr/>
      </xdr:nvSpPr>
      <xdr:spPr>
        <a:xfrm>
          <a:off x="12235543" y="227799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148</xdr:row>
      <xdr:rowOff>76199</xdr:rowOff>
    </xdr:from>
    <xdr:to>
      <xdr:col>41</xdr:col>
      <xdr:colOff>20683</xdr:colOff>
      <xdr:row>148</xdr:row>
      <xdr:rowOff>76199</xdr:rowOff>
    </xdr:to>
    <xdr:cxnSp macro="">
      <xdr:nvCxnSpPr>
        <xdr:cNvPr id="75862" name="직선 화살표 연결선 75861">
          <a:extLst>
            <a:ext uri="{FF2B5EF4-FFF2-40B4-BE49-F238E27FC236}">
              <a16:creationId xmlns:a16="http://schemas.microsoft.com/office/drawing/2014/main" id="{FC78AC07-31E3-46EB-8F02-D94C7F316FC8}"/>
            </a:ext>
          </a:extLst>
        </xdr:cNvPr>
        <xdr:cNvCxnSpPr/>
      </xdr:nvCxnSpPr>
      <xdr:spPr>
        <a:xfrm>
          <a:off x="12235543" y="2283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147</xdr:row>
      <xdr:rowOff>19049</xdr:rowOff>
    </xdr:from>
    <xdr:to>
      <xdr:col>40</xdr:col>
      <xdr:colOff>125367</xdr:colOff>
      <xdr:row>147</xdr:row>
      <xdr:rowOff>133349</xdr:rowOff>
    </xdr:to>
    <xdr:sp macro="" textlink="">
      <xdr:nvSpPr>
        <xdr:cNvPr id="75863" name="144">
          <a:extLst>
            <a:ext uri="{FF2B5EF4-FFF2-40B4-BE49-F238E27FC236}">
              <a16:creationId xmlns:a16="http://schemas.microsoft.com/office/drawing/2014/main" id="{90F5D369-A803-439F-BF8A-EEF38832EF08}"/>
            </a:ext>
          </a:extLst>
        </xdr:cNvPr>
        <xdr:cNvSpPr/>
      </xdr:nvSpPr>
      <xdr:spPr>
        <a:xfrm>
          <a:off x="11945983" y="226275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147</xdr:row>
      <xdr:rowOff>76199</xdr:rowOff>
    </xdr:from>
    <xdr:to>
      <xdr:col>39</xdr:col>
      <xdr:colOff>20683</xdr:colOff>
      <xdr:row>147</xdr:row>
      <xdr:rowOff>76199</xdr:rowOff>
    </xdr:to>
    <xdr:cxnSp macro="">
      <xdr:nvCxnSpPr>
        <xdr:cNvPr id="75864" name="직선 화살표 연결선 75863">
          <a:extLst>
            <a:ext uri="{FF2B5EF4-FFF2-40B4-BE49-F238E27FC236}">
              <a16:creationId xmlns:a16="http://schemas.microsoft.com/office/drawing/2014/main" id="{EB6E6ECB-8400-4993-B545-095A925C450D}"/>
            </a:ext>
          </a:extLst>
        </xdr:cNvPr>
        <xdr:cNvCxnSpPr/>
      </xdr:nvCxnSpPr>
      <xdr:spPr>
        <a:xfrm>
          <a:off x="11945983" y="2268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146</xdr:row>
      <xdr:rowOff>19049</xdr:rowOff>
    </xdr:from>
    <xdr:to>
      <xdr:col>40</xdr:col>
      <xdr:colOff>125367</xdr:colOff>
      <xdr:row>146</xdr:row>
      <xdr:rowOff>133349</xdr:rowOff>
    </xdr:to>
    <xdr:sp macro="" textlink="">
      <xdr:nvSpPr>
        <xdr:cNvPr id="75865" name="143">
          <a:extLst>
            <a:ext uri="{FF2B5EF4-FFF2-40B4-BE49-F238E27FC236}">
              <a16:creationId xmlns:a16="http://schemas.microsoft.com/office/drawing/2014/main" id="{E63C8ADB-9BD9-41FF-B9A6-1070A2F0548C}"/>
            </a:ext>
          </a:extLst>
        </xdr:cNvPr>
        <xdr:cNvSpPr/>
      </xdr:nvSpPr>
      <xdr:spPr>
        <a:xfrm>
          <a:off x="11945983" y="224751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146</xdr:row>
      <xdr:rowOff>76199</xdr:rowOff>
    </xdr:from>
    <xdr:to>
      <xdr:col>39</xdr:col>
      <xdr:colOff>20683</xdr:colOff>
      <xdr:row>146</xdr:row>
      <xdr:rowOff>76199</xdr:rowOff>
    </xdr:to>
    <xdr:cxnSp macro="">
      <xdr:nvCxnSpPr>
        <xdr:cNvPr id="75866" name="직선 화살표 연결선 75865">
          <a:extLst>
            <a:ext uri="{FF2B5EF4-FFF2-40B4-BE49-F238E27FC236}">
              <a16:creationId xmlns:a16="http://schemas.microsoft.com/office/drawing/2014/main" id="{DF7A34C5-8809-4871-AB4E-035344F99190}"/>
            </a:ext>
          </a:extLst>
        </xdr:cNvPr>
        <xdr:cNvCxnSpPr/>
      </xdr:nvCxnSpPr>
      <xdr:spPr>
        <a:xfrm>
          <a:off x="11945983" y="2253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145</xdr:row>
      <xdr:rowOff>19049</xdr:rowOff>
    </xdr:from>
    <xdr:to>
      <xdr:col>38</xdr:col>
      <xdr:colOff>125366</xdr:colOff>
      <xdr:row>145</xdr:row>
      <xdr:rowOff>133349</xdr:rowOff>
    </xdr:to>
    <xdr:sp macro="" textlink="">
      <xdr:nvSpPr>
        <xdr:cNvPr id="75867" name="142">
          <a:extLst>
            <a:ext uri="{FF2B5EF4-FFF2-40B4-BE49-F238E27FC236}">
              <a16:creationId xmlns:a16="http://schemas.microsoft.com/office/drawing/2014/main" id="{351528D9-EC6F-465F-AE45-CF605F30EDCD}"/>
            </a:ext>
          </a:extLst>
        </xdr:cNvPr>
        <xdr:cNvSpPr/>
      </xdr:nvSpPr>
      <xdr:spPr>
        <a:xfrm>
          <a:off x="11656423" y="22322789"/>
          <a:ext cx="249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145</xdr:row>
      <xdr:rowOff>76199</xdr:rowOff>
    </xdr:from>
    <xdr:to>
      <xdr:col>37</xdr:col>
      <xdr:colOff>20683</xdr:colOff>
      <xdr:row>145</xdr:row>
      <xdr:rowOff>76199</xdr:rowOff>
    </xdr:to>
    <xdr:cxnSp macro="">
      <xdr:nvCxnSpPr>
        <xdr:cNvPr id="75868" name="직선 화살표 연결선 75867">
          <a:extLst>
            <a:ext uri="{FF2B5EF4-FFF2-40B4-BE49-F238E27FC236}">
              <a16:creationId xmlns:a16="http://schemas.microsoft.com/office/drawing/2014/main" id="{DFC65FB2-87BD-4805-A146-A60295D4748D}"/>
            </a:ext>
          </a:extLst>
        </xdr:cNvPr>
        <xdr:cNvCxnSpPr/>
      </xdr:nvCxnSpPr>
      <xdr:spPr>
        <a:xfrm>
          <a:off x="11656423" y="2237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144</xdr:row>
      <xdr:rowOff>19049</xdr:rowOff>
    </xdr:from>
    <xdr:to>
      <xdr:col>38</xdr:col>
      <xdr:colOff>125366</xdr:colOff>
      <xdr:row>144</xdr:row>
      <xdr:rowOff>133349</xdr:rowOff>
    </xdr:to>
    <xdr:sp macro="" textlink="">
      <xdr:nvSpPr>
        <xdr:cNvPr id="75869" name="141">
          <a:extLst>
            <a:ext uri="{FF2B5EF4-FFF2-40B4-BE49-F238E27FC236}">
              <a16:creationId xmlns:a16="http://schemas.microsoft.com/office/drawing/2014/main" id="{E7C035F9-54B4-45B7-892D-952B51EE140F}"/>
            </a:ext>
          </a:extLst>
        </xdr:cNvPr>
        <xdr:cNvSpPr/>
      </xdr:nvSpPr>
      <xdr:spPr>
        <a:xfrm>
          <a:off x="11656423" y="22170389"/>
          <a:ext cx="249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144</xdr:row>
      <xdr:rowOff>76199</xdr:rowOff>
    </xdr:from>
    <xdr:to>
      <xdr:col>37</xdr:col>
      <xdr:colOff>20683</xdr:colOff>
      <xdr:row>144</xdr:row>
      <xdr:rowOff>76199</xdr:rowOff>
    </xdr:to>
    <xdr:cxnSp macro="">
      <xdr:nvCxnSpPr>
        <xdr:cNvPr id="75870" name="직선 화살표 연결선 75869">
          <a:extLst>
            <a:ext uri="{FF2B5EF4-FFF2-40B4-BE49-F238E27FC236}">
              <a16:creationId xmlns:a16="http://schemas.microsoft.com/office/drawing/2014/main" id="{B46C4EF2-B4C0-4E59-948F-CEFC66B95558}"/>
            </a:ext>
          </a:extLst>
        </xdr:cNvPr>
        <xdr:cNvCxnSpPr/>
      </xdr:nvCxnSpPr>
      <xdr:spPr>
        <a:xfrm>
          <a:off x="11656423" y="2222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143</xdr:row>
      <xdr:rowOff>19049</xdr:rowOff>
    </xdr:from>
    <xdr:to>
      <xdr:col>42</xdr:col>
      <xdr:colOff>125367</xdr:colOff>
      <xdr:row>143</xdr:row>
      <xdr:rowOff>133349</xdr:rowOff>
    </xdr:to>
    <xdr:sp macro="" textlink="">
      <xdr:nvSpPr>
        <xdr:cNvPr id="75871" name="140">
          <a:extLst>
            <a:ext uri="{FF2B5EF4-FFF2-40B4-BE49-F238E27FC236}">
              <a16:creationId xmlns:a16="http://schemas.microsoft.com/office/drawing/2014/main" id="{B3CC8783-C9C0-45EB-BCEA-958BBE44B45D}"/>
            </a:ext>
          </a:extLst>
        </xdr:cNvPr>
        <xdr:cNvSpPr/>
      </xdr:nvSpPr>
      <xdr:spPr>
        <a:xfrm>
          <a:off x="11656423" y="22017989"/>
          <a:ext cx="828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143</xdr:row>
      <xdr:rowOff>76199</xdr:rowOff>
    </xdr:from>
    <xdr:to>
      <xdr:col>37</xdr:col>
      <xdr:colOff>20683</xdr:colOff>
      <xdr:row>143</xdr:row>
      <xdr:rowOff>76199</xdr:rowOff>
    </xdr:to>
    <xdr:cxnSp macro="">
      <xdr:nvCxnSpPr>
        <xdr:cNvPr id="75872" name="직선 화살표 연결선 75871">
          <a:extLst>
            <a:ext uri="{FF2B5EF4-FFF2-40B4-BE49-F238E27FC236}">
              <a16:creationId xmlns:a16="http://schemas.microsoft.com/office/drawing/2014/main" id="{19D2F7F1-00F2-4389-8076-8220B3474A91}"/>
            </a:ext>
          </a:extLst>
        </xdr:cNvPr>
        <xdr:cNvCxnSpPr/>
      </xdr:nvCxnSpPr>
      <xdr:spPr>
        <a:xfrm>
          <a:off x="11656423" y="2207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142</xdr:row>
      <xdr:rowOff>19049</xdr:rowOff>
    </xdr:from>
    <xdr:to>
      <xdr:col>36</xdr:col>
      <xdr:colOff>125367</xdr:colOff>
      <xdr:row>142</xdr:row>
      <xdr:rowOff>133349</xdr:rowOff>
    </xdr:to>
    <xdr:sp macro="" textlink="">
      <xdr:nvSpPr>
        <xdr:cNvPr id="75873" name="139">
          <a:extLst>
            <a:ext uri="{FF2B5EF4-FFF2-40B4-BE49-F238E27FC236}">
              <a16:creationId xmlns:a16="http://schemas.microsoft.com/office/drawing/2014/main" id="{144236D3-C360-4707-8ED2-6947C53350E9}"/>
            </a:ext>
          </a:extLst>
        </xdr:cNvPr>
        <xdr:cNvSpPr/>
      </xdr:nvSpPr>
      <xdr:spPr>
        <a:xfrm>
          <a:off x="11366863" y="218655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142</xdr:row>
      <xdr:rowOff>76199</xdr:rowOff>
    </xdr:from>
    <xdr:to>
      <xdr:col>35</xdr:col>
      <xdr:colOff>20683</xdr:colOff>
      <xdr:row>142</xdr:row>
      <xdr:rowOff>76199</xdr:rowOff>
    </xdr:to>
    <xdr:cxnSp macro="">
      <xdr:nvCxnSpPr>
        <xdr:cNvPr id="75874" name="직선 화살표 연결선 75873">
          <a:extLst>
            <a:ext uri="{FF2B5EF4-FFF2-40B4-BE49-F238E27FC236}">
              <a16:creationId xmlns:a16="http://schemas.microsoft.com/office/drawing/2014/main" id="{20BB871D-608C-43D3-A1D8-89BAFEA2BE18}"/>
            </a:ext>
          </a:extLst>
        </xdr:cNvPr>
        <xdr:cNvCxnSpPr/>
      </xdr:nvCxnSpPr>
      <xdr:spPr>
        <a:xfrm>
          <a:off x="11366863" y="2192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141</xdr:row>
      <xdr:rowOff>19049</xdr:rowOff>
    </xdr:from>
    <xdr:to>
      <xdr:col>36</xdr:col>
      <xdr:colOff>125367</xdr:colOff>
      <xdr:row>141</xdr:row>
      <xdr:rowOff>133349</xdr:rowOff>
    </xdr:to>
    <xdr:sp macro="" textlink="">
      <xdr:nvSpPr>
        <xdr:cNvPr id="75875" name="138">
          <a:extLst>
            <a:ext uri="{FF2B5EF4-FFF2-40B4-BE49-F238E27FC236}">
              <a16:creationId xmlns:a16="http://schemas.microsoft.com/office/drawing/2014/main" id="{7C6989AC-6A25-42E8-837E-CAAF31FFFF5D}"/>
            </a:ext>
          </a:extLst>
        </xdr:cNvPr>
        <xdr:cNvSpPr/>
      </xdr:nvSpPr>
      <xdr:spPr>
        <a:xfrm>
          <a:off x="11366863" y="217131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141</xdr:row>
      <xdr:rowOff>76199</xdr:rowOff>
    </xdr:from>
    <xdr:to>
      <xdr:col>35</xdr:col>
      <xdr:colOff>20683</xdr:colOff>
      <xdr:row>141</xdr:row>
      <xdr:rowOff>76199</xdr:rowOff>
    </xdr:to>
    <xdr:cxnSp macro="">
      <xdr:nvCxnSpPr>
        <xdr:cNvPr id="75876" name="직선 화살표 연결선 75875">
          <a:extLst>
            <a:ext uri="{FF2B5EF4-FFF2-40B4-BE49-F238E27FC236}">
              <a16:creationId xmlns:a16="http://schemas.microsoft.com/office/drawing/2014/main" id="{EFA81B47-E5B4-4447-BD7A-36FB00053598}"/>
            </a:ext>
          </a:extLst>
        </xdr:cNvPr>
        <xdr:cNvCxnSpPr/>
      </xdr:nvCxnSpPr>
      <xdr:spPr>
        <a:xfrm>
          <a:off x="11366863" y="2177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140</xdr:row>
      <xdr:rowOff>19049</xdr:rowOff>
    </xdr:from>
    <xdr:to>
      <xdr:col>35</xdr:col>
      <xdr:colOff>125367</xdr:colOff>
      <xdr:row>140</xdr:row>
      <xdr:rowOff>133349</xdr:rowOff>
    </xdr:to>
    <xdr:sp macro="" textlink="">
      <xdr:nvSpPr>
        <xdr:cNvPr id="75877" name="137">
          <a:extLst>
            <a:ext uri="{FF2B5EF4-FFF2-40B4-BE49-F238E27FC236}">
              <a16:creationId xmlns:a16="http://schemas.microsoft.com/office/drawing/2014/main" id="{583C5931-6B06-491C-8348-C0DE7A591932}"/>
            </a:ext>
          </a:extLst>
        </xdr:cNvPr>
        <xdr:cNvSpPr/>
      </xdr:nvSpPr>
      <xdr:spPr>
        <a:xfrm>
          <a:off x="11222083" y="215607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140</xdr:row>
      <xdr:rowOff>76199</xdr:rowOff>
    </xdr:from>
    <xdr:to>
      <xdr:col>34</xdr:col>
      <xdr:colOff>20683</xdr:colOff>
      <xdr:row>140</xdr:row>
      <xdr:rowOff>76199</xdr:rowOff>
    </xdr:to>
    <xdr:cxnSp macro="">
      <xdr:nvCxnSpPr>
        <xdr:cNvPr id="75878" name="직선 화살표 연결선 75877">
          <a:extLst>
            <a:ext uri="{FF2B5EF4-FFF2-40B4-BE49-F238E27FC236}">
              <a16:creationId xmlns:a16="http://schemas.microsoft.com/office/drawing/2014/main" id="{85F8A802-E58E-46E1-9A7C-377913E49E39}"/>
            </a:ext>
          </a:extLst>
        </xdr:cNvPr>
        <xdr:cNvCxnSpPr/>
      </xdr:nvCxnSpPr>
      <xdr:spPr>
        <a:xfrm>
          <a:off x="11222083" y="2161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139</xdr:row>
      <xdr:rowOff>19049</xdr:rowOff>
    </xdr:from>
    <xdr:to>
      <xdr:col>36</xdr:col>
      <xdr:colOff>125367</xdr:colOff>
      <xdr:row>139</xdr:row>
      <xdr:rowOff>133349</xdr:rowOff>
    </xdr:to>
    <xdr:sp macro="" textlink="">
      <xdr:nvSpPr>
        <xdr:cNvPr id="75879" name="136">
          <a:extLst>
            <a:ext uri="{FF2B5EF4-FFF2-40B4-BE49-F238E27FC236}">
              <a16:creationId xmlns:a16="http://schemas.microsoft.com/office/drawing/2014/main" id="{79811457-9BD5-4C98-B385-9EED9E2AB8D9}"/>
            </a:ext>
          </a:extLst>
        </xdr:cNvPr>
        <xdr:cNvSpPr/>
      </xdr:nvSpPr>
      <xdr:spPr>
        <a:xfrm>
          <a:off x="11222083" y="21408389"/>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139</xdr:row>
      <xdr:rowOff>76199</xdr:rowOff>
    </xdr:from>
    <xdr:to>
      <xdr:col>34</xdr:col>
      <xdr:colOff>20683</xdr:colOff>
      <xdr:row>139</xdr:row>
      <xdr:rowOff>76199</xdr:rowOff>
    </xdr:to>
    <xdr:cxnSp macro="">
      <xdr:nvCxnSpPr>
        <xdr:cNvPr id="75880" name="직선 화살표 연결선 75879">
          <a:extLst>
            <a:ext uri="{FF2B5EF4-FFF2-40B4-BE49-F238E27FC236}">
              <a16:creationId xmlns:a16="http://schemas.microsoft.com/office/drawing/2014/main" id="{9B594D7A-6F42-4547-ABFD-8E826E70544F}"/>
            </a:ext>
          </a:extLst>
        </xdr:cNvPr>
        <xdr:cNvCxnSpPr/>
      </xdr:nvCxnSpPr>
      <xdr:spPr>
        <a:xfrm>
          <a:off x="11222083" y="2146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138</xdr:row>
      <xdr:rowOff>19049</xdr:rowOff>
    </xdr:from>
    <xdr:to>
      <xdr:col>51</xdr:col>
      <xdr:colOff>125367</xdr:colOff>
      <xdr:row>138</xdr:row>
      <xdr:rowOff>133349</xdr:rowOff>
    </xdr:to>
    <xdr:sp macro="" textlink="">
      <xdr:nvSpPr>
        <xdr:cNvPr id="75881" name="135">
          <a:extLst>
            <a:ext uri="{FF2B5EF4-FFF2-40B4-BE49-F238E27FC236}">
              <a16:creationId xmlns:a16="http://schemas.microsoft.com/office/drawing/2014/main" id="{959C7F6B-6302-41B8-86E8-4184B8EFDDB8}"/>
            </a:ext>
          </a:extLst>
        </xdr:cNvPr>
        <xdr:cNvSpPr/>
      </xdr:nvSpPr>
      <xdr:spPr>
        <a:xfrm>
          <a:off x="12959443" y="21255989"/>
          <a:ext cx="8285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138</xdr:row>
      <xdr:rowOff>76199</xdr:rowOff>
    </xdr:from>
    <xdr:to>
      <xdr:col>46</xdr:col>
      <xdr:colOff>20683</xdr:colOff>
      <xdr:row>138</xdr:row>
      <xdr:rowOff>76199</xdr:rowOff>
    </xdr:to>
    <xdr:cxnSp macro="">
      <xdr:nvCxnSpPr>
        <xdr:cNvPr id="75882" name="직선 화살표 연결선 75881">
          <a:extLst>
            <a:ext uri="{FF2B5EF4-FFF2-40B4-BE49-F238E27FC236}">
              <a16:creationId xmlns:a16="http://schemas.microsoft.com/office/drawing/2014/main" id="{260400D8-3AD9-4DA0-8D4B-11F503935C4F}"/>
            </a:ext>
          </a:extLst>
        </xdr:cNvPr>
        <xdr:cNvCxnSpPr/>
      </xdr:nvCxnSpPr>
      <xdr:spPr>
        <a:xfrm>
          <a:off x="12959443" y="2131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137</xdr:row>
      <xdr:rowOff>19049</xdr:rowOff>
    </xdr:from>
    <xdr:to>
      <xdr:col>45</xdr:col>
      <xdr:colOff>125367</xdr:colOff>
      <xdr:row>137</xdr:row>
      <xdr:rowOff>133349</xdr:rowOff>
    </xdr:to>
    <xdr:sp macro="" textlink="">
      <xdr:nvSpPr>
        <xdr:cNvPr id="75883" name="134">
          <a:extLst>
            <a:ext uri="{FF2B5EF4-FFF2-40B4-BE49-F238E27FC236}">
              <a16:creationId xmlns:a16="http://schemas.microsoft.com/office/drawing/2014/main" id="{8F0440E2-438F-4212-BBC2-03B945088086}"/>
            </a:ext>
          </a:extLst>
        </xdr:cNvPr>
        <xdr:cNvSpPr/>
      </xdr:nvSpPr>
      <xdr:spPr>
        <a:xfrm>
          <a:off x="12090763" y="21103589"/>
          <a:ext cx="8285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137</xdr:row>
      <xdr:rowOff>76199</xdr:rowOff>
    </xdr:from>
    <xdr:to>
      <xdr:col>40</xdr:col>
      <xdr:colOff>20683</xdr:colOff>
      <xdr:row>137</xdr:row>
      <xdr:rowOff>76199</xdr:rowOff>
    </xdr:to>
    <xdr:cxnSp macro="">
      <xdr:nvCxnSpPr>
        <xdr:cNvPr id="75884" name="직선 화살표 연결선 75883">
          <a:extLst>
            <a:ext uri="{FF2B5EF4-FFF2-40B4-BE49-F238E27FC236}">
              <a16:creationId xmlns:a16="http://schemas.microsoft.com/office/drawing/2014/main" id="{C574C0A3-C68E-47AA-8640-6259CD4BA4C7}"/>
            </a:ext>
          </a:extLst>
        </xdr:cNvPr>
        <xdr:cNvCxnSpPr/>
      </xdr:nvCxnSpPr>
      <xdr:spPr>
        <a:xfrm>
          <a:off x="12090763" y="2116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136</xdr:row>
      <xdr:rowOff>19049</xdr:rowOff>
    </xdr:from>
    <xdr:to>
      <xdr:col>39</xdr:col>
      <xdr:colOff>125367</xdr:colOff>
      <xdr:row>136</xdr:row>
      <xdr:rowOff>133349</xdr:rowOff>
    </xdr:to>
    <xdr:sp macro="" textlink="">
      <xdr:nvSpPr>
        <xdr:cNvPr id="75885" name="133">
          <a:extLst>
            <a:ext uri="{FF2B5EF4-FFF2-40B4-BE49-F238E27FC236}">
              <a16:creationId xmlns:a16="http://schemas.microsoft.com/office/drawing/2014/main" id="{BEF0CF9E-2FDF-4BC9-AEFE-99C49C6BB9F8}"/>
            </a:ext>
          </a:extLst>
        </xdr:cNvPr>
        <xdr:cNvSpPr/>
      </xdr:nvSpPr>
      <xdr:spPr>
        <a:xfrm>
          <a:off x="11801203" y="209511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136</xdr:row>
      <xdr:rowOff>76199</xdr:rowOff>
    </xdr:from>
    <xdr:to>
      <xdr:col>38</xdr:col>
      <xdr:colOff>20683</xdr:colOff>
      <xdr:row>136</xdr:row>
      <xdr:rowOff>76199</xdr:rowOff>
    </xdr:to>
    <xdr:cxnSp macro="">
      <xdr:nvCxnSpPr>
        <xdr:cNvPr id="75886" name="직선 화살표 연결선 75885">
          <a:extLst>
            <a:ext uri="{FF2B5EF4-FFF2-40B4-BE49-F238E27FC236}">
              <a16:creationId xmlns:a16="http://schemas.microsoft.com/office/drawing/2014/main" id="{C4585CC4-266C-4DF5-96B0-4D395A01FA34}"/>
            </a:ext>
          </a:extLst>
        </xdr:cNvPr>
        <xdr:cNvCxnSpPr/>
      </xdr:nvCxnSpPr>
      <xdr:spPr>
        <a:xfrm>
          <a:off x="11801203" y="2100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135</xdr:row>
      <xdr:rowOff>19049</xdr:rowOff>
    </xdr:from>
    <xdr:to>
      <xdr:col>39</xdr:col>
      <xdr:colOff>125367</xdr:colOff>
      <xdr:row>135</xdr:row>
      <xdr:rowOff>133349</xdr:rowOff>
    </xdr:to>
    <xdr:sp macro="" textlink="">
      <xdr:nvSpPr>
        <xdr:cNvPr id="75887" name="132">
          <a:extLst>
            <a:ext uri="{FF2B5EF4-FFF2-40B4-BE49-F238E27FC236}">
              <a16:creationId xmlns:a16="http://schemas.microsoft.com/office/drawing/2014/main" id="{1B11F507-4B7A-4B5F-A4B3-7CA1A3F1DE6A}"/>
            </a:ext>
          </a:extLst>
        </xdr:cNvPr>
        <xdr:cNvSpPr/>
      </xdr:nvSpPr>
      <xdr:spPr>
        <a:xfrm>
          <a:off x="11801203" y="207987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135</xdr:row>
      <xdr:rowOff>76199</xdr:rowOff>
    </xdr:from>
    <xdr:to>
      <xdr:col>38</xdr:col>
      <xdr:colOff>20683</xdr:colOff>
      <xdr:row>135</xdr:row>
      <xdr:rowOff>76199</xdr:rowOff>
    </xdr:to>
    <xdr:cxnSp macro="">
      <xdr:nvCxnSpPr>
        <xdr:cNvPr id="75888" name="직선 화살표 연결선 75887">
          <a:extLst>
            <a:ext uri="{FF2B5EF4-FFF2-40B4-BE49-F238E27FC236}">
              <a16:creationId xmlns:a16="http://schemas.microsoft.com/office/drawing/2014/main" id="{6E0DAC00-7B1C-4946-958E-A318FF9A7307}"/>
            </a:ext>
          </a:extLst>
        </xdr:cNvPr>
        <xdr:cNvCxnSpPr/>
      </xdr:nvCxnSpPr>
      <xdr:spPr>
        <a:xfrm>
          <a:off x="11801203" y="2085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134</xdr:row>
      <xdr:rowOff>19049</xdr:rowOff>
    </xdr:from>
    <xdr:to>
      <xdr:col>37</xdr:col>
      <xdr:colOff>125367</xdr:colOff>
      <xdr:row>134</xdr:row>
      <xdr:rowOff>133349</xdr:rowOff>
    </xdr:to>
    <xdr:sp macro="" textlink="">
      <xdr:nvSpPr>
        <xdr:cNvPr id="75889" name="131">
          <a:extLst>
            <a:ext uri="{FF2B5EF4-FFF2-40B4-BE49-F238E27FC236}">
              <a16:creationId xmlns:a16="http://schemas.microsoft.com/office/drawing/2014/main" id="{1D960885-22E9-412D-B5E4-14630E477CC5}"/>
            </a:ext>
          </a:extLst>
        </xdr:cNvPr>
        <xdr:cNvSpPr/>
      </xdr:nvSpPr>
      <xdr:spPr>
        <a:xfrm>
          <a:off x="11511643" y="20646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134</xdr:row>
      <xdr:rowOff>76199</xdr:rowOff>
    </xdr:from>
    <xdr:to>
      <xdr:col>36</xdr:col>
      <xdr:colOff>20683</xdr:colOff>
      <xdr:row>134</xdr:row>
      <xdr:rowOff>76199</xdr:rowOff>
    </xdr:to>
    <xdr:cxnSp macro="">
      <xdr:nvCxnSpPr>
        <xdr:cNvPr id="75890" name="직선 화살표 연결선 75889">
          <a:extLst>
            <a:ext uri="{FF2B5EF4-FFF2-40B4-BE49-F238E27FC236}">
              <a16:creationId xmlns:a16="http://schemas.microsoft.com/office/drawing/2014/main" id="{74B1F2D2-993D-4F5D-8E25-3176D0ED3E47}"/>
            </a:ext>
          </a:extLst>
        </xdr:cNvPr>
        <xdr:cNvCxnSpPr/>
      </xdr:nvCxnSpPr>
      <xdr:spPr>
        <a:xfrm>
          <a:off x="11511643" y="2070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133</xdr:row>
      <xdr:rowOff>19049</xdr:rowOff>
    </xdr:from>
    <xdr:to>
      <xdr:col>37</xdr:col>
      <xdr:colOff>125367</xdr:colOff>
      <xdr:row>133</xdr:row>
      <xdr:rowOff>133349</xdr:rowOff>
    </xdr:to>
    <xdr:sp macro="" textlink="">
      <xdr:nvSpPr>
        <xdr:cNvPr id="75891" name="130">
          <a:extLst>
            <a:ext uri="{FF2B5EF4-FFF2-40B4-BE49-F238E27FC236}">
              <a16:creationId xmlns:a16="http://schemas.microsoft.com/office/drawing/2014/main" id="{C80A2EEF-C85F-4282-BD71-9726FA8EE8AD}"/>
            </a:ext>
          </a:extLst>
        </xdr:cNvPr>
        <xdr:cNvSpPr/>
      </xdr:nvSpPr>
      <xdr:spPr>
        <a:xfrm>
          <a:off x="11511643" y="204939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133</xdr:row>
      <xdr:rowOff>76199</xdr:rowOff>
    </xdr:from>
    <xdr:to>
      <xdr:col>36</xdr:col>
      <xdr:colOff>20683</xdr:colOff>
      <xdr:row>133</xdr:row>
      <xdr:rowOff>76199</xdr:rowOff>
    </xdr:to>
    <xdr:cxnSp macro="">
      <xdr:nvCxnSpPr>
        <xdr:cNvPr id="75892" name="직선 화살표 연결선 75891">
          <a:extLst>
            <a:ext uri="{FF2B5EF4-FFF2-40B4-BE49-F238E27FC236}">
              <a16:creationId xmlns:a16="http://schemas.microsoft.com/office/drawing/2014/main" id="{9A7316A6-1A4C-40E4-B6E3-AE4BFF30FBF6}"/>
            </a:ext>
          </a:extLst>
        </xdr:cNvPr>
        <xdr:cNvCxnSpPr/>
      </xdr:nvCxnSpPr>
      <xdr:spPr>
        <a:xfrm>
          <a:off x="11511643" y="2055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132</xdr:row>
      <xdr:rowOff>19049</xdr:rowOff>
    </xdr:from>
    <xdr:to>
      <xdr:col>36</xdr:col>
      <xdr:colOff>125367</xdr:colOff>
      <xdr:row>132</xdr:row>
      <xdr:rowOff>133349</xdr:rowOff>
    </xdr:to>
    <xdr:sp macro="" textlink="">
      <xdr:nvSpPr>
        <xdr:cNvPr id="75893" name="129">
          <a:extLst>
            <a:ext uri="{FF2B5EF4-FFF2-40B4-BE49-F238E27FC236}">
              <a16:creationId xmlns:a16="http://schemas.microsoft.com/office/drawing/2014/main" id="{C0BD6D54-FD3C-4EA0-A414-AB8376DC217C}"/>
            </a:ext>
          </a:extLst>
        </xdr:cNvPr>
        <xdr:cNvSpPr/>
      </xdr:nvSpPr>
      <xdr:spPr>
        <a:xfrm>
          <a:off x="11366863" y="203415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132</xdr:row>
      <xdr:rowOff>76199</xdr:rowOff>
    </xdr:from>
    <xdr:to>
      <xdr:col>35</xdr:col>
      <xdr:colOff>20683</xdr:colOff>
      <xdr:row>132</xdr:row>
      <xdr:rowOff>76199</xdr:rowOff>
    </xdr:to>
    <xdr:cxnSp macro="">
      <xdr:nvCxnSpPr>
        <xdr:cNvPr id="75894" name="직선 화살표 연결선 75893">
          <a:extLst>
            <a:ext uri="{FF2B5EF4-FFF2-40B4-BE49-F238E27FC236}">
              <a16:creationId xmlns:a16="http://schemas.microsoft.com/office/drawing/2014/main" id="{E1216EFB-5562-4455-AC9B-FE680F3B3D23}"/>
            </a:ext>
          </a:extLst>
        </xdr:cNvPr>
        <xdr:cNvCxnSpPr/>
      </xdr:nvCxnSpPr>
      <xdr:spPr>
        <a:xfrm>
          <a:off x="11366863" y="2039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131</xdr:row>
      <xdr:rowOff>19049</xdr:rowOff>
    </xdr:from>
    <xdr:to>
      <xdr:col>36</xdr:col>
      <xdr:colOff>125367</xdr:colOff>
      <xdr:row>131</xdr:row>
      <xdr:rowOff>133349</xdr:rowOff>
    </xdr:to>
    <xdr:sp macro="" textlink="">
      <xdr:nvSpPr>
        <xdr:cNvPr id="75895" name="128">
          <a:extLst>
            <a:ext uri="{FF2B5EF4-FFF2-40B4-BE49-F238E27FC236}">
              <a16:creationId xmlns:a16="http://schemas.microsoft.com/office/drawing/2014/main" id="{0702116F-A114-4921-8A28-5DD4BBC8A66C}"/>
            </a:ext>
          </a:extLst>
        </xdr:cNvPr>
        <xdr:cNvSpPr/>
      </xdr:nvSpPr>
      <xdr:spPr>
        <a:xfrm>
          <a:off x="11366863" y="201891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131</xdr:row>
      <xdr:rowOff>76199</xdr:rowOff>
    </xdr:from>
    <xdr:to>
      <xdr:col>35</xdr:col>
      <xdr:colOff>20683</xdr:colOff>
      <xdr:row>131</xdr:row>
      <xdr:rowOff>76199</xdr:rowOff>
    </xdr:to>
    <xdr:cxnSp macro="">
      <xdr:nvCxnSpPr>
        <xdr:cNvPr id="75896" name="직선 화살표 연결선 75895">
          <a:extLst>
            <a:ext uri="{FF2B5EF4-FFF2-40B4-BE49-F238E27FC236}">
              <a16:creationId xmlns:a16="http://schemas.microsoft.com/office/drawing/2014/main" id="{E46A7287-0933-462C-9DCB-5C1E12DFDC58}"/>
            </a:ext>
          </a:extLst>
        </xdr:cNvPr>
        <xdr:cNvCxnSpPr/>
      </xdr:nvCxnSpPr>
      <xdr:spPr>
        <a:xfrm>
          <a:off x="11366863" y="2024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129</xdr:row>
      <xdr:rowOff>19049</xdr:rowOff>
    </xdr:from>
    <xdr:to>
      <xdr:col>51</xdr:col>
      <xdr:colOff>125367</xdr:colOff>
      <xdr:row>129</xdr:row>
      <xdr:rowOff>133349</xdr:rowOff>
    </xdr:to>
    <xdr:sp macro="" textlink="">
      <xdr:nvSpPr>
        <xdr:cNvPr id="75897" name="126">
          <a:extLst>
            <a:ext uri="{FF2B5EF4-FFF2-40B4-BE49-F238E27FC236}">
              <a16:creationId xmlns:a16="http://schemas.microsoft.com/office/drawing/2014/main" id="{CDAC1951-6F24-45BF-AFB4-63DC02BFB3A0}"/>
            </a:ext>
          </a:extLst>
        </xdr:cNvPr>
        <xdr:cNvSpPr/>
      </xdr:nvSpPr>
      <xdr:spPr>
        <a:xfrm>
          <a:off x="11366863" y="19884389"/>
          <a:ext cx="24211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129</xdr:row>
      <xdr:rowOff>76199</xdr:rowOff>
    </xdr:from>
    <xdr:to>
      <xdr:col>35</xdr:col>
      <xdr:colOff>20683</xdr:colOff>
      <xdr:row>129</xdr:row>
      <xdr:rowOff>76199</xdr:rowOff>
    </xdr:to>
    <xdr:cxnSp macro="">
      <xdr:nvCxnSpPr>
        <xdr:cNvPr id="75898" name="직선 화살표 연결선 75897">
          <a:extLst>
            <a:ext uri="{FF2B5EF4-FFF2-40B4-BE49-F238E27FC236}">
              <a16:creationId xmlns:a16="http://schemas.microsoft.com/office/drawing/2014/main" id="{00C7863A-DB0F-49F8-8674-03C9E728124E}"/>
            </a:ext>
          </a:extLst>
        </xdr:cNvPr>
        <xdr:cNvCxnSpPr/>
      </xdr:nvCxnSpPr>
      <xdr:spPr>
        <a:xfrm>
          <a:off x="11366863" y="1994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128</xdr:row>
      <xdr:rowOff>19049</xdr:rowOff>
    </xdr:from>
    <xdr:to>
      <xdr:col>51</xdr:col>
      <xdr:colOff>125367</xdr:colOff>
      <xdr:row>128</xdr:row>
      <xdr:rowOff>133349</xdr:rowOff>
    </xdr:to>
    <xdr:sp macro="" textlink="">
      <xdr:nvSpPr>
        <xdr:cNvPr id="75899" name="125">
          <a:extLst>
            <a:ext uri="{FF2B5EF4-FFF2-40B4-BE49-F238E27FC236}">
              <a16:creationId xmlns:a16="http://schemas.microsoft.com/office/drawing/2014/main" id="{1E7A6A8E-1651-42A0-9B19-13D0FB98A4F6}"/>
            </a:ext>
          </a:extLst>
        </xdr:cNvPr>
        <xdr:cNvSpPr/>
      </xdr:nvSpPr>
      <xdr:spPr>
        <a:xfrm>
          <a:off x="11222083" y="19731989"/>
          <a:ext cx="25659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128</xdr:row>
      <xdr:rowOff>76199</xdr:rowOff>
    </xdr:from>
    <xdr:to>
      <xdr:col>34</xdr:col>
      <xdr:colOff>20683</xdr:colOff>
      <xdr:row>128</xdr:row>
      <xdr:rowOff>76199</xdr:rowOff>
    </xdr:to>
    <xdr:cxnSp macro="">
      <xdr:nvCxnSpPr>
        <xdr:cNvPr id="75900" name="직선 화살표 연결선 75899">
          <a:extLst>
            <a:ext uri="{FF2B5EF4-FFF2-40B4-BE49-F238E27FC236}">
              <a16:creationId xmlns:a16="http://schemas.microsoft.com/office/drawing/2014/main" id="{C42ABFA2-9442-4E33-B0A3-74673F247498}"/>
            </a:ext>
          </a:extLst>
        </xdr:cNvPr>
        <xdr:cNvCxnSpPr/>
      </xdr:nvCxnSpPr>
      <xdr:spPr>
        <a:xfrm>
          <a:off x="11222083" y="1978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127</xdr:row>
      <xdr:rowOff>19049</xdr:rowOff>
    </xdr:from>
    <xdr:to>
      <xdr:col>53</xdr:col>
      <xdr:colOff>125367</xdr:colOff>
      <xdr:row>127</xdr:row>
      <xdr:rowOff>133349</xdr:rowOff>
    </xdr:to>
    <xdr:sp macro="" textlink="">
      <xdr:nvSpPr>
        <xdr:cNvPr id="75901" name="124">
          <a:extLst>
            <a:ext uri="{FF2B5EF4-FFF2-40B4-BE49-F238E27FC236}">
              <a16:creationId xmlns:a16="http://schemas.microsoft.com/office/drawing/2014/main" id="{45173FFC-5C51-49CE-BBCF-5EB84C26A13F}"/>
            </a:ext>
          </a:extLst>
        </xdr:cNvPr>
        <xdr:cNvSpPr/>
      </xdr:nvSpPr>
      <xdr:spPr>
        <a:xfrm>
          <a:off x="11222083" y="19579589"/>
          <a:ext cx="28555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127</xdr:row>
      <xdr:rowOff>76199</xdr:rowOff>
    </xdr:from>
    <xdr:to>
      <xdr:col>34</xdr:col>
      <xdr:colOff>20683</xdr:colOff>
      <xdr:row>127</xdr:row>
      <xdr:rowOff>76199</xdr:rowOff>
    </xdr:to>
    <xdr:cxnSp macro="">
      <xdr:nvCxnSpPr>
        <xdr:cNvPr id="75902" name="직선 화살표 연결선 75901">
          <a:extLst>
            <a:ext uri="{FF2B5EF4-FFF2-40B4-BE49-F238E27FC236}">
              <a16:creationId xmlns:a16="http://schemas.microsoft.com/office/drawing/2014/main" id="{23A8CA13-1DCC-44AE-8D0A-7BB2C42EDA80}"/>
            </a:ext>
          </a:extLst>
        </xdr:cNvPr>
        <xdr:cNvCxnSpPr/>
      </xdr:nvCxnSpPr>
      <xdr:spPr>
        <a:xfrm>
          <a:off x="11222083" y="1963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126</xdr:row>
      <xdr:rowOff>19049</xdr:rowOff>
    </xdr:from>
    <xdr:to>
      <xdr:col>38</xdr:col>
      <xdr:colOff>125366</xdr:colOff>
      <xdr:row>126</xdr:row>
      <xdr:rowOff>133349</xdr:rowOff>
    </xdr:to>
    <xdr:sp macro="" textlink="">
      <xdr:nvSpPr>
        <xdr:cNvPr id="75903" name="123">
          <a:extLst>
            <a:ext uri="{FF2B5EF4-FFF2-40B4-BE49-F238E27FC236}">
              <a16:creationId xmlns:a16="http://schemas.microsoft.com/office/drawing/2014/main" id="{8B49DFDE-FA8A-4D82-9E86-7E1F36416CD5}"/>
            </a:ext>
          </a:extLst>
        </xdr:cNvPr>
        <xdr:cNvSpPr/>
      </xdr:nvSpPr>
      <xdr:spPr>
        <a:xfrm>
          <a:off x="11656423" y="19427189"/>
          <a:ext cx="249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126</xdr:row>
      <xdr:rowOff>76199</xdr:rowOff>
    </xdr:from>
    <xdr:to>
      <xdr:col>37</xdr:col>
      <xdr:colOff>20683</xdr:colOff>
      <xdr:row>126</xdr:row>
      <xdr:rowOff>76199</xdr:rowOff>
    </xdr:to>
    <xdr:cxnSp macro="">
      <xdr:nvCxnSpPr>
        <xdr:cNvPr id="75904" name="직선 화살표 연결선 75903">
          <a:extLst>
            <a:ext uri="{FF2B5EF4-FFF2-40B4-BE49-F238E27FC236}">
              <a16:creationId xmlns:a16="http://schemas.microsoft.com/office/drawing/2014/main" id="{0C18B6DE-A155-454A-BCEE-8ABA3641D90F}"/>
            </a:ext>
          </a:extLst>
        </xdr:cNvPr>
        <xdr:cNvCxnSpPr/>
      </xdr:nvCxnSpPr>
      <xdr:spPr>
        <a:xfrm>
          <a:off x="11656423" y="1948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125</xdr:row>
      <xdr:rowOff>19049</xdr:rowOff>
    </xdr:from>
    <xdr:to>
      <xdr:col>38</xdr:col>
      <xdr:colOff>125366</xdr:colOff>
      <xdr:row>125</xdr:row>
      <xdr:rowOff>133349</xdr:rowOff>
    </xdr:to>
    <xdr:sp macro="" textlink="">
      <xdr:nvSpPr>
        <xdr:cNvPr id="75905" name="122">
          <a:extLst>
            <a:ext uri="{FF2B5EF4-FFF2-40B4-BE49-F238E27FC236}">
              <a16:creationId xmlns:a16="http://schemas.microsoft.com/office/drawing/2014/main" id="{F5ABFA93-C00A-4A2F-B1FE-677FF97E3973}"/>
            </a:ext>
          </a:extLst>
        </xdr:cNvPr>
        <xdr:cNvSpPr/>
      </xdr:nvSpPr>
      <xdr:spPr>
        <a:xfrm>
          <a:off x="11656423" y="19274789"/>
          <a:ext cx="249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125</xdr:row>
      <xdr:rowOff>76199</xdr:rowOff>
    </xdr:from>
    <xdr:to>
      <xdr:col>37</xdr:col>
      <xdr:colOff>20683</xdr:colOff>
      <xdr:row>125</xdr:row>
      <xdr:rowOff>76199</xdr:rowOff>
    </xdr:to>
    <xdr:cxnSp macro="">
      <xdr:nvCxnSpPr>
        <xdr:cNvPr id="75906" name="직선 화살표 연결선 75905">
          <a:extLst>
            <a:ext uri="{FF2B5EF4-FFF2-40B4-BE49-F238E27FC236}">
              <a16:creationId xmlns:a16="http://schemas.microsoft.com/office/drawing/2014/main" id="{0357C3A8-1A09-4312-B422-32C22FABC4B4}"/>
            </a:ext>
          </a:extLst>
        </xdr:cNvPr>
        <xdr:cNvCxnSpPr/>
      </xdr:nvCxnSpPr>
      <xdr:spPr>
        <a:xfrm>
          <a:off x="11656423" y="1933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124</xdr:row>
      <xdr:rowOff>19049</xdr:rowOff>
    </xdr:from>
    <xdr:to>
      <xdr:col>36</xdr:col>
      <xdr:colOff>125367</xdr:colOff>
      <xdr:row>124</xdr:row>
      <xdr:rowOff>133349</xdr:rowOff>
    </xdr:to>
    <xdr:sp macro="" textlink="">
      <xdr:nvSpPr>
        <xdr:cNvPr id="75907" name="121">
          <a:extLst>
            <a:ext uri="{FF2B5EF4-FFF2-40B4-BE49-F238E27FC236}">
              <a16:creationId xmlns:a16="http://schemas.microsoft.com/office/drawing/2014/main" id="{2A6322A2-17D6-4997-AE9C-E507A767DFF2}"/>
            </a:ext>
          </a:extLst>
        </xdr:cNvPr>
        <xdr:cNvSpPr/>
      </xdr:nvSpPr>
      <xdr:spPr>
        <a:xfrm>
          <a:off x="11366863" y="19122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124</xdr:row>
      <xdr:rowOff>76199</xdr:rowOff>
    </xdr:from>
    <xdr:to>
      <xdr:col>35</xdr:col>
      <xdr:colOff>20683</xdr:colOff>
      <xdr:row>124</xdr:row>
      <xdr:rowOff>76199</xdr:rowOff>
    </xdr:to>
    <xdr:cxnSp macro="">
      <xdr:nvCxnSpPr>
        <xdr:cNvPr id="75908" name="직선 화살표 연결선 75907">
          <a:extLst>
            <a:ext uri="{FF2B5EF4-FFF2-40B4-BE49-F238E27FC236}">
              <a16:creationId xmlns:a16="http://schemas.microsoft.com/office/drawing/2014/main" id="{2CC23CD3-AC2A-4CB1-944E-5F2D521806D3}"/>
            </a:ext>
          </a:extLst>
        </xdr:cNvPr>
        <xdr:cNvCxnSpPr/>
      </xdr:nvCxnSpPr>
      <xdr:spPr>
        <a:xfrm>
          <a:off x="11366863" y="1917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123</xdr:row>
      <xdr:rowOff>19049</xdr:rowOff>
    </xdr:from>
    <xdr:to>
      <xdr:col>35</xdr:col>
      <xdr:colOff>125367</xdr:colOff>
      <xdr:row>123</xdr:row>
      <xdr:rowOff>133349</xdr:rowOff>
    </xdr:to>
    <xdr:sp macro="" textlink="">
      <xdr:nvSpPr>
        <xdr:cNvPr id="75909" name="120">
          <a:extLst>
            <a:ext uri="{FF2B5EF4-FFF2-40B4-BE49-F238E27FC236}">
              <a16:creationId xmlns:a16="http://schemas.microsoft.com/office/drawing/2014/main" id="{2066CD86-9CFA-4A94-8A51-ABE4AC0A4B0B}"/>
            </a:ext>
          </a:extLst>
        </xdr:cNvPr>
        <xdr:cNvSpPr/>
      </xdr:nvSpPr>
      <xdr:spPr>
        <a:xfrm>
          <a:off x="11222083" y="189699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123</xdr:row>
      <xdr:rowOff>76199</xdr:rowOff>
    </xdr:from>
    <xdr:to>
      <xdr:col>34</xdr:col>
      <xdr:colOff>20683</xdr:colOff>
      <xdr:row>123</xdr:row>
      <xdr:rowOff>76199</xdr:rowOff>
    </xdr:to>
    <xdr:cxnSp macro="">
      <xdr:nvCxnSpPr>
        <xdr:cNvPr id="75910" name="직선 화살표 연결선 75909">
          <a:extLst>
            <a:ext uri="{FF2B5EF4-FFF2-40B4-BE49-F238E27FC236}">
              <a16:creationId xmlns:a16="http://schemas.microsoft.com/office/drawing/2014/main" id="{9CBAF964-95DF-4D49-AA72-194A154DC215}"/>
            </a:ext>
          </a:extLst>
        </xdr:cNvPr>
        <xdr:cNvCxnSpPr/>
      </xdr:nvCxnSpPr>
      <xdr:spPr>
        <a:xfrm>
          <a:off x="11222083" y="1902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122</xdr:row>
      <xdr:rowOff>19049</xdr:rowOff>
    </xdr:from>
    <xdr:to>
      <xdr:col>35</xdr:col>
      <xdr:colOff>125367</xdr:colOff>
      <xdr:row>122</xdr:row>
      <xdr:rowOff>133349</xdr:rowOff>
    </xdr:to>
    <xdr:sp macro="" textlink="">
      <xdr:nvSpPr>
        <xdr:cNvPr id="75911" name="119">
          <a:extLst>
            <a:ext uri="{FF2B5EF4-FFF2-40B4-BE49-F238E27FC236}">
              <a16:creationId xmlns:a16="http://schemas.microsoft.com/office/drawing/2014/main" id="{C720D535-ADA4-475F-B8DB-5E465F7D4132}"/>
            </a:ext>
          </a:extLst>
        </xdr:cNvPr>
        <xdr:cNvSpPr/>
      </xdr:nvSpPr>
      <xdr:spPr>
        <a:xfrm>
          <a:off x="11222083" y="188175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122</xdr:row>
      <xdr:rowOff>76199</xdr:rowOff>
    </xdr:from>
    <xdr:to>
      <xdr:col>34</xdr:col>
      <xdr:colOff>20683</xdr:colOff>
      <xdr:row>122</xdr:row>
      <xdr:rowOff>76199</xdr:rowOff>
    </xdr:to>
    <xdr:cxnSp macro="">
      <xdr:nvCxnSpPr>
        <xdr:cNvPr id="75912" name="직선 화살표 연결선 75911">
          <a:extLst>
            <a:ext uri="{FF2B5EF4-FFF2-40B4-BE49-F238E27FC236}">
              <a16:creationId xmlns:a16="http://schemas.microsoft.com/office/drawing/2014/main" id="{1D4F6366-3EE8-4D06-B37B-8D943BBCB894}"/>
            </a:ext>
          </a:extLst>
        </xdr:cNvPr>
        <xdr:cNvCxnSpPr/>
      </xdr:nvCxnSpPr>
      <xdr:spPr>
        <a:xfrm>
          <a:off x="11222083" y="1887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121</xdr:row>
      <xdr:rowOff>19049</xdr:rowOff>
    </xdr:from>
    <xdr:to>
      <xdr:col>35</xdr:col>
      <xdr:colOff>125367</xdr:colOff>
      <xdr:row>121</xdr:row>
      <xdr:rowOff>133349</xdr:rowOff>
    </xdr:to>
    <xdr:sp macro="" textlink="">
      <xdr:nvSpPr>
        <xdr:cNvPr id="75913" name="118">
          <a:extLst>
            <a:ext uri="{FF2B5EF4-FFF2-40B4-BE49-F238E27FC236}">
              <a16:creationId xmlns:a16="http://schemas.microsoft.com/office/drawing/2014/main" id="{34598AF9-788A-4EC2-AB5F-A32C4275D563}"/>
            </a:ext>
          </a:extLst>
        </xdr:cNvPr>
        <xdr:cNvSpPr/>
      </xdr:nvSpPr>
      <xdr:spPr>
        <a:xfrm>
          <a:off x="11222083" y="18665189"/>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121</xdr:row>
      <xdr:rowOff>76199</xdr:rowOff>
    </xdr:from>
    <xdr:to>
      <xdr:col>34</xdr:col>
      <xdr:colOff>20683</xdr:colOff>
      <xdr:row>121</xdr:row>
      <xdr:rowOff>76199</xdr:rowOff>
    </xdr:to>
    <xdr:cxnSp macro="">
      <xdr:nvCxnSpPr>
        <xdr:cNvPr id="75914" name="직선 화살표 연결선 75913">
          <a:extLst>
            <a:ext uri="{FF2B5EF4-FFF2-40B4-BE49-F238E27FC236}">
              <a16:creationId xmlns:a16="http://schemas.microsoft.com/office/drawing/2014/main" id="{C15EBFDC-3C88-45B4-A440-5A4369EE0473}"/>
            </a:ext>
          </a:extLst>
        </xdr:cNvPr>
        <xdr:cNvCxnSpPr/>
      </xdr:nvCxnSpPr>
      <xdr:spPr>
        <a:xfrm>
          <a:off x="11222083" y="1872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117</xdr:row>
      <xdr:rowOff>19049</xdr:rowOff>
    </xdr:from>
    <xdr:to>
      <xdr:col>38</xdr:col>
      <xdr:colOff>125366</xdr:colOff>
      <xdr:row>117</xdr:row>
      <xdr:rowOff>133349</xdr:rowOff>
    </xdr:to>
    <xdr:sp macro="" textlink="">
      <xdr:nvSpPr>
        <xdr:cNvPr id="75915" name="114">
          <a:extLst>
            <a:ext uri="{FF2B5EF4-FFF2-40B4-BE49-F238E27FC236}">
              <a16:creationId xmlns:a16="http://schemas.microsoft.com/office/drawing/2014/main" id="{995D5DE0-073A-453A-88AE-F0299A1EE0DD}"/>
            </a:ext>
          </a:extLst>
        </xdr:cNvPr>
        <xdr:cNvSpPr/>
      </xdr:nvSpPr>
      <xdr:spPr>
        <a:xfrm>
          <a:off x="11222083" y="18055589"/>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117</xdr:row>
      <xdr:rowOff>76199</xdr:rowOff>
    </xdr:from>
    <xdr:to>
      <xdr:col>34</xdr:col>
      <xdr:colOff>20683</xdr:colOff>
      <xdr:row>117</xdr:row>
      <xdr:rowOff>76199</xdr:rowOff>
    </xdr:to>
    <xdr:cxnSp macro="">
      <xdr:nvCxnSpPr>
        <xdr:cNvPr id="75916" name="직선 화살표 연결선 75915">
          <a:extLst>
            <a:ext uri="{FF2B5EF4-FFF2-40B4-BE49-F238E27FC236}">
              <a16:creationId xmlns:a16="http://schemas.microsoft.com/office/drawing/2014/main" id="{5A5EA349-EA74-4AE6-BCBC-623981718182}"/>
            </a:ext>
          </a:extLst>
        </xdr:cNvPr>
        <xdr:cNvCxnSpPr/>
      </xdr:nvCxnSpPr>
      <xdr:spPr>
        <a:xfrm>
          <a:off x="11222083" y="1811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116</xdr:row>
      <xdr:rowOff>19049</xdr:rowOff>
    </xdr:from>
    <xdr:to>
      <xdr:col>34</xdr:col>
      <xdr:colOff>125367</xdr:colOff>
      <xdr:row>116</xdr:row>
      <xdr:rowOff>133349</xdr:rowOff>
    </xdr:to>
    <xdr:sp macro="" textlink="">
      <xdr:nvSpPr>
        <xdr:cNvPr id="75917" name="113">
          <a:extLst>
            <a:ext uri="{FF2B5EF4-FFF2-40B4-BE49-F238E27FC236}">
              <a16:creationId xmlns:a16="http://schemas.microsoft.com/office/drawing/2014/main" id="{A5454686-9DC3-4AAF-BD75-EC12CD686121}"/>
            </a:ext>
          </a:extLst>
        </xdr:cNvPr>
        <xdr:cNvSpPr/>
      </xdr:nvSpPr>
      <xdr:spPr>
        <a:xfrm>
          <a:off x="11077303" y="179031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116</xdr:row>
      <xdr:rowOff>76199</xdr:rowOff>
    </xdr:from>
    <xdr:to>
      <xdr:col>33</xdr:col>
      <xdr:colOff>20683</xdr:colOff>
      <xdr:row>116</xdr:row>
      <xdr:rowOff>76199</xdr:rowOff>
    </xdr:to>
    <xdr:cxnSp macro="">
      <xdr:nvCxnSpPr>
        <xdr:cNvPr id="75918" name="직선 화살표 연결선 75917">
          <a:extLst>
            <a:ext uri="{FF2B5EF4-FFF2-40B4-BE49-F238E27FC236}">
              <a16:creationId xmlns:a16="http://schemas.microsoft.com/office/drawing/2014/main" id="{8169CE5E-A4FB-4712-B6BF-86FAFFB1D4C9}"/>
            </a:ext>
          </a:extLst>
        </xdr:cNvPr>
        <xdr:cNvCxnSpPr/>
      </xdr:nvCxnSpPr>
      <xdr:spPr>
        <a:xfrm>
          <a:off x="11077303" y="1796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115</xdr:row>
      <xdr:rowOff>19049</xdr:rowOff>
    </xdr:from>
    <xdr:to>
      <xdr:col>34</xdr:col>
      <xdr:colOff>125367</xdr:colOff>
      <xdr:row>115</xdr:row>
      <xdr:rowOff>133349</xdr:rowOff>
    </xdr:to>
    <xdr:sp macro="" textlink="">
      <xdr:nvSpPr>
        <xdr:cNvPr id="75919" name="112">
          <a:extLst>
            <a:ext uri="{FF2B5EF4-FFF2-40B4-BE49-F238E27FC236}">
              <a16:creationId xmlns:a16="http://schemas.microsoft.com/office/drawing/2014/main" id="{DE29650A-B34B-4B03-B55C-85F663A39471}"/>
            </a:ext>
          </a:extLst>
        </xdr:cNvPr>
        <xdr:cNvSpPr/>
      </xdr:nvSpPr>
      <xdr:spPr>
        <a:xfrm>
          <a:off x="11077303" y="177507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115</xdr:row>
      <xdr:rowOff>76199</xdr:rowOff>
    </xdr:from>
    <xdr:to>
      <xdr:col>33</xdr:col>
      <xdr:colOff>20683</xdr:colOff>
      <xdr:row>115</xdr:row>
      <xdr:rowOff>76199</xdr:rowOff>
    </xdr:to>
    <xdr:cxnSp macro="">
      <xdr:nvCxnSpPr>
        <xdr:cNvPr id="75920" name="직선 화살표 연결선 75919">
          <a:extLst>
            <a:ext uri="{FF2B5EF4-FFF2-40B4-BE49-F238E27FC236}">
              <a16:creationId xmlns:a16="http://schemas.microsoft.com/office/drawing/2014/main" id="{A78486E7-CB81-4065-AB8B-2309C0A8396B}"/>
            </a:ext>
          </a:extLst>
        </xdr:cNvPr>
        <xdr:cNvCxnSpPr/>
      </xdr:nvCxnSpPr>
      <xdr:spPr>
        <a:xfrm>
          <a:off x="11077303" y="1780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114</xdr:row>
      <xdr:rowOff>19049</xdr:rowOff>
    </xdr:from>
    <xdr:to>
      <xdr:col>34</xdr:col>
      <xdr:colOff>125367</xdr:colOff>
      <xdr:row>114</xdr:row>
      <xdr:rowOff>133349</xdr:rowOff>
    </xdr:to>
    <xdr:sp macro="" textlink="">
      <xdr:nvSpPr>
        <xdr:cNvPr id="75921" name="111">
          <a:extLst>
            <a:ext uri="{FF2B5EF4-FFF2-40B4-BE49-F238E27FC236}">
              <a16:creationId xmlns:a16="http://schemas.microsoft.com/office/drawing/2014/main" id="{181C456A-EA20-44C1-A488-F006373A75B4}"/>
            </a:ext>
          </a:extLst>
        </xdr:cNvPr>
        <xdr:cNvSpPr/>
      </xdr:nvSpPr>
      <xdr:spPr>
        <a:xfrm>
          <a:off x="11077303" y="17598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114</xdr:row>
      <xdr:rowOff>76199</xdr:rowOff>
    </xdr:from>
    <xdr:to>
      <xdr:col>33</xdr:col>
      <xdr:colOff>20683</xdr:colOff>
      <xdr:row>114</xdr:row>
      <xdr:rowOff>76199</xdr:rowOff>
    </xdr:to>
    <xdr:cxnSp macro="">
      <xdr:nvCxnSpPr>
        <xdr:cNvPr id="75922" name="직선 화살표 연결선 75921">
          <a:extLst>
            <a:ext uri="{FF2B5EF4-FFF2-40B4-BE49-F238E27FC236}">
              <a16:creationId xmlns:a16="http://schemas.microsoft.com/office/drawing/2014/main" id="{446FD5BF-04A1-476B-8F96-E26A6E4F2B23}"/>
            </a:ext>
          </a:extLst>
        </xdr:cNvPr>
        <xdr:cNvCxnSpPr/>
      </xdr:nvCxnSpPr>
      <xdr:spPr>
        <a:xfrm>
          <a:off x="11077303" y="1765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113</xdr:row>
      <xdr:rowOff>19049</xdr:rowOff>
    </xdr:from>
    <xdr:to>
      <xdr:col>34</xdr:col>
      <xdr:colOff>125367</xdr:colOff>
      <xdr:row>113</xdr:row>
      <xdr:rowOff>133349</xdr:rowOff>
    </xdr:to>
    <xdr:sp macro="" textlink="">
      <xdr:nvSpPr>
        <xdr:cNvPr id="75923" name="110">
          <a:extLst>
            <a:ext uri="{FF2B5EF4-FFF2-40B4-BE49-F238E27FC236}">
              <a16:creationId xmlns:a16="http://schemas.microsoft.com/office/drawing/2014/main" id="{28774FF4-50EB-4A89-8A38-504C6111DF52}"/>
            </a:ext>
          </a:extLst>
        </xdr:cNvPr>
        <xdr:cNvSpPr/>
      </xdr:nvSpPr>
      <xdr:spPr>
        <a:xfrm>
          <a:off x="10932523" y="174459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113</xdr:row>
      <xdr:rowOff>76199</xdr:rowOff>
    </xdr:from>
    <xdr:to>
      <xdr:col>32</xdr:col>
      <xdr:colOff>20683</xdr:colOff>
      <xdr:row>113</xdr:row>
      <xdr:rowOff>76199</xdr:rowOff>
    </xdr:to>
    <xdr:cxnSp macro="">
      <xdr:nvCxnSpPr>
        <xdr:cNvPr id="75924" name="직선 화살표 연결선 75923">
          <a:extLst>
            <a:ext uri="{FF2B5EF4-FFF2-40B4-BE49-F238E27FC236}">
              <a16:creationId xmlns:a16="http://schemas.microsoft.com/office/drawing/2014/main" id="{06A77AB9-9D42-4768-9168-47EB073DBC0E}"/>
            </a:ext>
          </a:extLst>
        </xdr:cNvPr>
        <xdr:cNvCxnSpPr/>
      </xdr:nvCxnSpPr>
      <xdr:spPr>
        <a:xfrm>
          <a:off x="10932523" y="1750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112</xdr:row>
      <xdr:rowOff>19049</xdr:rowOff>
    </xdr:from>
    <xdr:to>
      <xdr:col>34</xdr:col>
      <xdr:colOff>125367</xdr:colOff>
      <xdr:row>112</xdr:row>
      <xdr:rowOff>133349</xdr:rowOff>
    </xdr:to>
    <xdr:sp macro="" textlink="">
      <xdr:nvSpPr>
        <xdr:cNvPr id="75925" name="109">
          <a:extLst>
            <a:ext uri="{FF2B5EF4-FFF2-40B4-BE49-F238E27FC236}">
              <a16:creationId xmlns:a16="http://schemas.microsoft.com/office/drawing/2014/main" id="{6DB7F588-212A-4EAE-B8AA-A1D93404D03E}"/>
            </a:ext>
          </a:extLst>
        </xdr:cNvPr>
        <xdr:cNvSpPr/>
      </xdr:nvSpPr>
      <xdr:spPr>
        <a:xfrm>
          <a:off x="10787743" y="172935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112</xdr:row>
      <xdr:rowOff>76199</xdr:rowOff>
    </xdr:from>
    <xdr:to>
      <xdr:col>31</xdr:col>
      <xdr:colOff>20683</xdr:colOff>
      <xdr:row>112</xdr:row>
      <xdr:rowOff>76199</xdr:rowOff>
    </xdr:to>
    <xdr:cxnSp macro="">
      <xdr:nvCxnSpPr>
        <xdr:cNvPr id="75926" name="직선 화살표 연결선 75925">
          <a:extLst>
            <a:ext uri="{FF2B5EF4-FFF2-40B4-BE49-F238E27FC236}">
              <a16:creationId xmlns:a16="http://schemas.microsoft.com/office/drawing/2014/main" id="{3FAEBDE8-E8BB-4658-9AEF-278E00B64B6A}"/>
            </a:ext>
          </a:extLst>
        </xdr:cNvPr>
        <xdr:cNvCxnSpPr/>
      </xdr:nvCxnSpPr>
      <xdr:spPr>
        <a:xfrm>
          <a:off x="10787743" y="1735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111</xdr:row>
      <xdr:rowOff>19049</xdr:rowOff>
    </xdr:from>
    <xdr:to>
      <xdr:col>34</xdr:col>
      <xdr:colOff>125367</xdr:colOff>
      <xdr:row>111</xdr:row>
      <xdr:rowOff>133349</xdr:rowOff>
    </xdr:to>
    <xdr:sp macro="" textlink="">
      <xdr:nvSpPr>
        <xdr:cNvPr id="75927" name="108">
          <a:extLst>
            <a:ext uri="{FF2B5EF4-FFF2-40B4-BE49-F238E27FC236}">
              <a16:creationId xmlns:a16="http://schemas.microsoft.com/office/drawing/2014/main" id="{9124DE8F-4B0C-45A0-9533-2CFF40E216E2}"/>
            </a:ext>
          </a:extLst>
        </xdr:cNvPr>
        <xdr:cNvSpPr/>
      </xdr:nvSpPr>
      <xdr:spPr>
        <a:xfrm>
          <a:off x="10787743" y="17141189"/>
          <a:ext cx="5390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111</xdr:row>
      <xdr:rowOff>76199</xdr:rowOff>
    </xdr:from>
    <xdr:to>
      <xdr:col>31</xdr:col>
      <xdr:colOff>20683</xdr:colOff>
      <xdr:row>111</xdr:row>
      <xdr:rowOff>76199</xdr:rowOff>
    </xdr:to>
    <xdr:cxnSp macro="">
      <xdr:nvCxnSpPr>
        <xdr:cNvPr id="75928" name="직선 화살표 연결선 75927">
          <a:extLst>
            <a:ext uri="{FF2B5EF4-FFF2-40B4-BE49-F238E27FC236}">
              <a16:creationId xmlns:a16="http://schemas.microsoft.com/office/drawing/2014/main" id="{25F09565-F76E-43D1-AADC-FFF40B18A583}"/>
            </a:ext>
          </a:extLst>
        </xdr:cNvPr>
        <xdr:cNvCxnSpPr/>
      </xdr:nvCxnSpPr>
      <xdr:spPr>
        <a:xfrm>
          <a:off x="10787743" y="1719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110</xdr:row>
      <xdr:rowOff>19049</xdr:rowOff>
    </xdr:from>
    <xdr:to>
      <xdr:col>38</xdr:col>
      <xdr:colOff>125366</xdr:colOff>
      <xdr:row>110</xdr:row>
      <xdr:rowOff>133349</xdr:rowOff>
    </xdr:to>
    <xdr:sp macro="" textlink="">
      <xdr:nvSpPr>
        <xdr:cNvPr id="75929" name="107">
          <a:extLst>
            <a:ext uri="{FF2B5EF4-FFF2-40B4-BE49-F238E27FC236}">
              <a16:creationId xmlns:a16="http://schemas.microsoft.com/office/drawing/2014/main" id="{F67EFA91-6657-456C-96FB-02E3FDAA7044}"/>
            </a:ext>
          </a:extLst>
        </xdr:cNvPr>
        <xdr:cNvSpPr/>
      </xdr:nvSpPr>
      <xdr:spPr>
        <a:xfrm>
          <a:off x="10787743" y="16988789"/>
          <a:ext cx="11181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110</xdr:row>
      <xdr:rowOff>76199</xdr:rowOff>
    </xdr:from>
    <xdr:to>
      <xdr:col>31</xdr:col>
      <xdr:colOff>20683</xdr:colOff>
      <xdr:row>110</xdr:row>
      <xdr:rowOff>76199</xdr:rowOff>
    </xdr:to>
    <xdr:cxnSp macro="">
      <xdr:nvCxnSpPr>
        <xdr:cNvPr id="75930" name="직선 화살표 연결선 75929">
          <a:extLst>
            <a:ext uri="{FF2B5EF4-FFF2-40B4-BE49-F238E27FC236}">
              <a16:creationId xmlns:a16="http://schemas.microsoft.com/office/drawing/2014/main" id="{67DBCC18-8EBA-4F3B-93C9-9C5CA084A505}"/>
            </a:ext>
          </a:extLst>
        </xdr:cNvPr>
        <xdr:cNvCxnSpPr/>
      </xdr:nvCxnSpPr>
      <xdr:spPr>
        <a:xfrm>
          <a:off x="10787743" y="1704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109</xdr:row>
      <xdr:rowOff>19049</xdr:rowOff>
    </xdr:from>
    <xdr:to>
      <xdr:col>53</xdr:col>
      <xdr:colOff>125367</xdr:colOff>
      <xdr:row>109</xdr:row>
      <xdr:rowOff>133349</xdr:rowOff>
    </xdr:to>
    <xdr:sp macro="" textlink="">
      <xdr:nvSpPr>
        <xdr:cNvPr id="75931" name="106">
          <a:extLst>
            <a:ext uri="{FF2B5EF4-FFF2-40B4-BE49-F238E27FC236}">
              <a16:creationId xmlns:a16="http://schemas.microsoft.com/office/drawing/2014/main" id="{AA5F1F6D-24F0-485E-9385-0F8AECACA9AF}"/>
            </a:ext>
          </a:extLst>
        </xdr:cNvPr>
        <xdr:cNvSpPr/>
      </xdr:nvSpPr>
      <xdr:spPr>
        <a:xfrm>
          <a:off x="10787743" y="16836389"/>
          <a:ext cx="32898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109</xdr:row>
      <xdr:rowOff>76199</xdr:rowOff>
    </xdr:from>
    <xdr:to>
      <xdr:col>31</xdr:col>
      <xdr:colOff>20683</xdr:colOff>
      <xdr:row>109</xdr:row>
      <xdr:rowOff>76199</xdr:rowOff>
    </xdr:to>
    <xdr:cxnSp macro="">
      <xdr:nvCxnSpPr>
        <xdr:cNvPr id="75932" name="직선 화살표 연결선 75931">
          <a:extLst>
            <a:ext uri="{FF2B5EF4-FFF2-40B4-BE49-F238E27FC236}">
              <a16:creationId xmlns:a16="http://schemas.microsoft.com/office/drawing/2014/main" id="{A3FFF939-D207-4040-9129-006F1E0236EE}"/>
            </a:ext>
          </a:extLst>
        </xdr:cNvPr>
        <xdr:cNvCxnSpPr/>
      </xdr:nvCxnSpPr>
      <xdr:spPr>
        <a:xfrm>
          <a:off x="10787743" y="1689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20683</xdr:colOff>
      <xdr:row>108</xdr:row>
      <xdr:rowOff>19049</xdr:rowOff>
    </xdr:from>
    <xdr:to>
      <xdr:col>82</xdr:col>
      <xdr:colOff>125367</xdr:colOff>
      <xdr:row>108</xdr:row>
      <xdr:rowOff>133349</xdr:rowOff>
    </xdr:to>
    <xdr:sp macro="" textlink="">
      <xdr:nvSpPr>
        <xdr:cNvPr id="75933" name="105">
          <a:extLst>
            <a:ext uri="{FF2B5EF4-FFF2-40B4-BE49-F238E27FC236}">
              <a16:creationId xmlns:a16="http://schemas.microsoft.com/office/drawing/2014/main" id="{DED2335A-5455-438E-944A-FAEE97DA3C76}"/>
            </a:ext>
          </a:extLst>
        </xdr:cNvPr>
        <xdr:cNvSpPr/>
      </xdr:nvSpPr>
      <xdr:spPr>
        <a:xfrm>
          <a:off x="18171523" y="166839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82</xdr:col>
      <xdr:colOff>20683</xdr:colOff>
      <xdr:row>108</xdr:row>
      <xdr:rowOff>76199</xdr:rowOff>
    </xdr:from>
    <xdr:to>
      <xdr:col>82</xdr:col>
      <xdr:colOff>20683</xdr:colOff>
      <xdr:row>108</xdr:row>
      <xdr:rowOff>76199</xdr:rowOff>
    </xdr:to>
    <xdr:cxnSp macro="">
      <xdr:nvCxnSpPr>
        <xdr:cNvPr id="75934" name="직선 화살표 연결선 75933">
          <a:extLst>
            <a:ext uri="{FF2B5EF4-FFF2-40B4-BE49-F238E27FC236}">
              <a16:creationId xmlns:a16="http://schemas.microsoft.com/office/drawing/2014/main" id="{DF0FC009-5036-4C88-A1CE-74C394C8F225}"/>
            </a:ext>
          </a:extLst>
        </xdr:cNvPr>
        <xdr:cNvCxnSpPr/>
      </xdr:nvCxnSpPr>
      <xdr:spPr>
        <a:xfrm>
          <a:off x="18171523" y="1674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82732</xdr:colOff>
      <xdr:row>107</xdr:row>
      <xdr:rowOff>19049</xdr:rowOff>
    </xdr:from>
    <xdr:to>
      <xdr:col>81</xdr:col>
      <xdr:colOff>125367</xdr:colOff>
      <xdr:row>107</xdr:row>
      <xdr:rowOff>133349</xdr:rowOff>
    </xdr:to>
    <xdr:sp macro="" textlink="">
      <xdr:nvSpPr>
        <xdr:cNvPr id="75935" name="104">
          <a:extLst>
            <a:ext uri="{FF2B5EF4-FFF2-40B4-BE49-F238E27FC236}">
              <a16:creationId xmlns:a16="http://schemas.microsoft.com/office/drawing/2014/main" id="{1F16FE4C-00E8-454D-897D-D6BF3B188BAA}"/>
            </a:ext>
          </a:extLst>
        </xdr:cNvPr>
        <xdr:cNvSpPr/>
      </xdr:nvSpPr>
      <xdr:spPr>
        <a:xfrm>
          <a:off x="18088792" y="16531589"/>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82732</xdr:colOff>
      <xdr:row>107</xdr:row>
      <xdr:rowOff>76199</xdr:rowOff>
    </xdr:from>
    <xdr:to>
      <xdr:col>81</xdr:col>
      <xdr:colOff>82732</xdr:colOff>
      <xdr:row>107</xdr:row>
      <xdr:rowOff>76199</xdr:rowOff>
    </xdr:to>
    <xdr:cxnSp macro="">
      <xdr:nvCxnSpPr>
        <xdr:cNvPr id="75936" name="직선 화살표 연결선 75935">
          <a:extLst>
            <a:ext uri="{FF2B5EF4-FFF2-40B4-BE49-F238E27FC236}">
              <a16:creationId xmlns:a16="http://schemas.microsoft.com/office/drawing/2014/main" id="{C38B58F0-6766-4A2D-AB12-221BEDA76948}"/>
            </a:ext>
          </a:extLst>
        </xdr:cNvPr>
        <xdr:cNvCxnSpPr/>
      </xdr:nvCxnSpPr>
      <xdr:spPr>
        <a:xfrm>
          <a:off x="18088792" y="1658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82732</xdr:colOff>
      <xdr:row>106</xdr:row>
      <xdr:rowOff>19049</xdr:rowOff>
    </xdr:from>
    <xdr:to>
      <xdr:col>82</xdr:col>
      <xdr:colOff>125367</xdr:colOff>
      <xdr:row>106</xdr:row>
      <xdr:rowOff>133349</xdr:rowOff>
    </xdr:to>
    <xdr:sp macro="" textlink="">
      <xdr:nvSpPr>
        <xdr:cNvPr id="75937" name="103">
          <a:extLst>
            <a:ext uri="{FF2B5EF4-FFF2-40B4-BE49-F238E27FC236}">
              <a16:creationId xmlns:a16="http://schemas.microsoft.com/office/drawing/2014/main" id="{D3540F66-1C8F-41A2-9B8B-47A025FA8EC6}"/>
            </a:ext>
          </a:extLst>
        </xdr:cNvPr>
        <xdr:cNvSpPr/>
      </xdr:nvSpPr>
      <xdr:spPr>
        <a:xfrm>
          <a:off x="18088792" y="16379189"/>
          <a:ext cx="1874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82732</xdr:colOff>
      <xdr:row>106</xdr:row>
      <xdr:rowOff>76199</xdr:rowOff>
    </xdr:from>
    <xdr:to>
      <xdr:col>81</xdr:col>
      <xdr:colOff>82732</xdr:colOff>
      <xdr:row>106</xdr:row>
      <xdr:rowOff>76199</xdr:rowOff>
    </xdr:to>
    <xdr:cxnSp macro="">
      <xdr:nvCxnSpPr>
        <xdr:cNvPr id="75938" name="직선 화살표 연결선 75937">
          <a:extLst>
            <a:ext uri="{FF2B5EF4-FFF2-40B4-BE49-F238E27FC236}">
              <a16:creationId xmlns:a16="http://schemas.microsoft.com/office/drawing/2014/main" id="{D69907F7-6917-4E25-9ABE-CE228072830A}"/>
            </a:ext>
          </a:extLst>
        </xdr:cNvPr>
        <xdr:cNvCxnSpPr/>
      </xdr:nvCxnSpPr>
      <xdr:spPr>
        <a:xfrm>
          <a:off x="18088792" y="1643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82732</xdr:colOff>
      <xdr:row>105</xdr:row>
      <xdr:rowOff>19049</xdr:rowOff>
    </xdr:from>
    <xdr:to>
      <xdr:col>82</xdr:col>
      <xdr:colOff>125367</xdr:colOff>
      <xdr:row>105</xdr:row>
      <xdr:rowOff>133349</xdr:rowOff>
    </xdr:to>
    <xdr:sp macro="" textlink="">
      <xdr:nvSpPr>
        <xdr:cNvPr id="75939" name="102">
          <a:extLst>
            <a:ext uri="{FF2B5EF4-FFF2-40B4-BE49-F238E27FC236}">
              <a16:creationId xmlns:a16="http://schemas.microsoft.com/office/drawing/2014/main" id="{E549962C-BD2F-4ABB-ACC7-27837CD47416}"/>
            </a:ext>
          </a:extLst>
        </xdr:cNvPr>
        <xdr:cNvSpPr/>
      </xdr:nvSpPr>
      <xdr:spPr>
        <a:xfrm>
          <a:off x="18088792" y="16226789"/>
          <a:ext cx="1874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82732</xdr:colOff>
      <xdr:row>105</xdr:row>
      <xdr:rowOff>76199</xdr:rowOff>
    </xdr:from>
    <xdr:to>
      <xdr:col>81</xdr:col>
      <xdr:colOff>82732</xdr:colOff>
      <xdr:row>105</xdr:row>
      <xdr:rowOff>76199</xdr:rowOff>
    </xdr:to>
    <xdr:cxnSp macro="">
      <xdr:nvCxnSpPr>
        <xdr:cNvPr id="75940" name="직선 화살표 연결선 75939">
          <a:extLst>
            <a:ext uri="{FF2B5EF4-FFF2-40B4-BE49-F238E27FC236}">
              <a16:creationId xmlns:a16="http://schemas.microsoft.com/office/drawing/2014/main" id="{A61A63DB-B457-4C0A-B182-25F92BDDB1E6}"/>
            </a:ext>
          </a:extLst>
        </xdr:cNvPr>
        <xdr:cNvCxnSpPr/>
      </xdr:nvCxnSpPr>
      <xdr:spPr>
        <a:xfrm>
          <a:off x="18088792" y="1628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104</xdr:row>
      <xdr:rowOff>19049</xdr:rowOff>
    </xdr:from>
    <xdr:to>
      <xdr:col>63</xdr:col>
      <xdr:colOff>125367</xdr:colOff>
      <xdr:row>104</xdr:row>
      <xdr:rowOff>133349</xdr:rowOff>
    </xdr:to>
    <xdr:sp macro="" textlink="">
      <xdr:nvSpPr>
        <xdr:cNvPr id="75941" name="101">
          <a:extLst>
            <a:ext uri="{FF2B5EF4-FFF2-40B4-BE49-F238E27FC236}">
              <a16:creationId xmlns:a16="http://schemas.microsoft.com/office/drawing/2014/main" id="{BCCF611F-26C2-4389-8842-54FE4D632BB3}"/>
            </a:ext>
          </a:extLst>
        </xdr:cNvPr>
        <xdr:cNvSpPr/>
      </xdr:nvSpPr>
      <xdr:spPr>
        <a:xfrm>
          <a:off x="15131143" y="160743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104</xdr:row>
      <xdr:rowOff>76199</xdr:rowOff>
    </xdr:from>
    <xdr:to>
      <xdr:col>61</xdr:col>
      <xdr:colOff>20683</xdr:colOff>
      <xdr:row>104</xdr:row>
      <xdr:rowOff>76199</xdr:rowOff>
    </xdr:to>
    <xdr:cxnSp macro="">
      <xdr:nvCxnSpPr>
        <xdr:cNvPr id="75942" name="직선 화살표 연결선 75941">
          <a:extLst>
            <a:ext uri="{FF2B5EF4-FFF2-40B4-BE49-F238E27FC236}">
              <a16:creationId xmlns:a16="http://schemas.microsoft.com/office/drawing/2014/main" id="{142D9099-0451-48D1-A74D-FA8593A93B50}"/>
            </a:ext>
          </a:extLst>
        </xdr:cNvPr>
        <xdr:cNvCxnSpPr/>
      </xdr:nvCxnSpPr>
      <xdr:spPr>
        <a:xfrm>
          <a:off x="15131143" y="1613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103</xdr:row>
      <xdr:rowOff>19049</xdr:rowOff>
    </xdr:from>
    <xdr:to>
      <xdr:col>63</xdr:col>
      <xdr:colOff>125367</xdr:colOff>
      <xdr:row>103</xdr:row>
      <xdr:rowOff>133349</xdr:rowOff>
    </xdr:to>
    <xdr:sp macro="" textlink="">
      <xdr:nvSpPr>
        <xdr:cNvPr id="75943" name="100">
          <a:extLst>
            <a:ext uri="{FF2B5EF4-FFF2-40B4-BE49-F238E27FC236}">
              <a16:creationId xmlns:a16="http://schemas.microsoft.com/office/drawing/2014/main" id="{82BA6EFB-04F4-4B0E-8D92-1C4F088B8D5D}"/>
            </a:ext>
          </a:extLst>
        </xdr:cNvPr>
        <xdr:cNvSpPr/>
      </xdr:nvSpPr>
      <xdr:spPr>
        <a:xfrm>
          <a:off x="15131143" y="159219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103</xdr:row>
      <xdr:rowOff>76199</xdr:rowOff>
    </xdr:from>
    <xdr:to>
      <xdr:col>61</xdr:col>
      <xdr:colOff>20683</xdr:colOff>
      <xdr:row>103</xdr:row>
      <xdr:rowOff>76199</xdr:rowOff>
    </xdr:to>
    <xdr:cxnSp macro="">
      <xdr:nvCxnSpPr>
        <xdr:cNvPr id="75944" name="직선 화살표 연결선 75943">
          <a:extLst>
            <a:ext uri="{FF2B5EF4-FFF2-40B4-BE49-F238E27FC236}">
              <a16:creationId xmlns:a16="http://schemas.microsoft.com/office/drawing/2014/main" id="{A455B846-7DBC-4919-9E86-816628192BF0}"/>
            </a:ext>
          </a:extLst>
        </xdr:cNvPr>
        <xdr:cNvCxnSpPr/>
      </xdr:nvCxnSpPr>
      <xdr:spPr>
        <a:xfrm>
          <a:off x="15131143" y="1597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102</xdr:row>
      <xdr:rowOff>19049</xdr:rowOff>
    </xdr:from>
    <xdr:to>
      <xdr:col>63</xdr:col>
      <xdr:colOff>125367</xdr:colOff>
      <xdr:row>102</xdr:row>
      <xdr:rowOff>133349</xdr:rowOff>
    </xdr:to>
    <xdr:sp macro="" textlink="">
      <xdr:nvSpPr>
        <xdr:cNvPr id="75945" name="99">
          <a:extLst>
            <a:ext uri="{FF2B5EF4-FFF2-40B4-BE49-F238E27FC236}">
              <a16:creationId xmlns:a16="http://schemas.microsoft.com/office/drawing/2014/main" id="{57637E4D-ABD5-490A-B242-3BBE5A356952}"/>
            </a:ext>
          </a:extLst>
        </xdr:cNvPr>
        <xdr:cNvSpPr/>
      </xdr:nvSpPr>
      <xdr:spPr>
        <a:xfrm>
          <a:off x="15131143" y="157695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102</xdr:row>
      <xdr:rowOff>76199</xdr:rowOff>
    </xdr:from>
    <xdr:to>
      <xdr:col>61</xdr:col>
      <xdr:colOff>20683</xdr:colOff>
      <xdr:row>102</xdr:row>
      <xdr:rowOff>76199</xdr:rowOff>
    </xdr:to>
    <xdr:cxnSp macro="">
      <xdr:nvCxnSpPr>
        <xdr:cNvPr id="75946" name="직선 화살표 연결선 75945">
          <a:extLst>
            <a:ext uri="{FF2B5EF4-FFF2-40B4-BE49-F238E27FC236}">
              <a16:creationId xmlns:a16="http://schemas.microsoft.com/office/drawing/2014/main" id="{287411C4-BC94-486C-BE5F-AB1D82B2073C}"/>
            </a:ext>
          </a:extLst>
        </xdr:cNvPr>
        <xdr:cNvCxnSpPr/>
      </xdr:nvCxnSpPr>
      <xdr:spPr>
        <a:xfrm>
          <a:off x="15131143" y="1582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101</xdr:row>
      <xdr:rowOff>19049</xdr:rowOff>
    </xdr:from>
    <xdr:to>
      <xdr:col>63</xdr:col>
      <xdr:colOff>125367</xdr:colOff>
      <xdr:row>101</xdr:row>
      <xdr:rowOff>133349</xdr:rowOff>
    </xdr:to>
    <xdr:sp macro="" textlink="">
      <xdr:nvSpPr>
        <xdr:cNvPr id="75947" name="98">
          <a:extLst>
            <a:ext uri="{FF2B5EF4-FFF2-40B4-BE49-F238E27FC236}">
              <a16:creationId xmlns:a16="http://schemas.microsoft.com/office/drawing/2014/main" id="{925D7A9C-5B7C-4315-8EAC-8D27053EA7E2}"/>
            </a:ext>
          </a:extLst>
        </xdr:cNvPr>
        <xdr:cNvSpPr/>
      </xdr:nvSpPr>
      <xdr:spPr>
        <a:xfrm>
          <a:off x="15131143" y="15617189"/>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101</xdr:row>
      <xdr:rowOff>76199</xdr:rowOff>
    </xdr:from>
    <xdr:to>
      <xdr:col>61</xdr:col>
      <xdr:colOff>20683</xdr:colOff>
      <xdr:row>101</xdr:row>
      <xdr:rowOff>76199</xdr:rowOff>
    </xdr:to>
    <xdr:cxnSp macro="">
      <xdr:nvCxnSpPr>
        <xdr:cNvPr id="75948" name="직선 화살표 연결선 75947">
          <a:extLst>
            <a:ext uri="{FF2B5EF4-FFF2-40B4-BE49-F238E27FC236}">
              <a16:creationId xmlns:a16="http://schemas.microsoft.com/office/drawing/2014/main" id="{0F894522-EFA3-49C1-8689-7E0AC8620508}"/>
            </a:ext>
          </a:extLst>
        </xdr:cNvPr>
        <xdr:cNvCxnSpPr/>
      </xdr:nvCxnSpPr>
      <xdr:spPr>
        <a:xfrm>
          <a:off x="15131143" y="1567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20682</xdr:colOff>
      <xdr:row>100</xdr:row>
      <xdr:rowOff>19049</xdr:rowOff>
    </xdr:from>
    <xdr:to>
      <xdr:col>63</xdr:col>
      <xdr:colOff>125367</xdr:colOff>
      <xdr:row>100</xdr:row>
      <xdr:rowOff>133349</xdr:rowOff>
    </xdr:to>
    <xdr:sp macro="" textlink="">
      <xdr:nvSpPr>
        <xdr:cNvPr id="75949" name="97">
          <a:extLst>
            <a:ext uri="{FF2B5EF4-FFF2-40B4-BE49-F238E27FC236}">
              <a16:creationId xmlns:a16="http://schemas.microsoft.com/office/drawing/2014/main" id="{583A54FF-A9D7-4ABA-8A3D-E38F3BC3065E}"/>
            </a:ext>
          </a:extLst>
        </xdr:cNvPr>
        <xdr:cNvSpPr/>
      </xdr:nvSpPr>
      <xdr:spPr>
        <a:xfrm>
          <a:off x="15420702" y="1546478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20682</xdr:colOff>
      <xdr:row>100</xdr:row>
      <xdr:rowOff>76199</xdr:rowOff>
    </xdr:from>
    <xdr:to>
      <xdr:col>63</xdr:col>
      <xdr:colOff>20682</xdr:colOff>
      <xdr:row>100</xdr:row>
      <xdr:rowOff>76199</xdr:rowOff>
    </xdr:to>
    <xdr:cxnSp macro="">
      <xdr:nvCxnSpPr>
        <xdr:cNvPr id="75950" name="직선 화살표 연결선 75949">
          <a:extLst>
            <a:ext uri="{FF2B5EF4-FFF2-40B4-BE49-F238E27FC236}">
              <a16:creationId xmlns:a16="http://schemas.microsoft.com/office/drawing/2014/main" id="{F094906E-83C9-415F-A490-C5FCD933E865}"/>
            </a:ext>
          </a:extLst>
        </xdr:cNvPr>
        <xdr:cNvCxnSpPr/>
      </xdr:nvCxnSpPr>
      <xdr:spPr>
        <a:xfrm>
          <a:off x="15420702" y="1552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20683</xdr:colOff>
      <xdr:row>99</xdr:row>
      <xdr:rowOff>19049</xdr:rowOff>
    </xdr:from>
    <xdr:to>
      <xdr:col>62</xdr:col>
      <xdr:colOff>125367</xdr:colOff>
      <xdr:row>99</xdr:row>
      <xdr:rowOff>133349</xdr:rowOff>
    </xdr:to>
    <xdr:sp macro="" textlink="">
      <xdr:nvSpPr>
        <xdr:cNvPr id="75951" name="96">
          <a:extLst>
            <a:ext uri="{FF2B5EF4-FFF2-40B4-BE49-F238E27FC236}">
              <a16:creationId xmlns:a16="http://schemas.microsoft.com/office/drawing/2014/main" id="{7826391F-B7CE-4339-85DB-D8D87B1C55AD}"/>
            </a:ext>
          </a:extLst>
        </xdr:cNvPr>
        <xdr:cNvSpPr/>
      </xdr:nvSpPr>
      <xdr:spPr>
        <a:xfrm>
          <a:off x="15275923" y="153123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20683</xdr:colOff>
      <xdr:row>99</xdr:row>
      <xdr:rowOff>76199</xdr:rowOff>
    </xdr:from>
    <xdr:to>
      <xdr:col>62</xdr:col>
      <xdr:colOff>20683</xdr:colOff>
      <xdr:row>99</xdr:row>
      <xdr:rowOff>76199</xdr:rowOff>
    </xdr:to>
    <xdr:cxnSp macro="">
      <xdr:nvCxnSpPr>
        <xdr:cNvPr id="75952" name="직선 화살표 연결선 75951">
          <a:extLst>
            <a:ext uri="{FF2B5EF4-FFF2-40B4-BE49-F238E27FC236}">
              <a16:creationId xmlns:a16="http://schemas.microsoft.com/office/drawing/2014/main" id="{86BAE03D-BF8F-40C5-AADC-DD15EC95E3F8}"/>
            </a:ext>
          </a:extLst>
        </xdr:cNvPr>
        <xdr:cNvCxnSpPr/>
      </xdr:nvCxnSpPr>
      <xdr:spPr>
        <a:xfrm>
          <a:off x="15275923" y="1536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98</xdr:row>
      <xdr:rowOff>19049</xdr:rowOff>
    </xdr:from>
    <xdr:to>
      <xdr:col>61</xdr:col>
      <xdr:colOff>125367</xdr:colOff>
      <xdr:row>98</xdr:row>
      <xdr:rowOff>133349</xdr:rowOff>
    </xdr:to>
    <xdr:sp macro="" textlink="">
      <xdr:nvSpPr>
        <xdr:cNvPr id="75953" name="95">
          <a:extLst>
            <a:ext uri="{FF2B5EF4-FFF2-40B4-BE49-F238E27FC236}">
              <a16:creationId xmlns:a16="http://schemas.microsoft.com/office/drawing/2014/main" id="{58C90E0A-AE3C-45A6-B49F-6AFA48C69D00}"/>
            </a:ext>
          </a:extLst>
        </xdr:cNvPr>
        <xdr:cNvSpPr/>
      </xdr:nvSpPr>
      <xdr:spPr>
        <a:xfrm>
          <a:off x="15131143" y="151599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98</xdr:row>
      <xdr:rowOff>76199</xdr:rowOff>
    </xdr:from>
    <xdr:to>
      <xdr:col>61</xdr:col>
      <xdr:colOff>20683</xdr:colOff>
      <xdr:row>98</xdr:row>
      <xdr:rowOff>76199</xdr:rowOff>
    </xdr:to>
    <xdr:cxnSp macro="">
      <xdr:nvCxnSpPr>
        <xdr:cNvPr id="75954" name="직선 화살표 연결선 75953">
          <a:extLst>
            <a:ext uri="{FF2B5EF4-FFF2-40B4-BE49-F238E27FC236}">
              <a16:creationId xmlns:a16="http://schemas.microsoft.com/office/drawing/2014/main" id="{B3EE67B9-248C-4DC8-8145-4067F0DBE617}"/>
            </a:ext>
          </a:extLst>
        </xdr:cNvPr>
        <xdr:cNvCxnSpPr/>
      </xdr:nvCxnSpPr>
      <xdr:spPr>
        <a:xfrm>
          <a:off x="15131143" y="1521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97</xdr:row>
      <xdr:rowOff>19049</xdr:rowOff>
    </xdr:from>
    <xdr:to>
      <xdr:col>63</xdr:col>
      <xdr:colOff>125367</xdr:colOff>
      <xdr:row>97</xdr:row>
      <xdr:rowOff>133349</xdr:rowOff>
    </xdr:to>
    <xdr:sp macro="" textlink="">
      <xdr:nvSpPr>
        <xdr:cNvPr id="75955" name="94">
          <a:extLst>
            <a:ext uri="{FF2B5EF4-FFF2-40B4-BE49-F238E27FC236}">
              <a16:creationId xmlns:a16="http://schemas.microsoft.com/office/drawing/2014/main" id="{53E97CA6-30E4-44C5-A044-EFAD95FF0BDB}"/>
            </a:ext>
          </a:extLst>
        </xdr:cNvPr>
        <xdr:cNvSpPr/>
      </xdr:nvSpPr>
      <xdr:spPr>
        <a:xfrm>
          <a:off x="15131143" y="15007589"/>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97</xdr:row>
      <xdr:rowOff>76199</xdr:rowOff>
    </xdr:from>
    <xdr:to>
      <xdr:col>61</xdr:col>
      <xdr:colOff>20683</xdr:colOff>
      <xdr:row>97</xdr:row>
      <xdr:rowOff>76199</xdr:rowOff>
    </xdr:to>
    <xdr:cxnSp macro="">
      <xdr:nvCxnSpPr>
        <xdr:cNvPr id="75956" name="직선 화살표 연결선 75955">
          <a:extLst>
            <a:ext uri="{FF2B5EF4-FFF2-40B4-BE49-F238E27FC236}">
              <a16:creationId xmlns:a16="http://schemas.microsoft.com/office/drawing/2014/main" id="{9B493A95-3DC0-4D48-8D22-8C836583945A}"/>
            </a:ext>
          </a:extLst>
        </xdr:cNvPr>
        <xdr:cNvCxnSpPr/>
      </xdr:nvCxnSpPr>
      <xdr:spPr>
        <a:xfrm>
          <a:off x="15131143" y="1506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96</xdr:row>
      <xdr:rowOff>19049</xdr:rowOff>
    </xdr:from>
    <xdr:to>
      <xdr:col>63</xdr:col>
      <xdr:colOff>125367</xdr:colOff>
      <xdr:row>96</xdr:row>
      <xdr:rowOff>133349</xdr:rowOff>
    </xdr:to>
    <xdr:sp macro="" textlink="">
      <xdr:nvSpPr>
        <xdr:cNvPr id="75957" name="93">
          <a:extLst>
            <a:ext uri="{FF2B5EF4-FFF2-40B4-BE49-F238E27FC236}">
              <a16:creationId xmlns:a16="http://schemas.microsoft.com/office/drawing/2014/main" id="{FB7485EC-C7AE-4A46-A980-3786709823B2}"/>
            </a:ext>
          </a:extLst>
        </xdr:cNvPr>
        <xdr:cNvSpPr/>
      </xdr:nvSpPr>
      <xdr:spPr>
        <a:xfrm>
          <a:off x="15131143" y="148551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96</xdr:row>
      <xdr:rowOff>76199</xdr:rowOff>
    </xdr:from>
    <xdr:to>
      <xdr:col>61</xdr:col>
      <xdr:colOff>20683</xdr:colOff>
      <xdr:row>96</xdr:row>
      <xdr:rowOff>76199</xdr:rowOff>
    </xdr:to>
    <xdr:cxnSp macro="">
      <xdr:nvCxnSpPr>
        <xdr:cNvPr id="75958" name="직선 화살표 연결선 75957">
          <a:extLst>
            <a:ext uri="{FF2B5EF4-FFF2-40B4-BE49-F238E27FC236}">
              <a16:creationId xmlns:a16="http://schemas.microsoft.com/office/drawing/2014/main" id="{FA5E6E63-6A85-4CC0-B1EB-B751A498839B}"/>
            </a:ext>
          </a:extLst>
        </xdr:cNvPr>
        <xdr:cNvCxnSpPr/>
      </xdr:nvCxnSpPr>
      <xdr:spPr>
        <a:xfrm>
          <a:off x="15131143" y="1491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95</xdr:row>
      <xdr:rowOff>19049</xdr:rowOff>
    </xdr:from>
    <xdr:to>
      <xdr:col>63</xdr:col>
      <xdr:colOff>125367</xdr:colOff>
      <xdr:row>95</xdr:row>
      <xdr:rowOff>133349</xdr:rowOff>
    </xdr:to>
    <xdr:sp macro="" textlink="">
      <xdr:nvSpPr>
        <xdr:cNvPr id="75959" name="92">
          <a:extLst>
            <a:ext uri="{FF2B5EF4-FFF2-40B4-BE49-F238E27FC236}">
              <a16:creationId xmlns:a16="http://schemas.microsoft.com/office/drawing/2014/main" id="{AB7724CB-6341-488F-A907-FC1204C8DB55}"/>
            </a:ext>
          </a:extLst>
        </xdr:cNvPr>
        <xdr:cNvSpPr/>
      </xdr:nvSpPr>
      <xdr:spPr>
        <a:xfrm>
          <a:off x="15131143" y="147027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95</xdr:row>
      <xdr:rowOff>76199</xdr:rowOff>
    </xdr:from>
    <xdr:to>
      <xdr:col>61</xdr:col>
      <xdr:colOff>20683</xdr:colOff>
      <xdr:row>95</xdr:row>
      <xdr:rowOff>76199</xdr:rowOff>
    </xdr:to>
    <xdr:cxnSp macro="">
      <xdr:nvCxnSpPr>
        <xdr:cNvPr id="75960" name="직선 화살표 연결선 75959">
          <a:extLst>
            <a:ext uri="{FF2B5EF4-FFF2-40B4-BE49-F238E27FC236}">
              <a16:creationId xmlns:a16="http://schemas.microsoft.com/office/drawing/2014/main" id="{EDD91751-F3DC-4CA6-BDA7-AB3D9DC282A4}"/>
            </a:ext>
          </a:extLst>
        </xdr:cNvPr>
        <xdr:cNvCxnSpPr/>
      </xdr:nvCxnSpPr>
      <xdr:spPr>
        <a:xfrm>
          <a:off x="15131143" y="1475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94</xdr:row>
      <xdr:rowOff>19049</xdr:rowOff>
    </xdr:from>
    <xdr:to>
      <xdr:col>63</xdr:col>
      <xdr:colOff>125367</xdr:colOff>
      <xdr:row>94</xdr:row>
      <xdr:rowOff>133349</xdr:rowOff>
    </xdr:to>
    <xdr:sp macro="" textlink="">
      <xdr:nvSpPr>
        <xdr:cNvPr id="75961" name="91">
          <a:extLst>
            <a:ext uri="{FF2B5EF4-FFF2-40B4-BE49-F238E27FC236}">
              <a16:creationId xmlns:a16="http://schemas.microsoft.com/office/drawing/2014/main" id="{5BA8C4C1-D056-417B-92BB-C4BD7A541A33}"/>
            </a:ext>
          </a:extLst>
        </xdr:cNvPr>
        <xdr:cNvSpPr/>
      </xdr:nvSpPr>
      <xdr:spPr>
        <a:xfrm>
          <a:off x="15131143" y="145503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94</xdr:row>
      <xdr:rowOff>76199</xdr:rowOff>
    </xdr:from>
    <xdr:to>
      <xdr:col>61</xdr:col>
      <xdr:colOff>20683</xdr:colOff>
      <xdr:row>94</xdr:row>
      <xdr:rowOff>76199</xdr:rowOff>
    </xdr:to>
    <xdr:cxnSp macro="">
      <xdr:nvCxnSpPr>
        <xdr:cNvPr id="75962" name="직선 화살표 연결선 75961">
          <a:extLst>
            <a:ext uri="{FF2B5EF4-FFF2-40B4-BE49-F238E27FC236}">
              <a16:creationId xmlns:a16="http://schemas.microsoft.com/office/drawing/2014/main" id="{BA3B1EAB-2870-4378-8C90-ECBA8104F37C}"/>
            </a:ext>
          </a:extLst>
        </xdr:cNvPr>
        <xdr:cNvCxnSpPr/>
      </xdr:nvCxnSpPr>
      <xdr:spPr>
        <a:xfrm>
          <a:off x="15131143" y="1460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93</xdr:row>
      <xdr:rowOff>19049</xdr:rowOff>
    </xdr:from>
    <xdr:to>
      <xdr:col>63</xdr:col>
      <xdr:colOff>125367</xdr:colOff>
      <xdr:row>93</xdr:row>
      <xdr:rowOff>133349</xdr:rowOff>
    </xdr:to>
    <xdr:sp macro="" textlink="">
      <xdr:nvSpPr>
        <xdr:cNvPr id="75963" name="90">
          <a:extLst>
            <a:ext uri="{FF2B5EF4-FFF2-40B4-BE49-F238E27FC236}">
              <a16:creationId xmlns:a16="http://schemas.microsoft.com/office/drawing/2014/main" id="{2F5BC59B-301B-4227-9AA5-B058B2E6A825}"/>
            </a:ext>
          </a:extLst>
        </xdr:cNvPr>
        <xdr:cNvSpPr/>
      </xdr:nvSpPr>
      <xdr:spPr>
        <a:xfrm>
          <a:off x="15131143" y="14397989"/>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93</xdr:row>
      <xdr:rowOff>76199</xdr:rowOff>
    </xdr:from>
    <xdr:to>
      <xdr:col>61</xdr:col>
      <xdr:colOff>20683</xdr:colOff>
      <xdr:row>93</xdr:row>
      <xdr:rowOff>76199</xdr:rowOff>
    </xdr:to>
    <xdr:cxnSp macro="">
      <xdr:nvCxnSpPr>
        <xdr:cNvPr id="75964" name="직선 화살표 연결선 75963">
          <a:extLst>
            <a:ext uri="{FF2B5EF4-FFF2-40B4-BE49-F238E27FC236}">
              <a16:creationId xmlns:a16="http://schemas.microsoft.com/office/drawing/2014/main" id="{71545909-54DD-4CDB-AE30-AE369E437ADE}"/>
            </a:ext>
          </a:extLst>
        </xdr:cNvPr>
        <xdr:cNvCxnSpPr/>
      </xdr:nvCxnSpPr>
      <xdr:spPr>
        <a:xfrm>
          <a:off x="15131143" y="1445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92</xdr:row>
      <xdr:rowOff>19049</xdr:rowOff>
    </xdr:from>
    <xdr:to>
      <xdr:col>63</xdr:col>
      <xdr:colOff>125367</xdr:colOff>
      <xdr:row>92</xdr:row>
      <xdr:rowOff>133349</xdr:rowOff>
    </xdr:to>
    <xdr:sp macro="" textlink="">
      <xdr:nvSpPr>
        <xdr:cNvPr id="75965" name="89">
          <a:extLst>
            <a:ext uri="{FF2B5EF4-FFF2-40B4-BE49-F238E27FC236}">
              <a16:creationId xmlns:a16="http://schemas.microsoft.com/office/drawing/2014/main" id="{8881345F-BCA2-4008-A165-9EC20275F2FE}"/>
            </a:ext>
          </a:extLst>
        </xdr:cNvPr>
        <xdr:cNvSpPr/>
      </xdr:nvSpPr>
      <xdr:spPr>
        <a:xfrm>
          <a:off x="15131143" y="142455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92</xdr:row>
      <xdr:rowOff>76199</xdr:rowOff>
    </xdr:from>
    <xdr:to>
      <xdr:col>61</xdr:col>
      <xdr:colOff>20683</xdr:colOff>
      <xdr:row>92</xdr:row>
      <xdr:rowOff>76199</xdr:rowOff>
    </xdr:to>
    <xdr:cxnSp macro="">
      <xdr:nvCxnSpPr>
        <xdr:cNvPr id="75966" name="직선 화살표 연결선 75965">
          <a:extLst>
            <a:ext uri="{FF2B5EF4-FFF2-40B4-BE49-F238E27FC236}">
              <a16:creationId xmlns:a16="http://schemas.microsoft.com/office/drawing/2014/main" id="{D19CA733-A2E2-4FC6-A3CB-C5E63A760E73}"/>
            </a:ext>
          </a:extLst>
        </xdr:cNvPr>
        <xdr:cNvCxnSpPr/>
      </xdr:nvCxnSpPr>
      <xdr:spPr>
        <a:xfrm>
          <a:off x="15131143" y="1430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20683</xdr:colOff>
      <xdr:row>91</xdr:row>
      <xdr:rowOff>19049</xdr:rowOff>
    </xdr:from>
    <xdr:to>
      <xdr:col>60</xdr:col>
      <xdr:colOff>125366</xdr:colOff>
      <xdr:row>91</xdr:row>
      <xdr:rowOff>133349</xdr:rowOff>
    </xdr:to>
    <xdr:sp macro="" textlink="">
      <xdr:nvSpPr>
        <xdr:cNvPr id="75967" name="88">
          <a:extLst>
            <a:ext uri="{FF2B5EF4-FFF2-40B4-BE49-F238E27FC236}">
              <a16:creationId xmlns:a16="http://schemas.microsoft.com/office/drawing/2014/main" id="{C2DA4C96-484B-4F00-ABE1-B9374A9494CD}"/>
            </a:ext>
          </a:extLst>
        </xdr:cNvPr>
        <xdr:cNvSpPr/>
      </xdr:nvSpPr>
      <xdr:spPr>
        <a:xfrm>
          <a:off x="14986363" y="140931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20683</xdr:colOff>
      <xdr:row>91</xdr:row>
      <xdr:rowOff>76199</xdr:rowOff>
    </xdr:from>
    <xdr:to>
      <xdr:col>60</xdr:col>
      <xdr:colOff>20683</xdr:colOff>
      <xdr:row>91</xdr:row>
      <xdr:rowOff>76199</xdr:rowOff>
    </xdr:to>
    <xdr:cxnSp macro="">
      <xdr:nvCxnSpPr>
        <xdr:cNvPr id="75968" name="직선 화살표 연결선 75967">
          <a:extLst>
            <a:ext uri="{FF2B5EF4-FFF2-40B4-BE49-F238E27FC236}">
              <a16:creationId xmlns:a16="http://schemas.microsoft.com/office/drawing/2014/main" id="{9EFD9BAF-DF3F-4E86-B0EE-40F9D6E14889}"/>
            </a:ext>
          </a:extLst>
        </xdr:cNvPr>
        <xdr:cNvCxnSpPr/>
      </xdr:nvCxnSpPr>
      <xdr:spPr>
        <a:xfrm>
          <a:off x="14986363" y="1415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20683</xdr:colOff>
      <xdr:row>90</xdr:row>
      <xdr:rowOff>19049</xdr:rowOff>
    </xdr:from>
    <xdr:to>
      <xdr:col>63</xdr:col>
      <xdr:colOff>125367</xdr:colOff>
      <xdr:row>90</xdr:row>
      <xdr:rowOff>133349</xdr:rowOff>
    </xdr:to>
    <xdr:sp macro="" textlink="">
      <xdr:nvSpPr>
        <xdr:cNvPr id="75969" name="87">
          <a:extLst>
            <a:ext uri="{FF2B5EF4-FFF2-40B4-BE49-F238E27FC236}">
              <a16:creationId xmlns:a16="http://schemas.microsoft.com/office/drawing/2014/main" id="{D921AE6D-523B-4D18-9E33-52A71E0792BC}"/>
            </a:ext>
          </a:extLst>
        </xdr:cNvPr>
        <xdr:cNvSpPr/>
      </xdr:nvSpPr>
      <xdr:spPr>
        <a:xfrm>
          <a:off x="14986363" y="13940789"/>
          <a:ext cx="5390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20683</xdr:colOff>
      <xdr:row>90</xdr:row>
      <xdr:rowOff>76199</xdr:rowOff>
    </xdr:from>
    <xdr:to>
      <xdr:col>60</xdr:col>
      <xdr:colOff>20683</xdr:colOff>
      <xdr:row>90</xdr:row>
      <xdr:rowOff>76199</xdr:rowOff>
    </xdr:to>
    <xdr:cxnSp macro="">
      <xdr:nvCxnSpPr>
        <xdr:cNvPr id="75970" name="직선 화살표 연결선 75969">
          <a:extLst>
            <a:ext uri="{FF2B5EF4-FFF2-40B4-BE49-F238E27FC236}">
              <a16:creationId xmlns:a16="http://schemas.microsoft.com/office/drawing/2014/main" id="{AF40FA64-ABAA-46DA-B427-C3E803A77890}"/>
            </a:ext>
          </a:extLst>
        </xdr:cNvPr>
        <xdr:cNvCxnSpPr/>
      </xdr:nvCxnSpPr>
      <xdr:spPr>
        <a:xfrm>
          <a:off x="14986363" y="1399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20683</xdr:colOff>
      <xdr:row>89</xdr:row>
      <xdr:rowOff>19049</xdr:rowOff>
    </xdr:from>
    <xdr:to>
      <xdr:col>63</xdr:col>
      <xdr:colOff>125367</xdr:colOff>
      <xdr:row>89</xdr:row>
      <xdr:rowOff>133349</xdr:rowOff>
    </xdr:to>
    <xdr:sp macro="" textlink="">
      <xdr:nvSpPr>
        <xdr:cNvPr id="75971" name="86">
          <a:extLst>
            <a:ext uri="{FF2B5EF4-FFF2-40B4-BE49-F238E27FC236}">
              <a16:creationId xmlns:a16="http://schemas.microsoft.com/office/drawing/2014/main" id="{D07FBB67-5E10-423D-8BBD-79ABD7422980}"/>
            </a:ext>
          </a:extLst>
        </xdr:cNvPr>
        <xdr:cNvSpPr/>
      </xdr:nvSpPr>
      <xdr:spPr>
        <a:xfrm>
          <a:off x="14986363" y="13788389"/>
          <a:ext cx="5390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20683</xdr:colOff>
      <xdr:row>89</xdr:row>
      <xdr:rowOff>76199</xdr:rowOff>
    </xdr:from>
    <xdr:to>
      <xdr:col>60</xdr:col>
      <xdr:colOff>20683</xdr:colOff>
      <xdr:row>89</xdr:row>
      <xdr:rowOff>76199</xdr:rowOff>
    </xdr:to>
    <xdr:cxnSp macro="">
      <xdr:nvCxnSpPr>
        <xdr:cNvPr id="75972" name="직선 화살표 연결선 75971">
          <a:extLst>
            <a:ext uri="{FF2B5EF4-FFF2-40B4-BE49-F238E27FC236}">
              <a16:creationId xmlns:a16="http://schemas.microsoft.com/office/drawing/2014/main" id="{AEDD981C-16B9-40AC-A342-C2874DD11B8B}"/>
            </a:ext>
          </a:extLst>
        </xdr:cNvPr>
        <xdr:cNvCxnSpPr/>
      </xdr:nvCxnSpPr>
      <xdr:spPr>
        <a:xfrm>
          <a:off x="14986363" y="1384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20683</xdr:colOff>
      <xdr:row>88</xdr:row>
      <xdr:rowOff>19049</xdr:rowOff>
    </xdr:from>
    <xdr:to>
      <xdr:col>66</xdr:col>
      <xdr:colOff>125367</xdr:colOff>
      <xdr:row>88</xdr:row>
      <xdr:rowOff>133349</xdr:rowOff>
    </xdr:to>
    <xdr:sp macro="" textlink="">
      <xdr:nvSpPr>
        <xdr:cNvPr id="75973" name="85">
          <a:extLst>
            <a:ext uri="{FF2B5EF4-FFF2-40B4-BE49-F238E27FC236}">
              <a16:creationId xmlns:a16="http://schemas.microsoft.com/office/drawing/2014/main" id="{9FA9A9D8-A57B-40A4-A4F9-7B2F5C2271E3}"/>
            </a:ext>
          </a:extLst>
        </xdr:cNvPr>
        <xdr:cNvSpPr/>
      </xdr:nvSpPr>
      <xdr:spPr>
        <a:xfrm>
          <a:off x="15855043" y="136359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20683</xdr:colOff>
      <xdr:row>88</xdr:row>
      <xdr:rowOff>76199</xdr:rowOff>
    </xdr:from>
    <xdr:to>
      <xdr:col>66</xdr:col>
      <xdr:colOff>20683</xdr:colOff>
      <xdr:row>88</xdr:row>
      <xdr:rowOff>76199</xdr:rowOff>
    </xdr:to>
    <xdr:cxnSp macro="">
      <xdr:nvCxnSpPr>
        <xdr:cNvPr id="75974" name="직선 화살표 연결선 75973">
          <a:extLst>
            <a:ext uri="{FF2B5EF4-FFF2-40B4-BE49-F238E27FC236}">
              <a16:creationId xmlns:a16="http://schemas.microsoft.com/office/drawing/2014/main" id="{42A066E4-787E-4B50-AC12-137D74A5411C}"/>
            </a:ext>
          </a:extLst>
        </xdr:cNvPr>
        <xdr:cNvCxnSpPr/>
      </xdr:nvCxnSpPr>
      <xdr:spPr>
        <a:xfrm>
          <a:off x="15855043" y="1369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20683</xdr:colOff>
      <xdr:row>87</xdr:row>
      <xdr:rowOff>19049</xdr:rowOff>
    </xdr:from>
    <xdr:to>
      <xdr:col>65</xdr:col>
      <xdr:colOff>125366</xdr:colOff>
      <xdr:row>87</xdr:row>
      <xdr:rowOff>133349</xdr:rowOff>
    </xdr:to>
    <xdr:sp macro="" textlink="">
      <xdr:nvSpPr>
        <xdr:cNvPr id="75975" name="84">
          <a:extLst>
            <a:ext uri="{FF2B5EF4-FFF2-40B4-BE49-F238E27FC236}">
              <a16:creationId xmlns:a16="http://schemas.microsoft.com/office/drawing/2014/main" id="{59B09EA9-ACB1-46A0-BB46-3F151CB73CBE}"/>
            </a:ext>
          </a:extLst>
        </xdr:cNvPr>
        <xdr:cNvSpPr/>
      </xdr:nvSpPr>
      <xdr:spPr>
        <a:xfrm>
          <a:off x="15710263" y="134835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20683</xdr:colOff>
      <xdr:row>87</xdr:row>
      <xdr:rowOff>76199</xdr:rowOff>
    </xdr:from>
    <xdr:to>
      <xdr:col>65</xdr:col>
      <xdr:colOff>20683</xdr:colOff>
      <xdr:row>87</xdr:row>
      <xdr:rowOff>76199</xdr:rowOff>
    </xdr:to>
    <xdr:cxnSp macro="">
      <xdr:nvCxnSpPr>
        <xdr:cNvPr id="75976" name="직선 화살표 연결선 75975">
          <a:extLst>
            <a:ext uri="{FF2B5EF4-FFF2-40B4-BE49-F238E27FC236}">
              <a16:creationId xmlns:a16="http://schemas.microsoft.com/office/drawing/2014/main" id="{EBAE3D1D-DDEA-4D4E-8894-62F030CF78F0}"/>
            </a:ext>
          </a:extLst>
        </xdr:cNvPr>
        <xdr:cNvCxnSpPr/>
      </xdr:nvCxnSpPr>
      <xdr:spPr>
        <a:xfrm>
          <a:off x="15710263" y="1354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20682</xdr:colOff>
      <xdr:row>86</xdr:row>
      <xdr:rowOff>19049</xdr:rowOff>
    </xdr:from>
    <xdr:to>
      <xdr:col>63</xdr:col>
      <xdr:colOff>125367</xdr:colOff>
      <xdr:row>86</xdr:row>
      <xdr:rowOff>133349</xdr:rowOff>
    </xdr:to>
    <xdr:sp macro="" textlink="">
      <xdr:nvSpPr>
        <xdr:cNvPr id="75977" name="83">
          <a:extLst>
            <a:ext uri="{FF2B5EF4-FFF2-40B4-BE49-F238E27FC236}">
              <a16:creationId xmlns:a16="http://schemas.microsoft.com/office/drawing/2014/main" id="{97EB22FA-A9A2-4456-958A-F287CDD0997D}"/>
            </a:ext>
          </a:extLst>
        </xdr:cNvPr>
        <xdr:cNvSpPr/>
      </xdr:nvSpPr>
      <xdr:spPr>
        <a:xfrm>
          <a:off x="15420702" y="1333118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20682</xdr:colOff>
      <xdr:row>86</xdr:row>
      <xdr:rowOff>76199</xdr:rowOff>
    </xdr:from>
    <xdr:to>
      <xdr:col>63</xdr:col>
      <xdr:colOff>20682</xdr:colOff>
      <xdr:row>86</xdr:row>
      <xdr:rowOff>76199</xdr:rowOff>
    </xdr:to>
    <xdr:cxnSp macro="">
      <xdr:nvCxnSpPr>
        <xdr:cNvPr id="75978" name="직선 화살표 연결선 75977">
          <a:extLst>
            <a:ext uri="{FF2B5EF4-FFF2-40B4-BE49-F238E27FC236}">
              <a16:creationId xmlns:a16="http://schemas.microsoft.com/office/drawing/2014/main" id="{09146FD5-4D52-4F7D-8A0A-DFBCEB308D42}"/>
            </a:ext>
          </a:extLst>
        </xdr:cNvPr>
        <xdr:cNvCxnSpPr/>
      </xdr:nvCxnSpPr>
      <xdr:spPr>
        <a:xfrm>
          <a:off x="15420702" y="1338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20682</xdr:colOff>
      <xdr:row>85</xdr:row>
      <xdr:rowOff>19049</xdr:rowOff>
    </xdr:from>
    <xdr:to>
      <xdr:col>63</xdr:col>
      <xdr:colOff>125367</xdr:colOff>
      <xdr:row>85</xdr:row>
      <xdr:rowOff>133349</xdr:rowOff>
    </xdr:to>
    <xdr:sp macro="" textlink="">
      <xdr:nvSpPr>
        <xdr:cNvPr id="75979" name="82">
          <a:extLst>
            <a:ext uri="{FF2B5EF4-FFF2-40B4-BE49-F238E27FC236}">
              <a16:creationId xmlns:a16="http://schemas.microsoft.com/office/drawing/2014/main" id="{49F04A05-5025-420C-BACA-8C0B5667C05C}"/>
            </a:ext>
          </a:extLst>
        </xdr:cNvPr>
        <xdr:cNvSpPr/>
      </xdr:nvSpPr>
      <xdr:spPr>
        <a:xfrm>
          <a:off x="15420702" y="1317878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20682</xdr:colOff>
      <xdr:row>85</xdr:row>
      <xdr:rowOff>76199</xdr:rowOff>
    </xdr:from>
    <xdr:to>
      <xdr:col>63</xdr:col>
      <xdr:colOff>20682</xdr:colOff>
      <xdr:row>85</xdr:row>
      <xdr:rowOff>76199</xdr:rowOff>
    </xdr:to>
    <xdr:cxnSp macro="">
      <xdr:nvCxnSpPr>
        <xdr:cNvPr id="75980" name="직선 화살표 연결선 75979">
          <a:extLst>
            <a:ext uri="{FF2B5EF4-FFF2-40B4-BE49-F238E27FC236}">
              <a16:creationId xmlns:a16="http://schemas.microsoft.com/office/drawing/2014/main" id="{F76B1D95-211A-4149-8198-E3CFCF6E635F}"/>
            </a:ext>
          </a:extLst>
        </xdr:cNvPr>
        <xdr:cNvCxnSpPr/>
      </xdr:nvCxnSpPr>
      <xdr:spPr>
        <a:xfrm>
          <a:off x="15420702" y="1323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20682</xdr:colOff>
      <xdr:row>84</xdr:row>
      <xdr:rowOff>19049</xdr:rowOff>
    </xdr:from>
    <xdr:to>
      <xdr:col>66</xdr:col>
      <xdr:colOff>125367</xdr:colOff>
      <xdr:row>84</xdr:row>
      <xdr:rowOff>133349</xdr:rowOff>
    </xdr:to>
    <xdr:sp macro="" textlink="">
      <xdr:nvSpPr>
        <xdr:cNvPr id="75981" name="81">
          <a:extLst>
            <a:ext uri="{FF2B5EF4-FFF2-40B4-BE49-F238E27FC236}">
              <a16:creationId xmlns:a16="http://schemas.microsoft.com/office/drawing/2014/main" id="{171C5F18-4D4B-4EC2-AB85-E922CD976533}"/>
            </a:ext>
          </a:extLst>
        </xdr:cNvPr>
        <xdr:cNvSpPr/>
      </xdr:nvSpPr>
      <xdr:spPr>
        <a:xfrm>
          <a:off x="15420702" y="13026389"/>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20682</xdr:colOff>
      <xdr:row>84</xdr:row>
      <xdr:rowOff>76199</xdr:rowOff>
    </xdr:from>
    <xdr:to>
      <xdr:col>63</xdr:col>
      <xdr:colOff>20682</xdr:colOff>
      <xdr:row>84</xdr:row>
      <xdr:rowOff>76199</xdr:rowOff>
    </xdr:to>
    <xdr:cxnSp macro="">
      <xdr:nvCxnSpPr>
        <xdr:cNvPr id="75982" name="직선 화살표 연결선 75981">
          <a:extLst>
            <a:ext uri="{FF2B5EF4-FFF2-40B4-BE49-F238E27FC236}">
              <a16:creationId xmlns:a16="http://schemas.microsoft.com/office/drawing/2014/main" id="{C7D29ED1-9B52-4BD2-B8B3-FFF52DA1C585}"/>
            </a:ext>
          </a:extLst>
        </xdr:cNvPr>
        <xdr:cNvCxnSpPr/>
      </xdr:nvCxnSpPr>
      <xdr:spPr>
        <a:xfrm>
          <a:off x="15420702" y="1308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83</xdr:row>
      <xdr:rowOff>19050</xdr:rowOff>
    </xdr:from>
    <xdr:to>
      <xdr:col>52</xdr:col>
      <xdr:colOff>125367</xdr:colOff>
      <xdr:row>83</xdr:row>
      <xdr:rowOff>133350</xdr:rowOff>
    </xdr:to>
    <xdr:sp macro="" textlink="">
      <xdr:nvSpPr>
        <xdr:cNvPr id="75983" name="80">
          <a:extLst>
            <a:ext uri="{FF2B5EF4-FFF2-40B4-BE49-F238E27FC236}">
              <a16:creationId xmlns:a16="http://schemas.microsoft.com/office/drawing/2014/main" id="{4E0E1EA9-497B-4BF3-9B94-C20FF9C157DA}"/>
            </a:ext>
          </a:extLst>
        </xdr:cNvPr>
        <xdr:cNvSpPr/>
      </xdr:nvSpPr>
      <xdr:spPr>
        <a:xfrm>
          <a:off x="13828123" y="128739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83</xdr:row>
      <xdr:rowOff>76200</xdr:rowOff>
    </xdr:from>
    <xdr:to>
      <xdr:col>52</xdr:col>
      <xdr:colOff>20683</xdr:colOff>
      <xdr:row>83</xdr:row>
      <xdr:rowOff>76200</xdr:rowOff>
    </xdr:to>
    <xdr:cxnSp macro="">
      <xdr:nvCxnSpPr>
        <xdr:cNvPr id="75984" name="직선 화살표 연결선 75983">
          <a:extLst>
            <a:ext uri="{FF2B5EF4-FFF2-40B4-BE49-F238E27FC236}">
              <a16:creationId xmlns:a16="http://schemas.microsoft.com/office/drawing/2014/main" id="{DB30DC1D-5C44-4EE0-BEB2-1A9C56B88117}"/>
            </a:ext>
          </a:extLst>
        </xdr:cNvPr>
        <xdr:cNvCxnSpPr/>
      </xdr:nvCxnSpPr>
      <xdr:spPr>
        <a:xfrm>
          <a:off x="13828123" y="1293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82</xdr:row>
      <xdr:rowOff>19050</xdr:rowOff>
    </xdr:from>
    <xdr:to>
      <xdr:col>51</xdr:col>
      <xdr:colOff>125367</xdr:colOff>
      <xdr:row>82</xdr:row>
      <xdr:rowOff>133350</xdr:rowOff>
    </xdr:to>
    <xdr:sp macro="" textlink="">
      <xdr:nvSpPr>
        <xdr:cNvPr id="75985" name="79">
          <a:extLst>
            <a:ext uri="{FF2B5EF4-FFF2-40B4-BE49-F238E27FC236}">
              <a16:creationId xmlns:a16="http://schemas.microsoft.com/office/drawing/2014/main" id="{E11F22B9-8AC9-408C-89F1-279E13AFB02D}"/>
            </a:ext>
          </a:extLst>
        </xdr:cNvPr>
        <xdr:cNvSpPr/>
      </xdr:nvSpPr>
      <xdr:spPr>
        <a:xfrm>
          <a:off x="13683343" y="127215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82</xdr:row>
      <xdr:rowOff>76200</xdr:rowOff>
    </xdr:from>
    <xdr:to>
      <xdr:col>51</xdr:col>
      <xdr:colOff>20683</xdr:colOff>
      <xdr:row>82</xdr:row>
      <xdr:rowOff>76200</xdr:rowOff>
    </xdr:to>
    <xdr:cxnSp macro="">
      <xdr:nvCxnSpPr>
        <xdr:cNvPr id="75986" name="직선 화살표 연결선 75985">
          <a:extLst>
            <a:ext uri="{FF2B5EF4-FFF2-40B4-BE49-F238E27FC236}">
              <a16:creationId xmlns:a16="http://schemas.microsoft.com/office/drawing/2014/main" id="{03F7EC5F-2A1A-47B8-BFB7-2756C880211D}"/>
            </a:ext>
          </a:extLst>
        </xdr:cNvPr>
        <xdr:cNvCxnSpPr/>
      </xdr:nvCxnSpPr>
      <xdr:spPr>
        <a:xfrm>
          <a:off x="13683343" y="1277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20683</xdr:colOff>
      <xdr:row>81</xdr:row>
      <xdr:rowOff>19050</xdr:rowOff>
    </xdr:from>
    <xdr:to>
      <xdr:col>50</xdr:col>
      <xdr:colOff>125366</xdr:colOff>
      <xdr:row>81</xdr:row>
      <xdr:rowOff>133350</xdr:rowOff>
    </xdr:to>
    <xdr:sp macro="" textlink="">
      <xdr:nvSpPr>
        <xdr:cNvPr id="75987" name="78">
          <a:extLst>
            <a:ext uri="{FF2B5EF4-FFF2-40B4-BE49-F238E27FC236}">
              <a16:creationId xmlns:a16="http://schemas.microsoft.com/office/drawing/2014/main" id="{AA9D178E-2BB8-4883-89EE-15FE63D3EF11}"/>
            </a:ext>
          </a:extLst>
        </xdr:cNvPr>
        <xdr:cNvSpPr/>
      </xdr:nvSpPr>
      <xdr:spPr>
        <a:xfrm>
          <a:off x="13538563" y="1256919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20683</xdr:colOff>
      <xdr:row>81</xdr:row>
      <xdr:rowOff>76200</xdr:rowOff>
    </xdr:from>
    <xdr:to>
      <xdr:col>50</xdr:col>
      <xdr:colOff>20683</xdr:colOff>
      <xdr:row>81</xdr:row>
      <xdr:rowOff>76200</xdr:rowOff>
    </xdr:to>
    <xdr:cxnSp macro="">
      <xdr:nvCxnSpPr>
        <xdr:cNvPr id="75988" name="직선 화살표 연결선 75987">
          <a:extLst>
            <a:ext uri="{FF2B5EF4-FFF2-40B4-BE49-F238E27FC236}">
              <a16:creationId xmlns:a16="http://schemas.microsoft.com/office/drawing/2014/main" id="{A0F70005-5762-44E5-94BC-18F3B339B308}"/>
            </a:ext>
          </a:extLst>
        </xdr:cNvPr>
        <xdr:cNvCxnSpPr/>
      </xdr:nvCxnSpPr>
      <xdr:spPr>
        <a:xfrm>
          <a:off x="13538563" y="12626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20683</xdr:colOff>
      <xdr:row>80</xdr:row>
      <xdr:rowOff>19050</xdr:rowOff>
    </xdr:from>
    <xdr:to>
      <xdr:col>52</xdr:col>
      <xdr:colOff>125367</xdr:colOff>
      <xdr:row>80</xdr:row>
      <xdr:rowOff>133350</xdr:rowOff>
    </xdr:to>
    <xdr:sp macro="" textlink="">
      <xdr:nvSpPr>
        <xdr:cNvPr id="75989" name="77">
          <a:extLst>
            <a:ext uri="{FF2B5EF4-FFF2-40B4-BE49-F238E27FC236}">
              <a16:creationId xmlns:a16="http://schemas.microsoft.com/office/drawing/2014/main" id="{CF6556EF-5FEA-4686-90D3-65EA2B0B9432}"/>
            </a:ext>
          </a:extLst>
        </xdr:cNvPr>
        <xdr:cNvSpPr/>
      </xdr:nvSpPr>
      <xdr:spPr>
        <a:xfrm>
          <a:off x="13538563" y="1241679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20683</xdr:colOff>
      <xdr:row>80</xdr:row>
      <xdr:rowOff>76200</xdr:rowOff>
    </xdr:from>
    <xdr:to>
      <xdr:col>50</xdr:col>
      <xdr:colOff>20683</xdr:colOff>
      <xdr:row>80</xdr:row>
      <xdr:rowOff>76200</xdr:rowOff>
    </xdr:to>
    <xdr:cxnSp macro="">
      <xdr:nvCxnSpPr>
        <xdr:cNvPr id="75990" name="직선 화살표 연결선 75989">
          <a:extLst>
            <a:ext uri="{FF2B5EF4-FFF2-40B4-BE49-F238E27FC236}">
              <a16:creationId xmlns:a16="http://schemas.microsoft.com/office/drawing/2014/main" id="{CC2060F6-9E29-413E-9979-134E82F01578}"/>
            </a:ext>
          </a:extLst>
        </xdr:cNvPr>
        <xdr:cNvCxnSpPr/>
      </xdr:nvCxnSpPr>
      <xdr:spPr>
        <a:xfrm>
          <a:off x="13538563" y="12473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79</xdr:row>
      <xdr:rowOff>19050</xdr:rowOff>
    </xdr:from>
    <xdr:to>
      <xdr:col>35</xdr:col>
      <xdr:colOff>84001</xdr:colOff>
      <xdr:row>79</xdr:row>
      <xdr:rowOff>133350</xdr:rowOff>
    </xdr:to>
    <xdr:sp macro="" textlink="">
      <xdr:nvSpPr>
        <xdr:cNvPr id="75991" name="76">
          <a:extLst>
            <a:ext uri="{FF2B5EF4-FFF2-40B4-BE49-F238E27FC236}">
              <a16:creationId xmlns:a16="http://schemas.microsoft.com/office/drawing/2014/main" id="{0D538302-721C-4FED-9949-CC211B1CD7A5}"/>
            </a:ext>
          </a:extLst>
        </xdr:cNvPr>
        <xdr:cNvSpPr/>
      </xdr:nvSpPr>
      <xdr:spPr>
        <a:xfrm>
          <a:off x="11408228" y="12264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79</xdr:row>
      <xdr:rowOff>76200</xdr:rowOff>
    </xdr:from>
    <xdr:to>
      <xdr:col>35</xdr:col>
      <xdr:colOff>62048</xdr:colOff>
      <xdr:row>79</xdr:row>
      <xdr:rowOff>76200</xdr:rowOff>
    </xdr:to>
    <xdr:cxnSp macro="">
      <xdr:nvCxnSpPr>
        <xdr:cNvPr id="75992" name="직선 화살표 연결선 75991">
          <a:extLst>
            <a:ext uri="{FF2B5EF4-FFF2-40B4-BE49-F238E27FC236}">
              <a16:creationId xmlns:a16="http://schemas.microsoft.com/office/drawing/2014/main" id="{3F773B94-7249-43B3-B586-A18A57A1F24C}"/>
            </a:ext>
          </a:extLst>
        </xdr:cNvPr>
        <xdr:cNvCxnSpPr/>
      </xdr:nvCxnSpPr>
      <xdr:spPr>
        <a:xfrm>
          <a:off x="11408228" y="1232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78</xdr:row>
      <xdr:rowOff>19050</xdr:rowOff>
    </xdr:from>
    <xdr:to>
      <xdr:col>35</xdr:col>
      <xdr:colOff>84001</xdr:colOff>
      <xdr:row>78</xdr:row>
      <xdr:rowOff>133350</xdr:rowOff>
    </xdr:to>
    <xdr:sp macro="" textlink="">
      <xdr:nvSpPr>
        <xdr:cNvPr id="75993" name="75">
          <a:extLst>
            <a:ext uri="{FF2B5EF4-FFF2-40B4-BE49-F238E27FC236}">
              <a16:creationId xmlns:a16="http://schemas.microsoft.com/office/drawing/2014/main" id="{42E9AE8C-DA44-4BA4-9A54-2CDEF0A82B87}"/>
            </a:ext>
          </a:extLst>
        </xdr:cNvPr>
        <xdr:cNvSpPr/>
      </xdr:nvSpPr>
      <xdr:spPr>
        <a:xfrm>
          <a:off x="11408228" y="1211199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78</xdr:row>
      <xdr:rowOff>76200</xdr:rowOff>
    </xdr:from>
    <xdr:to>
      <xdr:col>35</xdr:col>
      <xdr:colOff>62048</xdr:colOff>
      <xdr:row>78</xdr:row>
      <xdr:rowOff>76200</xdr:rowOff>
    </xdr:to>
    <xdr:cxnSp macro="">
      <xdr:nvCxnSpPr>
        <xdr:cNvPr id="75994" name="직선 화살표 연결선 75993">
          <a:extLst>
            <a:ext uri="{FF2B5EF4-FFF2-40B4-BE49-F238E27FC236}">
              <a16:creationId xmlns:a16="http://schemas.microsoft.com/office/drawing/2014/main" id="{0EC1C82E-FED2-4685-B03D-ABABAEF11C7B}"/>
            </a:ext>
          </a:extLst>
        </xdr:cNvPr>
        <xdr:cNvCxnSpPr/>
      </xdr:nvCxnSpPr>
      <xdr:spPr>
        <a:xfrm>
          <a:off x="11408228" y="1216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77</xdr:row>
      <xdr:rowOff>19050</xdr:rowOff>
    </xdr:from>
    <xdr:to>
      <xdr:col>66</xdr:col>
      <xdr:colOff>125367</xdr:colOff>
      <xdr:row>77</xdr:row>
      <xdr:rowOff>133350</xdr:rowOff>
    </xdr:to>
    <xdr:sp macro="" textlink="">
      <xdr:nvSpPr>
        <xdr:cNvPr id="75995" name="74">
          <a:extLst>
            <a:ext uri="{FF2B5EF4-FFF2-40B4-BE49-F238E27FC236}">
              <a16:creationId xmlns:a16="http://schemas.microsoft.com/office/drawing/2014/main" id="{73436536-C4AD-4D95-8ADB-5E81C7437D12}"/>
            </a:ext>
          </a:extLst>
        </xdr:cNvPr>
        <xdr:cNvSpPr/>
      </xdr:nvSpPr>
      <xdr:spPr>
        <a:xfrm>
          <a:off x="11408228" y="11959590"/>
          <a:ext cx="45514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77</xdr:row>
      <xdr:rowOff>76200</xdr:rowOff>
    </xdr:from>
    <xdr:to>
      <xdr:col>35</xdr:col>
      <xdr:colOff>62048</xdr:colOff>
      <xdr:row>77</xdr:row>
      <xdr:rowOff>76200</xdr:rowOff>
    </xdr:to>
    <xdr:cxnSp macro="">
      <xdr:nvCxnSpPr>
        <xdr:cNvPr id="75996" name="직선 화살표 연결선 75995">
          <a:extLst>
            <a:ext uri="{FF2B5EF4-FFF2-40B4-BE49-F238E27FC236}">
              <a16:creationId xmlns:a16="http://schemas.microsoft.com/office/drawing/2014/main" id="{30E6BEDF-7584-4238-BC0B-9C07AB33FB42}"/>
            </a:ext>
          </a:extLst>
        </xdr:cNvPr>
        <xdr:cNvCxnSpPr/>
      </xdr:nvCxnSpPr>
      <xdr:spPr>
        <a:xfrm>
          <a:off x="11408228" y="1201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41366</xdr:colOff>
      <xdr:row>76</xdr:row>
      <xdr:rowOff>19050</xdr:rowOff>
    </xdr:from>
    <xdr:to>
      <xdr:col>74</xdr:col>
      <xdr:colOff>63319</xdr:colOff>
      <xdr:row>76</xdr:row>
      <xdr:rowOff>133350</xdr:rowOff>
    </xdr:to>
    <xdr:sp macro="" textlink="">
      <xdr:nvSpPr>
        <xdr:cNvPr id="75997" name="73">
          <a:extLst>
            <a:ext uri="{FF2B5EF4-FFF2-40B4-BE49-F238E27FC236}">
              <a16:creationId xmlns:a16="http://schemas.microsoft.com/office/drawing/2014/main" id="{7D82F51B-D22B-47E3-B630-5B8A7D97E7E1}"/>
            </a:ext>
          </a:extLst>
        </xdr:cNvPr>
        <xdr:cNvSpPr/>
      </xdr:nvSpPr>
      <xdr:spPr>
        <a:xfrm>
          <a:off x="17033966" y="118071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41366</xdr:colOff>
      <xdr:row>76</xdr:row>
      <xdr:rowOff>76200</xdr:rowOff>
    </xdr:from>
    <xdr:to>
      <xdr:col>74</xdr:col>
      <xdr:colOff>41366</xdr:colOff>
      <xdr:row>76</xdr:row>
      <xdr:rowOff>76200</xdr:rowOff>
    </xdr:to>
    <xdr:cxnSp macro="">
      <xdr:nvCxnSpPr>
        <xdr:cNvPr id="75998" name="직선 화살표 연결선 75997">
          <a:extLst>
            <a:ext uri="{FF2B5EF4-FFF2-40B4-BE49-F238E27FC236}">
              <a16:creationId xmlns:a16="http://schemas.microsoft.com/office/drawing/2014/main" id="{41ADF1C2-A904-408E-AD4F-ECE78F7B9AEE}"/>
            </a:ext>
          </a:extLst>
        </xdr:cNvPr>
        <xdr:cNvCxnSpPr/>
      </xdr:nvCxnSpPr>
      <xdr:spPr>
        <a:xfrm>
          <a:off x="17033966" y="1186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41365</xdr:colOff>
      <xdr:row>75</xdr:row>
      <xdr:rowOff>19050</xdr:rowOff>
    </xdr:from>
    <xdr:to>
      <xdr:col>65</xdr:col>
      <xdr:colOff>63319</xdr:colOff>
      <xdr:row>75</xdr:row>
      <xdr:rowOff>133350</xdr:rowOff>
    </xdr:to>
    <xdr:sp macro="" textlink="">
      <xdr:nvSpPr>
        <xdr:cNvPr id="75999" name="72">
          <a:extLst>
            <a:ext uri="{FF2B5EF4-FFF2-40B4-BE49-F238E27FC236}">
              <a16:creationId xmlns:a16="http://schemas.microsoft.com/office/drawing/2014/main" id="{DD1756E3-0013-49DB-97E7-E106D49A1694}"/>
            </a:ext>
          </a:extLst>
        </xdr:cNvPr>
        <xdr:cNvSpPr/>
      </xdr:nvSpPr>
      <xdr:spPr>
        <a:xfrm>
          <a:off x="15730945" y="1165479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41365</xdr:colOff>
      <xdr:row>75</xdr:row>
      <xdr:rowOff>76200</xdr:rowOff>
    </xdr:from>
    <xdr:to>
      <xdr:col>65</xdr:col>
      <xdr:colOff>41365</xdr:colOff>
      <xdr:row>75</xdr:row>
      <xdr:rowOff>76200</xdr:rowOff>
    </xdr:to>
    <xdr:cxnSp macro="">
      <xdr:nvCxnSpPr>
        <xdr:cNvPr id="76000" name="직선 화살표 연결선 75999">
          <a:extLst>
            <a:ext uri="{FF2B5EF4-FFF2-40B4-BE49-F238E27FC236}">
              <a16:creationId xmlns:a16="http://schemas.microsoft.com/office/drawing/2014/main" id="{6AB9EBDE-EED7-4AE4-B612-BDCFB8370E04}"/>
            </a:ext>
          </a:extLst>
        </xdr:cNvPr>
        <xdr:cNvCxnSpPr/>
      </xdr:nvCxnSpPr>
      <xdr:spPr>
        <a:xfrm>
          <a:off x="15730945" y="1171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41366</xdr:colOff>
      <xdr:row>74</xdr:row>
      <xdr:rowOff>19050</xdr:rowOff>
    </xdr:from>
    <xdr:to>
      <xdr:col>57</xdr:col>
      <xdr:colOff>63318</xdr:colOff>
      <xdr:row>74</xdr:row>
      <xdr:rowOff>133350</xdr:rowOff>
    </xdr:to>
    <xdr:sp macro="" textlink="">
      <xdr:nvSpPr>
        <xdr:cNvPr id="76001" name="71">
          <a:extLst>
            <a:ext uri="{FF2B5EF4-FFF2-40B4-BE49-F238E27FC236}">
              <a16:creationId xmlns:a16="http://schemas.microsoft.com/office/drawing/2014/main" id="{F4DC9DB6-F4F4-46FA-BBEE-E3FC134045B3}"/>
            </a:ext>
          </a:extLst>
        </xdr:cNvPr>
        <xdr:cNvSpPr/>
      </xdr:nvSpPr>
      <xdr:spPr>
        <a:xfrm>
          <a:off x="14572706" y="115023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41366</xdr:colOff>
      <xdr:row>74</xdr:row>
      <xdr:rowOff>76200</xdr:rowOff>
    </xdr:from>
    <xdr:to>
      <xdr:col>57</xdr:col>
      <xdr:colOff>41366</xdr:colOff>
      <xdr:row>74</xdr:row>
      <xdr:rowOff>76200</xdr:rowOff>
    </xdr:to>
    <xdr:cxnSp macro="">
      <xdr:nvCxnSpPr>
        <xdr:cNvPr id="76002" name="직선 화살표 연결선 76001">
          <a:extLst>
            <a:ext uri="{FF2B5EF4-FFF2-40B4-BE49-F238E27FC236}">
              <a16:creationId xmlns:a16="http://schemas.microsoft.com/office/drawing/2014/main" id="{B0057175-B5C0-4E6B-88C7-0601A58F05E3}"/>
            </a:ext>
          </a:extLst>
        </xdr:cNvPr>
        <xdr:cNvCxnSpPr/>
      </xdr:nvCxnSpPr>
      <xdr:spPr>
        <a:xfrm>
          <a:off x="14572706" y="1155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41366</xdr:colOff>
      <xdr:row>73</xdr:row>
      <xdr:rowOff>19050</xdr:rowOff>
    </xdr:from>
    <xdr:to>
      <xdr:col>39</xdr:col>
      <xdr:colOff>63319</xdr:colOff>
      <xdr:row>73</xdr:row>
      <xdr:rowOff>133350</xdr:rowOff>
    </xdr:to>
    <xdr:sp macro="" textlink="">
      <xdr:nvSpPr>
        <xdr:cNvPr id="76003" name="70">
          <a:extLst>
            <a:ext uri="{FF2B5EF4-FFF2-40B4-BE49-F238E27FC236}">
              <a16:creationId xmlns:a16="http://schemas.microsoft.com/office/drawing/2014/main" id="{00FFD7BA-280B-4DC9-BE88-186A37A7E0F6}"/>
            </a:ext>
          </a:extLst>
        </xdr:cNvPr>
        <xdr:cNvSpPr/>
      </xdr:nvSpPr>
      <xdr:spPr>
        <a:xfrm>
          <a:off x="11966666" y="113499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41366</xdr:colOff>
      <xdr:row>73</xdr:row>
      <xdr:rowOff>76200</xdr:rowOff>
    </xdr:from>
    <xdr:to>
      <xdr:col>39</xdr:col>
      <xdr:colOff>41366</xdr:colOff>
      <xdr:row>73</xdr:row>
      <xdr:rowOff>76200</xdr:rowOff>
    </xdr:to>
    <xdr:cxnSp macro="">
      <xdr:nvCxnSpPr>
        <xdr:cNvPr id="76004" name="직선 화살표 연결선 76003">
          <a:extLst>
            <a:ext uri="{FF2B5EF4-FFF2-40B4-BE49-F238E27FC236}">
              <a16:creationId xmlns:a16="http://schemas.microsoft.com/office/drawing/2014/main" id="{530F85AA-CBBD-409E-8CA7-29F331B9D789}"/>
            </a:ext>
          </a:extLst>
        </xdr:cNvPr>
        <xdr:cNvCxnSpPr/>
      </xdr:nvCxnSpPr>
      <xdr:spPr>
        <a:xfrm>
          <a:off x="11966666" y="1140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41366</xdr:colOff>
      <xdr:row>72</xdr:row>
      <xdr:rowOff>19050</xdr:rowOff>
    </xdr:from>
    <xdr:to>
      <xdr:col>74</xdr:col>
      <xdr:colOff>63319</xdr:colOff>
      <xdr:row>72</xdr:row>
      <xdr:rowOff>133350</xdr:rowOff>
    </xdr:to>
    <xdr:sp macro="" textlink="">
      <xdr:nvSpPr>
        <xdr:cNvPr id="76005" name="69">
          <a:extLst>
            <a:ext uri="{FF2B5EF4-FFF2-40B4-BE49-F238E27FC236}">
              <a16:creationId xmlns:a16="http://schemas.microsoft.com/office/drawing/2014/main" id="{F241E81F-2DFC-4BB0-9761-7440EB0E6D1D}"/>
            </a:ext>
          </a:extLst>
        </xdr:cNvPr>
        <xdr:cNvSpPr/>
      </xdr:nvSpPr>
      <xdr:spPr>
        <a:xfrm>
          <a:off x="11966666" y="11197590"/>
          <a:ext cx="50892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41366</xdr:colOff>
      <xdr:row>72</xdr:row>
      <xdr:rowOff>76200</xdr:rowOff>
    </xdr:from>
    <xdr:to>
      <xdr:col>39</xdr:col>
      <xdr:colOff>41366</xdr:colOff>
      <xdr:row>72</xdr:row>
      <xdr:rowOff>76200</xdr:rowOff>
    </xdr:to>
    <xdr:cxnSp macro="">
      <xdr:nvCxnSpPr>
        <xdr:cNvPr id="76006" name="직선 화살표 연결선 76005">
          <a:extLst>
            <a:ext uri="{FF2B5EF4-FFF2-40B4-BE49-F238E27FC236}">
              <a16:creationId xmlns:a16="http://schemas.microsoft.com/office/drawing/2014/main" id="{B32C1466-371F-4C76-9A73-B15C429E3BC8}"/>
            </a:ext>
          </a:extLst>
        </xdr:cNvPr>
        <xdr:cNvCxnSpPr/>
      </xdr:nvCxnSpPr>
      <xdr:spPr>
        <a:xfrm>
          <a:off x="11966666" y="1125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82732</xdr:colOff>
      <xdr:row>71</xdr:row>
      <xdr:rowOff>19050</xdr:rowOff>
    </xdr:from>
    <xdr:to>
      <xdr:col>81</xdr:col>
      <xdr:colOff>104684</xdr:colOff>
      <xdr:row>71</xdr:row>
      <xdr:rowOff>133350</xdr:rowOff>
    </xdr:to>
    <xdr:sp macro="" textlink="">
      <xdr:nvSpPr>
        <xdr:cNvPr id="76007" name="68">
          <a:extLst>
            <a:ext uri="{FF2B5EF4-FFF2-40B4-BE49-F238E27FC236}">
              <a16:creationId xmlns:a16="http://schemas.microsoft.com/office/drawing/2014/main" id="{A33FCB9C-D80D-4A33-93A0-536D05873829}"/>
            </a:ext>
          </a:extLst>
        </xdr:cNvPr>
        <xdr:cNvSpPr/>
      </xdr:nvSpPr>
      <xdr:spPr>
        <a:xfrm>
          <a:off x="18088792" y="110451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82732</xdr:colOff>
      <xdr:row>71</xdr:row>
      <xdr:rowOff>76200</xdr:rowOff>
    </xdr:from>
    <xdr:to>
      <xdr:col>81</xdr:col>
      <xdr:colOff>82732</xdr:colOff>
      <xdr:row>71</xdr:row>
      <xdr:rowOff>76200</xdr:rowOff>
    </xdr:to>
    <xdr:cxnSp macro="">
      <xdr:nvCxnSpPr>
        <xdr:cNvPr id="76008" name="직선 화살표 연결선 76007">
          <a:extLst>
            <a:ext uri="{FF2B5EF4-FFF2-40B4-BE49-F238E27FC236}">
              <a16:creationId xmlns:a16="http://schemas.microsoft.com/office/drawing/2014/main" id="{375C337C-3B18-4A4B-B681-7AB4C8059371}"/>
            </a:ext>
          </a:extLst>
        </xdr:cNvPr>
        <xdr:cNvCxnSpPr/>
      </xdr:nvCxnSpPr>
      <xdr:spPr>
        <a:xfrm>
          <a:off x="18088792" y="1110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82732</xdr:colOff>
      <xdr:row>70</xdr:row>
      <xdr:rowOff>19050</xdr:rowOff>
    </xdr:from>
    <xdr:to>
      <xdr:col>80</xdr:col>
      <xdr:colOff>104684</xdr:colOff>
      <xdr:row>70</xdr:row>
      <xdr:rowOff>133350</xdr:rowOff>
    </xdr:to>
    <xdr:sp macro="" textlink="">
      <xdr:nvSpPr>
        <xdr:cNvPr id="76009" name="67">
          <a:extLst>
            <a:ext uri="{FF2B5EF4-FFF2-40B4-BE49-F238E27FC236}">
              <a16:creationId xmlns:a16="http://schemas.microsoft.com/office/drawing/2014/main" id="{677C1407-FE74-4F49-B64D-F227A9876C16}"/>
            </a:ext>
          </a:extLst>
        </xdr:cNvPr>
        <xdr:cNvSpPr/>
      </xdr:nvSpPr>
      <xdr:spPr>
        <a:xfrm>
          <a:off x="17944012" y="10892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80</xdr:col>
      <xdr:colOff>82732</xdr:colOff>
      <xdr:row>70</xdr:row>
      <xdr:rowOff>76200</xdr:rowOff>
    </xdr:from>
    <xdr:to>
      <xdr:col>80</xdr:col>
      <xdr:colOff>82732</xdr:colOff>
      <xdr:row>70</xdr:row>
      <xdr:rowOff>76200</xdr:rowOff>
    </xdr:to>
    <xdr:cxnSp macro="">
      <xdr:nvCxnSpPr>
        <xdr:cNvPr id="76010" name="직선 화살표 연결선 76009">
          <a:extLst>
            <a:ext uri="{FF2B5EF4-FFF2-40B4-BE49-F238E27FC236}">
              <a16:creationId xmlns:a16="http://schemas.microsoft.com/office/drawing/2014/main" id="{533C3275-0612-4A5D-814A-B93C4A33F01D}"/>
            </a:ext>
          </a:extLst>
        </xdr:cNvPr>
        <xdr:cNvCxnSpPr/>
      </xdr:nvCxnSpPr>
      <xdr:spPr>
        <a:xfrm>
          <a:off x="17944012" y="1094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82731</xdr:colOff>
      <xdr:row>69</xdr:row>
      <xdr:rowOff>19050</xdr:rowOff>
    </xdr:from>
    <xdr:to>
      <xdr:col>79</xdr:col>
      <xdr:colOff>104684</xdr:colOff>
      <xdr:row>69</xdr:row>
      <xdr:rowOff>133350</xdr:rowOff>
    </xdr:to>
    <xdr:sp macro="" textlink="">
      <xdr:nvSpPr>
        <xdr:cNvPr id="76011" name="66">
          <a:extLst>
            <a:ext uri="{FF2B5EF4-FFF2-40B4-BE49-F238E27FC236}">
              <a16:creationId xmlns:a16="http://schemas.microsoft.com/office/drawing/2014/main" id="{1B6833CD-01FC-45A9-9CEA-1913760F472D}"/>
            </a:ext>
          </a:extLst>
        </xdr:cNvPr>
        <xdr:cNvSpPr/>
      </xdr:nvSpPr>
      <xdr:spPr>
        <a:xfrm>
          <a:off x="17799231" y="10740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82731</xdr:colOff>
      <xdr:row>69</xdr:row>
      <xdr:rowOff>76200</xdr:rowOff>
    </xdr:from>
    <xdr:to>
      <xdr:col>79</xdr:col>
      <xdr:colOff>82731</xdr:colOff>
      <xdr:row>69</xdr:row>
      <xdr:rowOff>76200</xdr:rowOff>
    </xdr:to>
    <xdr:cxnSp macro="">
      <xdr:nvCxnSpPr>
        <xdr:cNvPr id="76012" name="직선 화살표 연결선 76011">
          <a:extLst>
            <a:ext uri="{FF2B5EF4-FFF2-40B4-BE49-F238E27FC236}">
              <a16:creationId xmlns:a16="http://schemas.microsoft.com/office/drawing/2014/main" id="{FBA3B3F3-B38A-4396-9681-8E9CE9C230E8}"/>
            </a:ext>
          </a:extLst>
        </xdr:cNvPr>
        <xdr:cNvCxnSpPr/>
      </xdr:nvCxnSpPr>
      <xdr:spPr>
        <a:xfrm>
          <a:off x="17799231" y="1079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82731</xdr:colOff>
      <xdr:row>68</xdr:row>
      <xdr:rowOff>19050</xdr:rowOff>
    </xdr:from>
    <xdr:to>
      <xdr:col>78</xdr:col>
      <xdr:colOff>104683</xdr:colOff>
      <xdr:row>68</xdr:row>
      <xdr:rowOff>133350</xdr:rowOff>
    </xdr:to>
    <xdr:sp macro="" textlink="">
      <xdr:nvSpPr>
        <xdr:cNvPr id="76013" name="65">
          <a:extLst>
            <a:ext uri="{FF2B5EF4-FFF2-40B4-BE49-F238E27FC236}">
              <a16:creationId xmlns:a16="http://schemas.microsoft.com/office/drawing/2014/main" id="{17AEAE92-62DF-4B7F-A503-1393DE0AA801}"/>
            </a:ext>
          </a:extLst>
        </xdr:cNvPr>
        <xdr:cNvSpPr/>
      </xdr:nvSpPr>
      <xdr:spPr>
        <a:xfrm>
          <a:off x="17654451" y="10587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82731</xdr:colOff>
      <xdr:row>68</xdr:row>
      <xdr:rowOff>76200</xdr:rowOff>
    </xdr:from>
    <xdr:to>
      <xdr:col>78</xdr:col>
      <xdr:colOff>82731</xdr:colOff>
      <xdr:row>68</xdr:row>
      <xdr:rowOff>76200</xdr:rowOff>
    </xdr:to>
    <xdr:cxnSp macro="">
      <xdr:nvCxnSpPr>
        <xdr:cNvPr id="76014" name="직선 화살표 연결선 76013">
          <a:extLst>
            <a:ext uri="{FF2B5EF4-FFF2-40B4-BE49-F238E27FC236}">
              <a16:creationId xmlns:a16="http://schemas.microsoft.com/office/drawing/2014/main" id="{960D51FE-7EEE-438A-AE67-0F6C36F475F3}"/>
            </a:ext>
          </a:extLst>
        </xdr:cNvPr>
        <xdr:cNvCxnSpPr/>
      </xdr:nvCxnSpPr>
      <xdr:spPr>
        <a:xfrm>
          <a:off x="17654451" y="1064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82731</xdr:colOff>
      <xdr:row>67</xdr:row>
      <xdr:rowOff>19050</xdr:rowOff>
    </xdr:from>
    <xdr:to>
      <xdr:col>77</xdr:col>
      <xdr:colOff>104684</xdr:colOff>
      <xdr:row>67</xdr:row>
      <xdr:rowOff>133350</xdr:rowOff>
    </xdr:to>
    <xdr:sp macro="" textlink="">
      <xdr:nvSpPr>
        <xdr:cNvPr id="76015" name="64">
          <a:extLst>
            <a:ext uri="{FF2B5EF4-FFF2-40B4-BE49-F238E27FC236}">
              <a16:creationId xmlns:a16="http://schemas.microsoft.com/office/drawing/2014/main" id="{84648536-A3B4-4B0A-8916-A115A4D12DB9}"/>
            </a:ext>
          </a:extLst>
        </xdr:cNvPr>
        <xdr:cNvSpPr/>
      </xdr:nvSpPr>
      <xdr:spPr>
        <a:xfrm>
          <a:off x="17509671" y="10435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82731</xdr:colOff>
      <xdr:row>67</xdr:row>
      <xdr:rowOff>76200</xdr:rowOff>
    </xdr:from>
    <xdr:to>
      <xdr:col>77</xdr:col>
      <xdr:colOff>82731</xdr:colOff>
      <xdr:row>67</xdr:row>
      <xdr:rowOff>76200</xdr:rowOff>
    </xdr:to>
    <xdr:cxnSp macro="">
      <xdr:nvCxnSpPr>
        <xdr:cNvPr id="76016" name="직선 화살표 연결선 76015">
          <a:extLst>
            <a:ext uri="{FF2B5EF4-FFF2-40B4-BE49-F238E27FC236}">
              <a16:creationId xmlns:a16="http://schemas.microsoft.com/office/drawing/2014/main" id="{96FB618F-018E-4CE5-81C7-8500DD3429C8}"/>
            </a:ext>
          </a:extLst>
        </xdr:cNvPr>
        <xdr:cNvCxnSpPr/>
      </xdr:nvCxnSpPr>
      <xdr:spPr>
        <a:xfrm>
          <a:off x="17509671" y="1049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103414</xdr:colOff>
      <xdr:row>66</xdr:row>
      <xdr:rowOff>19050</xdr:rowOff>
    </xdr:from>
    <xdr:to>
      <xdr:col>76</xdr:col>
      <xdr:colOff>125367</xdr:colOff>
      <xdr:row>66</xdr:row>
      <xdr:rowOff>133350</xdr:rowOff>
    </xdr:to>
    <xdr:sp macro="" textlink="">
      <xdr:nvSpPr>
        <xdr:cNvPr id="76017" name="63">
          <a:extLst>
            <a:ext uri="{FF2B5EF4-FFF2-40B4-BE49-F238E27FC236}">
              <a16:creationId xmlns:a16="http://schemas.microsoft.com/office/drawing/2014/main" id="{98854524-FDA6-48A7-A5E9-AF1745D605FA}"/>
            </a:ext>
          </a:extLst>
        </xdr:cNvPr>
        <xdr:cNvSpPr/>
      </xdr:nvSpPr>
      <xdr:spPr>
        <a:xfrm>
          <a:off x="17385574" y="102831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103414</xdr:colOff>
      <xdr:row>66</xdr:row>
      <xdr:rowOff>76200</xdr:rowOff>
    </xdr:from>
    <xdr:to>
      <xdr:col>76</xdr:col>
      <xdr:colOff>103414</xdr:colOff>
      <xdr:row>66</xdr:row>
      <xdr:rowOff>76200</xdr:rowOff>
    </xdr:to>
    <xdr:cxnSp macro="">
      <xdr:nvCxnSpPr>
        <xdr:cNvPr id="76018" name="직선 화살표 연결선 76017">
          <a:extLst>
            <a:ext uri="{FF2B5EF4-FFF2-40B4-BE49-F238E27FC236}">
              <a16:creationId xmlns:a16="http://schemas.microsoft.com/office/drawing/2014/main" id="{49CCDC94-CB31-45CD-8C0E-DB13CE230D69}"/>
            </a:ext>
          </a:extLst>
        </xdr:cNvPr>
        <xdr:cNvCxnSpPr/>
      </xdr:nvCxnSpPr>
      <xdr:spPr>
        <a:xfrm>
          <a:off x="17385574" y="1034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103414</xdr:colOff>
      <xdr:row>65</xdr:row>
      <xdr:rowOff>19050</xdr:rowOff>
    </xdr:from>
    <xdr:to>
      <xdr:col>75</xdr:col>
      <xdr:colOff>125366</xdr:colOff>
      <xdr:row>65</xdr:row>
      <xdr:rowOff>133350</xdr:rowOff>
    </xdr:to>
    <xdr:sp macro="" textlink="">
      <xdr:nvSpPr>
        <xdr:cNvPr id="76019" name="62">
          <a:extLst>
            <a:ext uri="{FF2B5EF4-FFF2-40B4-BE49-F238E27FC236}">
              <a16:creationId xmlns:a16="http://schemas.microsoft.com/office/drawing/2014/main" id="{D764B3B4-FBF0-4D1E-A839-9CA5A3EDCF17}"/>
            </a:ext>
          </a:extLst>
        </xdr:cNvPr>
        <xdr:cNvSpPr/>
      </xdr:nvSpPr>
      <xdr:spPr>
        <a:xfrm>
          <a:off x="17240794" y="10130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103414</xdr:colOff>
      <xdr:row>65</xdr:row>
      <xdr:rowOff>76200</xdr:rowOff>
    </xdr:from>
    <xdr:to>
      <xdr:col>75</xdr:col>
      <xdr:colOff>103414</xdr:colOff>
      <xdr:row>65</xdr:row>
      <xdr:rowOff>76200</xdr:rowOff>
    </xdr:to>
    <xdr:cxnSp macro="">
      <xdr:nvCxnSpPr>
        <xdr:cNvPr id="76020" name="직선 화살표 연결선 76019">
          <a:extLst>
            <a:ext uri="{FF2B5EF4-FFF2-40B4-BE49-F238E27FC236}">
              <a16:creationId xmlns:a16="http://schemas.microsoft.com/office/drawing/2014/main" id="{67A6A3E8-FF81-43F0-8EC5-2E11D00001E9}"/>
            </a:ext>
          </a:extLst>
        </xdr:cNvPr>
        <xdr:cNvCxnSpPr/>
      </xdr:nvCxnSpPr>
      <xdr:spPr>
        <a:xfrm>
          <a:off x="17240794" y="1018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82731</xdr:colOff>
      <xdr:row>64</xdr:row>
      <xdr:rowOff>19050</xdr:rowOff>
    </xdr:from>
    <xdr:to>
      <xdr:col>74</xdr:col>
      <xdr:colOff>104684</xdr:colOff>
      <xdr:row>64</xdr:row>
      <xdr:rowOff>133350</xdr:rowOff>
    </xdr:to>
    <xdr:sp macro="" textlink="">
      <xdr:nvSpPr>
        <xdr:cNvPr id="76021" name="61">
          <a:extLst>
            <a:ext uri="{FF2B5EF4-FFF2-40B4-BE49-F238E27FC236}">
              <a16:creationId xmlns:a16="http://schemas.microsoft.com/office/drawing/2014/main" id="{86D8D534-C4A4-455F-A93A-F0FB19F0C1F6}"/>
            </a:ext>
          </a:extLst>
        </xdr:cNvPr>
        <xdr:cNvSpPr/>
      </xdr:nvSpPr>
      <xdr:spPr>
        <a:xfrm>
          <a:off x="17075331" y="9978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82731</xdr:colOff>
      <xdr:row>64</xdr:row>
      <xdr:rowOff>76200</xdr:rowOff>
    </xdr:from>
    <xdr:to>
      <xdr:col>74</xdr:col>
      <xdr:colOff>82731</xdr:colOff>
      <xdr:row>64</xdr:row>
      <xdr:rowOff>76200</xdr:rowOff>
    </xdr:to>
    <xdr:cxnSp macro="">
      <xdr:nvCxnSpPr>
        <xdr:cNvPr id="76022" name="직선 화살표 연결선 76021">
          <a:extLst>
            <a:ext uri="{FF2B5EF4-FFF2-40B4-BE49-F238E27FC236}">
              <a16:creationId xmlns:a16="http://schemas.microsoft.com/office/drawing/2014/main" id="{2DDE3B94-3506-4C10-801C-06B709B08BD6}"/>
            </a:ext>
          </a:extLst>
        </xdr:cNvPr>
        <xdr:cNvCxnSpPr/>
      </xdr:nvCxnSpPr>
      <xdr:spPr>
        <a:xfrm>
          <a:off x="17075331" y="1003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82731</xdr:colOff>
      <xdr:row>63</xdr:row>
      <xdr:rowOff>19050</xdr:rowOff>
    </xdr:from>
    <xdr:to>
      <xdr:col>73</xdr:col>
      <xdr:colOff>104683</xdr:colOff>
      <xdr:row>63</xdr:row>
      <xdr:rowOff>133350</xdr:rowOff>
    </xdr:to>
    <xdr:sp macro="" textlink="">
      <xdr:nvSpPr>
        <xdr:cNvPr id="76023" name="60">
          <a:extLst>
            <a:ext uri="{FF2B5EF4-FFF2-40B4-BE49-F238E27FC236}">
              <a16:creationId xmlns:a16="http://schemas.microsoft.com/office/drawing/2014/main" id="{6413ECB9-1830-459A-A813-8C5493D7124F}"/>
            </a:ext>
          </a:extLst>
        </xdr:cNvPr>
        <xdr:cNvSpPr/>
      </xdr:nvSpPr>
      <xdr:spPr>
        <a:xfrm>
          <a:off x="16930551" y="9825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82731</xdr:colOff>
      <xdr:row>63</xdr:row>
      <xdr:rowOff>76200</xdr:rowOff>
    </xdr:from>
    <xdr:to>
      <xdr:col>73</xdr:col>
      <xdr:colOff>82731</xdr:colOff>
      <xdr:row>63</xdr:row>
      <xdr:rowOff>76200</xdr:rowOff>
    </xdr:to>
    <xdr:cxnSp macro="">
      <xdr:nvCxnSpPr>
        <xdr:cNvPr id="76024" name="직선 화살표 연결선 76023">
          <a:extLst>
            <a:ext uri="{FF2B5EF4-FFF2-40B4-BE49-F238E27FC236}">
              <a16:creationId xmlns:a16="http://schemas.microsoft.com/office/drawing/2014/main" id="{49F4586F-C0B7-4685-B08C-048F4A7CE09E}"/>
            </a:ext>
          </a:extLst>
        </xdr:cNvPr>
        <xdr:cNvCxnSpPr/>
      </xdr:nvCxnSpPr>
      <xdr:spPr>
        <a:xfrm>
          <a:off x="16930551" y="988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82731</xdr:colOff>
      <xdr:row>62</xdr:row>
      <xdr:rowOff>19050</xdr:rowOff>
    </xdr:from>
    <xdr:to>
      <xdr:col>72</xdr:col>
      <xdr:colOff>104684</xdr:colOff>
      <xdr:row>62</xdr:row>
      <xdr:rowOff>133350</xdr:rowOff>
    </xdr:to>
    <xdr:sp macro="" textlink="">
      <xdr:nvSpPr>
        <xdr:cNvPr id="76025" name="59">
          <a:extLst>
            <a:ext uri="{FF2B5EF4-FFF2-40B4-BE49-F238E27FC236}">
              <a16:creationId xmlns:a16="http://schemas.microsoft.com/office/drawing/2014/main" id="{FADCE590-3586-43C1-ABB6-279EABCA0209}"/>
            </a:ext>
          </a:extLst>
        </xdr:cNvPr>
        <xdr:cNvSpPr/>
      </xdr:nvSpPr>
      <xdr:spPr>
        <a:xfrm>
          <a:off x="16785771" y="9673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82731</xdr:colOff>
      <xdr:row>62</xdr:row>
      <xdr:rowOff>76200</xdr:rowOff>
    </xdr:from>
    <xdr:to>
      <xdr:col>72</xdr:col>
      <xdr:colOff>82731</xdr:colOff>
      <xdr:row>62</xdr:row>
      <xdr:rowOff>76200</xdr:rowOff>
    </xdr:to>
    <xdr:cxnSp macro="">
      <xdr:nvCxnSpPr>
        <xdr:cNvPr id="76026" name="직선 화살표 연결선 76025">
          <a:extLst>
            <a:ext uri="{FF2B5EF4-FFF2-40B4-BE49-F238E27FC236}">
              <a16:creationId xmlns:a16="http://schemas.microsoft.com/office/drawing/2014/main" id="{2570E00F-D818-4C85-8DC1-FB307E7F65EB}"/>
            </a:ext>
          </a:extLst>
        </xdr:cNvPr>
        <xdr:cNvCxnSpPr/>
      </xdr:nvCxnSpPr>
      <xdr:spPr>
        <a:xfrm>
          <a:off x="16785771" y="973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82732</xdr:colOff>
      <xdr:row>61</xdr:row>
      <xdr:rowOff>19050</xdr:rowOff>
    </xdr:from>
    <xdr:to>
      <xdr:col>71</xdr:col>
      <xdr:colOff>104684</xdr:colOff>
      <xdr:row>61</xdr:row>
      <xdr:rowOff>133350</xdr:rowOff>
    </xdr:to>
    <xdr:sp macro="" textlink="">
      <xdr:nvSpPr>
        <xdr:cNvPr id="76027" name="58">
          <a:extLst>
            <a:ext uri="{FF2B5EF4-FFF2-40B4-BE49-F238E27FC236}">
              <a16:creationId xmlns:a16="http://schemas.microsoft.com/office/drawing/2014/main" id="{16CE3AF7-4B1B-4A39-829C-D5D4057CF33F}"/>
            </a:ext>
          </a:extLst>
        </xdr:cNvPr>
        <xdr:cNvSpPr/>
      </xdr:nvSpPr>
      <xdr:spPr>
        <a:xfrm>
          <a:off x="16640992" y="95211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82732</xdr:colOff>
      <xdr:row>61</xdr:row>
      <xdr:rowOff>76200</xdr:rowOff>
    </xdr:from>
    <xdr:to>
      <xdr:col>71</xdr:col>
      <xdr:colOff>82732</xdr:colOff>
      <xdr:row>61</xdr:row>
      <xdr:rowOff>76200</xdr:rowOff>
    </xdr:to>
    <xdr:cxnSp macro="">
      <xdr:nvCxnSpPr>
        <xdr:cNvPr id="76028" name="직선 화살표 연결선 76027">
          <a:extLst>
            <a:ext uri="{FF2B5EF4-FFF2-40B4-BE49-F238E27FC236}">
              <a16:creationId xmlns:a16="http://schemas.microsoft.com/office/drawing/2014/main" id="{ED4F0DF3-A33D-4D7C-9F64-4F25A409EC2A}"/>
            </a:ext>
          </a:extLst>
        </xdr:cNvPr>
        <xdr:cNvCxnSpPr/>
      </xdr:nvCxnSpPr>
      <xdr:spPr>
        <a:xfrm>
          <a:off x="16640992" y="957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82732</xdr:colOff>
      <xdr:row>60</xdr:row>
      <xdr:rowOff>19050</xdr:rowOff>
    </xdr:from>
    <xdr:to>
      <xdr:col>70</xdr:col>
      <xdr:colOff>104684</xdr:colOff>
      <xdr:row>60</xdr:row>
      <xdr:rowOff>133350</xdr:rowOff>
    </xdr:to>
    <xdr:sp macro="" textlink="">
      <xdr:nvSpPr>
        <xdr:cNvPr id="76029" name="57">
          <a:extLst>
            <a:ext uri="{FF2B5EF4-FFF2-40B4-BE49-F238E27FC236}">
              <a16:creationId xmlns:a16="http://schemas.microsoft.com/office/drawing/2014/main" id="{59A38C94-2141-4B28-A8AC-06233922BC09}"/>
            </a:ext>
          </a:extLst>
        </xdr:cNvPr>
        <xdr:cNvSpPr/>
      </xdr:nvSpPr>
      <xdr:spPr>
        <a:xfrm>
          <a:off x="16496212" y="9368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82732</xdr:colOff>
      <xdr:row>60</xdr:row>
      <xdr:rowOff>76200</xdr:rowOff>
    </xdr:from>
    <xdr:to>
      <xdr:col>70</xdr:col>
      <xdr:colOff>82732</xdr:colOff>
      <xdr:row>60</xdr:row>
      <xdr:rowOff>76200</xdr:rowOff>
    </xdr:to>
    <xdr:cxnSp macro="">
      <xdr:nvCxnSpPr>
        <xdr:cNvPr id="76030" name="직선 화살표 연결선 76029">
          <a:extLst>
            <a:ext uri="{FF2B5EF4-FFF2-40B4-BE49-F238E27FC236}">
              <a16:creationId xmlns:a16="http://schemas.microsoft.com/office/drawing/2014/main" id="{27FD1BEE-A403-4E41-BDBE-41340CB2B2F1}"/>
            </a:ext>
          </a:extLst>
        </xdr:cNvPr>
        <xdr:cNvCxnSpPr/>
      </xdr:nvCxnSpPr>
      <xdr:spPr>
        <a:xfrm>
          <a:off x="16496212" y="942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82731</xdr:colOff>
      <xdr:row>59</xdr:row>
      <xdr:rowOff>19050</xdr:rowOff>
    </xdr:from>
    <xdr:to>
      <xdr:col>69</xdr:col>
      <xdr:colOff>104684</xdr:colOff>
      <xdr:row>59</xdr:row>
      <xdr:rowOff>133350</xdr:rowOff>
    </xdr:to>
    <xdr:sp macro="" textlink="">
      <xdr:nvSpPr>
        <xdr:cNvPr id="76031" name="56">
          <a:extLst>
            <a:ext uri="{FF2B5EF4-FFF2-40B4-BE49-F238E27FC236}">
              <a16:creationId xmlns:a16="http://schemas.microsoft.com/office/drawing/2014/main" id="{16A50FBD-07EA-4364-A732-CB5DB3256856}"/>
            </a:ext>
          </a:extLst>
        </xdr:cNvPr>
        <xdr:cNvSpPr/>
      </xdr:nvSpPr>
      <xdr:spPr>
        <a:xfrm>
          <a:off x="16351431" y="9216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82731</xdr:colOff>
      <xdr:row>59</xdr:row>
      <xdr:rowOff>76200</xdr:rowOff>
    </xdr:from>
    <xdr:to>
      <xdr:col>69</xdr:col>
      <xdr:colOff>82731</xdr:colOff>
      <xdr:row>59</xdr:row>
      <xdr:rowOff>76200</xdr:rowOff>
    </xdr:to>
    <xdr:cxnSp macro="">
      <xdr:nvCxnSpPr>
        <xdr:cNvPr id="76032" name="직선 화살표 연결선 76031">
          <a:extLst>
            <a:ext uri="{FF2B5EF4-FFF2-40B4-BE49-F238E27FC236}">
              <a16:creationId xmlns:a16="http://schemas.microsoft.com/office/drawing/2014/main" id="{2D3D1AD5-AE30-4C2D-8804-D95613411A59}"/>
            </a:ext>
          </a:extLst>
        </xdr:cNvPr>
        <xdr:cNvCxnSpPr/>
      </xdr:nvCxnSpPr>
      <xdr:spPr>
        <a:xfrm>
          <a:off x="16351431" y="927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82731</xdr:colOff>
      <xdr:row>58</xdr:row>
      <xdr:rowOff>19050</xdr:rowOff>
    </xdr:from>
    <xdr:to>
      <xdr:col>68</xdr:col>
      <xdr:colOff>104683</xdr:colOff>
      <xdr:row>58</xdr:row>
      <xdr:rowOff>133350</xdr:rowOff>
    </xdr:to>
    <xdr:sp macro="" textlink="">
      <xdr:nvSpPr>
        <xdr:cNvPr id="76033" name="55">
          <a:extLst>
            <a:ext uri="{FF2B5EF4-FFF2-40B4-BE49-F238E27FC236}">
              <a16:creationId xmlns:a16="http://schemas.microsoft.com/office/drawing/2014/main" id="{7B5CFA7D-61E4-4FD5-9C1A-FD26FF6D4A77}"/>
            </a:ext>
          </a:extLst>
        </xdr:cNvPr>
        <xdr:cNvSpPr/>
      </xdr:nvSpPr>
      <xdr:spPr>
        <a:xfrm>
          <a:off x="16206651" y="9063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82731</xdr:colOff>
      <xdr:row>58</xdr:row>
      <xdr:rowOff>76200</xdr:rowOff>
    </xdr:from>
    <xdr:to>
      <xdr:col>68</xdr:col>
      <xdr:colOff>82731</xdr:colOff>
      <xdr:row>58</xdr:row>
      <xdr:rowOff>76200</xdr:rowOff>
    </xdr:to>
    <xdr:cxnSp macro="">
      <xdr:nvCxnSpPr>
        <xdr:cNvPr id="76034" name="직선 화살표 연결선 76033">
          <a:extLst>
            <a:ext uri="{FF2B5EF4-FFF2-40B4-BE49-F238E27FC236}">
              <a16:creationId xmlns:a16="http://schemas.microsoft.com/office/drawing/2014/main" id="{AD2A08BD-C7C2-48E5-AC30-012670C075D2}"/>
            </a:ext>
          </a:extLst>
        </xdr:cNvPr>
        <xdr:cNvCxnSpPr/>
      </xdr:nvCxnSpPr>
      <xdr:spPr>
        <a:xfrm>
          <a:off x="16206651" y="912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82731</xdr:colOff>
      <xdr:row>57</xdr:row>
      <xdr:rowOff>19050</xdr:rowOff>
    </xdr:from>
    <xdr:to>
      <xdr:col>67</xdr:col>
      <xdr:colOff>104684</xdr:colOff>
      <xdr:row>57</xdr:row>
      <xdr:rowOff>133350</xdr:rowOff>
    </xdr:to>
    <xdr:sp macro="" textlink="">
      <xdr:nvSpPr>
        <xdr:cNvPr id="76035" name="54">
          <a:extLst>
            <a:ext uri="{FF2B5EF4-FFF2-40B4-BE49-F238E27FC236}">
              <a16:creationId xmlns:a16="http://schemas.microsoft.com/office/drawing/2014/main" id="{94D10D3B-D417-4F3F-A229-5DDA51260244}"/>
            </a:ext>
          </a:extLst>
        </xdr:cNvPr>
        <xdr:cNvSpPr/>
      </xdr:nvSpPr>
      <xdr:spPr>
        <a:xfrm>
          <a:off x="16061871" y="8911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82731</xdr:colOff>
      <xdr:row>57</xdr:row>
      <xdr:rowOff>76200</xdr:rowOff>
    </xdr:from>
    <xdr:to>
      <xdr:col>67</xdr:col>
      <xdr:colOff>82731</xdr:colOff>
      <xdr:row>57</xdr:row>
      <xdr:rowOff>76200</xdr:rowOff>
    </xdr:to>
    <xdr:cxnSp macro="">
      <xdr:nvCxnSpPr>
        <xdr:cNvPr id="76036" name="직선 화살표 연결선 76035">
          <a:extLst>
            <a:ext uri="{FF2B5EF4-FFF2-40B4-BE49-F238E27FC236}">
              <a16:creationId xmlns:a16="http://schemas.microsoft.com/office/drawing/2014/main" id="{D0BEFF00-C52E-49C0-A85C-96FABB57FBAD}"/>
            </a:ext>
          </a:extLst>
        </xdr:cNvPr>
        <xdr:cNvCxnSpPr/>
      </xdr:nvCxnSpPr>
      <xdr:spPr>
        <a:xfrm>
          <a:off x="16061871" y="896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82732</xdr:colOff>
      <xdr:row>56</xdr:row>
      <xdr:rowOff>19050</xdr:rowOff>
    </xdr:from>
    <xdr:to>
      <xdr:col>66</xdr:col>
      <xdr:colOff>104684</xdr:colOff>
      <xdr:row>56</xdr:row>
      <xdr:rowOff>133350</xdr:rowOff>
    </xdr:to>
    <xdr:sp macro="" textlink="">
      <xdr:nvSpPr>
        <xdr:cNvPr id="76037" name="53">
          <a:extLst>
            <a:ext uri="{FF2B5EF4-FFF2-40B4-BE49-F238E27FC236}">
              <a16:creationId xmlns:a16="http://schemas.microsoft.com/office/drawing/2014/main" id="{5F558B75-B3DE-49F8-AAC7-31282BF9DA05}"/>
            </a:ext>
          </a:extLst>
        </xdr:cNvPr>
        <xdr:cNvSpPr/>
      </xdr:nvSpPr>
      <xdr:spPr>
        <a:xfrm>
          <a:off x="15917092" y="87591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82732</xdr:colOff>
      <xdr:row>56</xdr:row>
      <xdr:rowOff>76200</xdr:rowOff>
    </xdr:from>
    <xdr:to>
      <xdr:col>66</xdr:col>
      <xdr:colOff>82732</xdr:colOff>
      <xdr:row>56</xdr:row>
      <xdr:rowOff>76200</xdr:rowOff>
    </xdr:to>
    <xdr:cxnSp macro="">
      <xdr:nvCxnSpPr>
        <xdr:cNvPr id="76038" name="직선 화살표 연결선 76037">
          <a:extLst>
            <a:ext uri="{FF2B5EF4-FFF2-40B4-BE49-F238E27FC236}">
              <a16:creationId xmlns:a16="http://schemas.microsoft.com/office/drawing/2014/main" id="{4FCEF6E0-C873-4107-B320-743BA9CECB43}"/>
            </a:ext>
          </a:extLst>
        </xdr:cNvPr>
        <xdr:cNvCxnSpPr/>
      </xdr:nvCxnSpPr>
      <xdr:spPr>
        <a:xfrm>
          <a:off x="15917092" y="8816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82732</xdr:colOff>
      <xdr:row>55</xdr:row>
      <xdr:rowOff>19050</xdr:rowOff>
    </xdr:from>
    <xdr:to>
      <xdr:col>65</xdr:col>
      <xdr:colOff>104684</xdr:colOff>
      <xdr:row>55</xdr:row>
      <xdr:rowOff>133350</xdr:rowOff>
    </xdr:to>
    <xdr:sp macro="" textlink="">
      <xdr:nvSpPr>
        <xdr:cNvPr id="76039" name="52">
          <a:extLst>
            <a:ext uri="{FF2B5EF4-FFF2-40B4-BE49-F238E27FC236}">
              <a16:creationId xmlns:a16="http://schemas.microsoft.com/office/drawing/2014/main" id="{387B1D6B-CCBA-4D2D-92D9-E525EA369AF2}"/>
            </a:ext>
          </a:extLst>
        </xdr:cNvPr>
        <xdr:cNvSpPr/>
      </xdr:nvSpPr>
      <xdr:spPr>
        <a:xfrm>
          <a:off x="15772312" y="8606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82732</xdr:colOff>
      <xdr:row>55</xdr:row>
      <xdr:rowOff>76200</xdr:rowOff>
    </xdr:from>
    <xdr:to>
      <xdr:col>65</xdr:col>
      <xdr:colOff>82732</xdr:colOff>
      <xdr:row>55</xdr:row>
      <xdr:rowOff>76200</xdr:rowOff>
    </xdr:to>
    <xdr:cxnSp macro="">
      <xdr:nvCxnSpPr>
        <xdr:cNvPr id="76040" name="직선 화살표 연결선 76039">
          <a:extLst>
            <a:ext uri="{FF2B5EF4-FFF2-40B4-BE49-F238E27FC236}">
              <a16:creationId xmlns:a16="http://schemas.microsoft.com/office/drawing/2014/main" id="{7539F217-93EE-46F3-AAA2-8A839A976BFD}"/>
            </a:ext>
          </a:extLst>
        </xdr:cNvPr>
        <xdr:cNvCxnSpPr/>
      </xdr:nvCxnSpPr>
      <xdr:spPr>
        <a:xfrm>
          <a:off x="15772312" y="8663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103414</xdr:colOff>
      <xdr:row>54</xdr:row>
      <xdr:rowOff>19050</xdr:rowOff>
    </xdr:from>
    <xdr:to>
      <xdr:col>65</xdr:col>
      <xdr:colOff>85634</xdr:colOff>
      <xdr:row>54</xdr:row>
      <xdr:rowOff>146050</xdr:rowOff>
    </xdr:to>
    <xdr:sp macro="" textlink="">
      <xdr:nvSpPr>
        <xdr:cNvPr id="76041" name="51">
          <a:extLst>
            <a:ext uri="{FF2B5EF4-FFF2-40B4-BE49-F238E27FC236}">
              <a16:creationId xmlns:a16="http://schemas.microsoft.com/office/drawing/2014/main" id="{D27983F9-9D9B-450D-ACE8-46720D0EA4BB}"/>
            </a:ext>
          </a:extLst>
        </xdr:cNvPr>
        <xdr:cNvSpPr/>
      </xdr:nvSpPr>
      <xdr:spPr>
        <a:xfrm>
          <a:off x="15648214" y="84543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82731</xdr:colOff>
      <xdr:row>53</xdr:row>
      <xdr:rowOff>19050</xdr:rowOff>
    </xdr:from>
    <xdr:to>
      <xdr:col>63</xdr:col>
      <xdr:colOff>104683</xdr:colOff>
      <xdr:row>53</xdr:row>
      <xdr:rowOff>133350</xdr:rowOff>
    </xdr:to>
    <xdr:sp macro="" textlink="">
      <xdr:nvSpPr>
        <xdr:cNvPr id="76042" name="50">
          <a:extLst>
            <a:ext uri="{FF2B5EF4-FFF2-40B4-BE49-F238E27FC236}">
              <a16:creationId xmlns:a16="http://schemas.microsoft.com/office/drawing/2014/main" id="{BF7B87DB-B451-4C7B-BAC8-2406033FA5EB}"/>
            </a:ext>
          </a:extLst>
        </xdr:cNvPr>
        <xdr:cNvSpPr/>
      </xdr:nvSpPr>
      <xdr:spPr>
        <a:xfrm>
          <a:off x="15482751" y="8301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82731</xdr:colOff>
      <xdr:row>53</xdr:row>
      <xdr:rowOff>76200</xdr:rowOff>
    </xdr:from>
    <xdr:to>
      <xdr:col>63</xdr:col>
      <xdr:colOff>82731</xdr:colOff>
      <xdr:row>53</xdr:row>
      <xdr:rowOff>76200</xdr:rowOff>
    </xdr:to>
    <xdr:cxnSp macro="">
      <xdr:nvCxnSpPr>
        <xdr:cNvPr id="76043" name="직선 화살표 연결선 76042">
          <a:extLst>
            <a:ext uri="{FF2B5EF4-FFF2-40B4-BE49-F238E27FC236}">
              <a16:creationId xmlns:a16="http://schemas.microsoft.com/office/drawing/2014/main" id="{CA34BCBB-3F1E-42D4-89F9-89E4ADEE53B6}"/>
            </a:ext>
          </a:extLst>
        </xdr:cNvPr>
        <xdr:cNvCxnSpPr/>
      </xdr:nvCxnSpPr>
      <xdr:spPr>
        <a:xfrm>
          <a:off x="15482751" y="835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82731</xdr:colOff>
      <xdr:row>52</xdr:row>
      <xdr:rowOff>19050</xdr:rowOff>
    </xdr:from>
    <xdr:to>
      <xdr:col>62</xdr:col>
      <xdr:colOff>104684</xdr:colOff>
      <xdr:row>52</xdr:row>
      <xdr:rowOff>133350</xdr:rowOff>
    </xdr:to>
    <xdr:sp macro="" textlink="">
      <xdr:nvSpPr>
        <xdr:cNvPr id="76044" name="49">
          <a:extLst>
            <a:ext uri="{FF2B5EF4-FFF2-40B4-BE49-F238E27FC236}">
              <a16:creationId xmlns:a16="http://schemas.microsoft.com/office/drawing/2014/main" id="{459E2488-3471-41FA-AE56-B0FF1ED52786}"/>
            </a:ext>
          </a:extLst>
        </xdr:cNvPr>
        <xdr:cNvSpPr/>
      </xdr:nvSpPr>
      <xdr:spPr>
        <a:xfrm>
          <a:off x="15337971" y="8149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82731</xdr:colOff>
      <xdr:row>52</xdr:row>
      <xdr:rowOff>76200</xdr:rowOff>
    </xdr:from>
    <xdr:to>
      <xdr:col>62</xdr:col>
      <xdr:colOff>82731</xdr:colOff>
      <xdr:row>52</xdr:row>
      <xdr:rowOff>76200</xdr:rowOff>
    </xdr:to>
    <xdr:cxnSp macro="">
      <xdr:nvCxnSpPr>
        <xdr:cNvPr id="76045" name="직선 화살표 연결선 76044">
          <a:extLst>
            <a:ext uri="{FF2B5EF4-FFF2-40B4-BE49-F238E27FC236}">
              <a16:creationId xmlns:a16="http://schemas.microsoft.com/office/drawing/2014/main" id="{3DECDE7E-8037-4553-8FBE-272125ADA5D4}"/>
            </a:ext>
          </a:extLst>
        </xdr:cNvPr>
        <xdr:cNvCxnSpPr/>
      </xdr:nvCxnSpPr>
      <xdr:spPr>
        <a:xfrm>
          <a:off x="15337971" y="820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82732</xdr:colOff>
      <xdr:row>51</xdr:row>
      <xdr:rowOff>19050</xdr:rowOff>
    </xdr:from>
    <xdr:to>
      <xdr:col>61</xdr:col>
      <xdr:colOff>104684</xdr:colOff>
      <xdr:row>51</xdr:row>
      <xdr:rowOff>133350</xdr:rowOff>
    </xdr:to>
    <xdr:sp macro="" textlink="">
      <xdr:nvSpPr>
        <xdr:cNvPr id="76046" name="48">
          <a:extLst>
            <a:ext uri="{FF2B5EF4-FFF2-40B4-BE49-F238E27FC236}">
              <a16:creationId xmlns:a16="http://schemas.microsoft.com/office/drawing/2014/main" id="{87EEE28B-58E4-48B1-9596-341FD7C7B54A}"/>
            </a:ext>
          </a:extLst>
        </xdr:cNvPr>
        <xdr:cNvSpPr/>
      </xdr:nvSpPr>
      <xdr:spPr>
        <a:xfrm>
          <a:off x="15193192" y="79971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82732</xdr:colOff>
      <xdr:row>51</xdr:row>
      <xdr:rowOff>76200</xdr:rowOff>
    </xdr:from>
    <xdr:to>
      <xdr:col>61</xdr:col>
      <xdr:colOff>82732</xdr:colOff>
      <xdr:row>51</xdr:row>
      <xdr:rowOff>76200</xdr:rowOff>
    </xdr:to>
    <xdr:cxnSp macro="">
      <xdr:nvCxnSpPr>
        <xdr:cNvPr id="76047" name="직선 화살표 연결선 76046">
          <a:extLst>
            <a:ext uri="{FF2B5EF4-FFF2-40B4-BE49-F238E27FC236}">
              <a16:creationId xmlns:a16="http://schemas.microsoft.com/office/drawing/2014/main" id="{D744B808-D79F-4219-AE41-A6BF5B3F042F}"/>
            </a:ext>
          </a:extLst>
        </xdr:cNvPr>
        <xdr:cNvCxnSpPr/>
      </xdr:nvCxnSpPr>
      <xdr:spPr>
        <a:xfrm>
          <a:off x="15193192" y="805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82732</xdr:colOff>
      <xdr:row>50</xdr:row>
      <xdr:rowOff>19050</xdr:rowOff>
    </xdr:from>
    <xdr:to>
      <xdr:col>60</xdr:col>
      <xdr:colOff>104684</xdr:colOff>
      <xdr:row>50</xdr:row>
      <xdr:rowOff>133350</xdr:rowOff>
    </xdr:to>
    <xdr:sp macro="" textlink="">
      <xdr:nvSpPr>
        <xdr:cNvPr id="76048" name="47">
          <a:extLst>
            <a:ext uri="{FF2B5EF4-FFF2-40B4-BE49-F238E27FC236}">
              <a16:creationId xmlns:a16="http://schemas.microsoft.com/office/drawing/2014/main" id="{12DDDE73-7CFB-47EB-B802-0D3EB132579B}"/>
            </a:ext>
          </a:extLst>
        </xdr:cNvPr>
        <xdr:cNvSpPr/>
      </xdr:nvSpPr>
      <xdr:spPr>
        <a:xfrm>
          <a:off x="15048412" y="7844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82732</xdr:colOff>
      <xdr:row>50</xdr:row>
      <xdr:rowOff>76200</xdr:rowOff>
    </xdr:from>
    <xdr:to>
      <xdr:col>60</xdr:col>
      <xdr:colOff>82732</xdr:colOff>
      <xdr:row>50</xdr:row>
      <xdr:rowOff>76200</xdr:rowOff>
    </xdr:to>
    <xdr:cxnSp macro="">
      <xdr:nvCxnSpPr>
        <xdr:cNvPr id="76049" name="직선 화살표 연결선 76048">
          <a:extLst>
            <a:ext uri="{FF2B5EF4-FFF2-40B4-BE49-F238E27FC236}">
              <a16:creationId xmlns:a16="http://schemas.microsoft.com/office/drawing/2014/main" id="{BEBD65CC-4AF6-4078-83E5-67B45A6FA2B1}"/>
            </a:ext>
          </a:extLst>
        </xdr:cNvPr>
        <xdr:cNvCxnSpPr/>
      </xdr:nvCxnSpPr>
      <xdr:spPr>
        <a:xfrm>
          <a:off x="15048412" y="790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82731</xdr:colOff>
      <xdr:row>49</xdr:row>
      <xdr:rowOff>19050</xdr:rowOff>
    </xdr:from>
    <xdr:to>
      <xdr:col>59</xdr:col>
      <xdr:colOff>104684</xdr:colOff>
      <xdr:row>49</xdr:row>
      <xdr:rowOff>133350</xdr:rowOff>
    </xdr:to>
    <xdr:sp macro="" textlink="">
      <xdr:nvSpPr>
        <xdr:cNvPr id="76050" name="46">
          <a:extLst>
            <a:ext uri="{FF2B5EF4-FFF2-40B4-BE49-F238E27FC236}">
              <a16:creationId xmlns:a16="http://schemas.microsoft.com/office/drawing/2014/main" id="{B423F41E-ECC0-4408-AF0F-674DFF8587E0}"/>
            </a:ext>
          </a:extLst>
        </xdr:cNvPr>
        <xdr:cNvSpPr/>
      </xdr:nvSpPr>
      <xdr:spPr>
        <a:xfrm>
          <a:off x="14903631" y="7692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82731</xdr:colOff>
      <xdr:row>49</xdr:row>
      <xdr:rowOff>76200</xdr:rowOff>
    </xdr:from>
    <xdr:to>
      <xdr:col>59</xdr:col>
      <xdr:colOff>82731</xdr:colOff>
      <xdr:row>49</xdr:row>
      <xdr:rowOff>76200</xdr:rowOff>
    </xdr:to>
    <xdr:cxnSp macro="">
      <xdr:nvCxnSpPr>
        <xdr:cNvPr id="76051" name="직선 화살표 연결선 76050">
          <a:extLst>
            <a:ext uri="{FF2B5EF4-FFF2-40B4-BE49-F238E27FC236}">
              <a16:creationId xmlns:a16="http://schemas.microsoft.com/office/drawing/2014/main" id="{5E2251AE-523E-4F02-B574-82FF4AD44356}"/>
            </a:ext>
          </a:extLst>
        </xdr:cNvPr>
        <xdr:cNvCxnSpPr/>
      </xdr:nvCxnSpPr>
      <xdr:spPr>
        <a:xfrm>
          <a:off x="14903631" y="774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82731</xdr:colOff>
      <xdr:row>48</xdr:row>
      <xdr:rowOff>19050</xdr:rowOff>
    </xdr:from>
    <xdr:to>
      <xdr:col>58</xdr:col>
      <xdr:colOff>104683</xdr:colOff>
      <xdr:row>48</xdr:row>
      <xdr:rowOff>133350</xdr:rowOff>
    </xdr:to>
    <xdr:sp macro="" textlink="">
      <xdr:nvSpPr>
        <xdr:cNvPr id="76052" name="45">
          <a:extLst>
            <a:ext uri="{FF2B5EF4-FFF2-40B4-BE49-F238E27FC236}">
              <a16:creationId xmlns:a16="http://schemas.microsoft.com/office/drawing/2014/main" id="{EB6BAF62-5B6F-4588-96B2-C295A3D112E3}"/>
            </a:ext>
          </a:extLst>
        </xdr:cNvPr>
        <xdr:cNvSpPr/>
      </xdr:nvSpPr>
      <xdr:spPr>
        <a:xfrm>
          <a:off x="14758851" y="7539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82731</xdr:colOff>
      <xdr:row>48</xdr:row>
      <xdr:rowOff>76200</xdr:rowOff>
    </xdr:from>
    <xdr:to>
      <xdr:col>58</xdr:col>
      <xdr:colOff>82731</xdr:colOff>
      <xdr:row>48</xdr:row>
      <xdr:rowOff>76200</xdr:rowOff>
    </xdr:to>
    <xdr:cxnSp macro="">
      <xdr:nvCxnSpPr>
        <xdr:cNvPr id="76053" name="직선 화살표 연결선 76052">
          <a:extLst>
            <a:ext uri="{FF2B5EF4-FFF2-40B4-BE49-F238E27FC236}">
              <a16:creationId xmlns:a16="http://schemas.microsoft.com/office/drawing/2014/main" id="{5AFE8C16-F9C5-4C81-9B06-A28EAB326232}"/>
            </a:ext>
          </a:extLst>
        </xdr:cNvPr>
        <xdr:cNvCxnSpPr/>
      </xdr:nvCxnSpPr>
      <xdr:spPr>
        <a:xfrm>
          <a:off x="14758851" y="759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82731</xdr:colOff>
      <xdr:row>47</xdr:row>
      <xdr:rowOff>19050</xdr:rowOff>
    </xdr:from>
    <xdr:to>
      <xdr:col>57</xdr:col>
      <xdr:colOff>104684</xdr:colOff>
      <xdr:row>47</xdr:row>
      <xdr:rowOff>133350</xdr:rowOff>
    </xdr:to>
    <xdr:sp macro="" textlink="">
      <xdr:nvSpPr>
        <xdr:cNvPr id="76054" name="44">
          <a:extLst>
            <a:ext uri="{FF2B5EF4-FFF2-40B4-BE49-F238E27FC236}">
              <a16:creationId xmlns:a16="http://schemas.microsoft.com/office/drawing/2014/main" id="{B7FA5E83-0BFF-48B7-8459-CDF25AA59FA5}"/>
            </a:ext>
          </a:extLst>
        </xdr:cNvPr>
        <xdr:cNvSpPr/>
      </xdr:nvSpPr>
      <xdr:spPr>
        <a:xfrm>
          <a:off x="14614071" y="7387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82731</xdr:colOff>
      <xdr:row>47</xdr:row>
      <xdr:rowOff>76200</xdr:rowOff>
    </xdr:from>
    <xdr:to>
      <xdr:col>57</xdr:col>
      <xdr:colOff>82731</xdr:colOff>
      <xdr:row>47</xdr:row>
      <xdr:rowOff>76200</xdr:rowOff>
    </xdr:to>
    <xdr:cxnSp macro="">
      <xdr:nvCxnSpPr>
        <xdr:cNvPr id="76055" name="직선 화살표 연결선 76054">
          <a:extLst>
            <a:ext uri="{FF2B5EF4-FFF2-40B4-BE49-F238E27FC236}">
              <a16:creationId xmlns:a16="http://schemas.microsoft.com/office/drawing/2014/main" id="{49101E3A-AE32-410D-B9C3-6165B9803070}"/>
            </a:ext>
          </a:extLst>
        </xdr:cNvPr>
        <xdr:cNvCxnSpPr/>
      </xdr:nvCxnSpPr>
      <xdr:spPr>
        <a:xfrm>
          <a:off x="14614071" y="744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82732</xdr:colOff>
      <xdr:row>46</xdr:row>
      <xdr:rowOff>19050</xdr:rowOff>
    </xdr:from>
    <xdr:to>
      <xdr:col>56</xdr:col>
      <xdr:colOff>104684</xdr:colOff>
      <xdr:row>46</xdr:row>
      <xdr:rowOff>133350</xdr:rowOff>
    </xdr:to>
    <xdr:sp macro="" textlink="">
      <xdr:nvSpPr>
        <xdr:cNvPr id="76056" name="43">
          <a:extLst>
            <a:ext uri="{FF2B5EF4-FFF2-40B4-BE49-F238E27FC236}">
              <a16:creationId xmlns:a16="http://schemas.microsoft.com/office/drawing/2014/main" id="{C4DB31DA-8598-4FD2-94F8-3139EF34A01A}"/>
            </a:ext>
          </a:extLst>
        </xdr:cNvPr>
        <xdr:cNvSpPr/>
      </xdr:nvSpPr>
      <xdr:spPr>
        <a:xfrm>
          <a:off x="14469292" y="72351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82732</xdr:colOff>
      <xdr:row>46</xdr:row>
      <xdr:rowOff>76200</xdr:rowOff>
    </xdr:from>
    <xdr:to>
      <xdr:col>56</xdr:col>
      <xdr:colOff>82732</xdr:colOff>
      <xdr:row>46</xdr:row>
      <xdr:rowOff>76200</xdr:rowOff>
    </xdr:to>
    <xdr:cxnSp macro="">
      <xdr:nvCxnSpPr>
        <xdr:cNvPr id="76057" name="직선 화살표 연결선 76056">
          <a:extLst>
            <a:ext uri="{FF2B5EF4-FFF2-40B4-BE49-F238E27FC236}">
              <a16:creationId xmlns:a16="http://schemas.microsoft.com/office/drawing/2014/main" id="{D5BA436C-AF6A-4474-B005-B38F572AE5F4}"/>
            </a:ext>
          </a:extLst>
        </xdr:cNvPr>
        <xdr:cNvCxnSpPr/>
      </xdr:nvCxnSpPr>
      <xdr:spPr>
        <a:xfrm>
          <a:off x="14469292" y="729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82732</xdr:colOff>
      <xdr:row>45</xdr:row>
      <xdr:rowOff>19050</xdr:rowOff>
    </xdr:from>
    <xdr:to>
      <xdr:col>55</xdr:col>
      <xdr:colOff>104684</xdr:colOff>
      <xdr:row>45</xdr:row>
      <xdr:rowOff>133350</xdr:rowOff>
    </xdr:to>
    <xdr:sp macro="" textlink="">
      <xdr:nvSpPr>
        <xdr:cNvPr id="76058" name="42">
          <a:extLst>
            <a:ext uri="{FF2B5EF4-FFF2-40B4-BE49-F238E27FC236}">
              <a16:creationId xmlns:a16="http://schemas.microsoft.com/office/drawing/2014/main" id="{0534E2FE-6B81-4332-B4A2-991D17915C7A}"/>
            </a:ext>
          </a:extLst>
        </xdr:cNvPr>
        <xdr:cNvSpPr/>
      </xdr:nvSpPr>
      <xdr:spPr>
        <a:xfrm>
          <a:off x="14324512" y="7082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82732</xdr:colOff>
      <xdr:row>45</xdr:row>
      <xdr:rowOff>76200</xdr:rowOff>
    </xdr:from>
    <xdr:to>
      <xdr:col>55</xdr:col>
      <xdr:colOff>82732</xdr:colOff>
      <xdr:row>45</xdr:row>
      <xdr:rowOff>76200</xdr:rowOff>
    </xdr:to>
    <xdr:cxnSp macro="">
      <xdr:nvCxnSpPr>
        <xdr:cNvPr id="76059" name="직선 화살표 연결선 76058">
          <a:extLst>
            <a:ext uri="{FF2B5EF4-FFF2-40B4-BE49-F238E27FC236}">
              <a16:creationId xmlns:a16="http://schemas.microsoft.com/office/drawing/2014/main" id="{84202964-3395-4CF1-B191-BA82698A07BA}"/>
            </a:ext>
          </a:extLst>
        </xdr:cNvPr>
        <xdr:cNvCxnSpPr/>
      </xdr:nvCxnSpPr>
      <xdr:spPr>
        <a:xfrm>
          <a:off x="14324512"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82731</xdr:colOff>
      <xdr:row>44</xdr:row>
      <xdr:rowOff>19050</xdr:rowOff>
    </xdr:from>
    <xdr:to>
      <xdr:col>54</xdr:col>
      <xdr:colOff>104684</xdr:colOff>
      <xdr:row>44</xdr:row>
      <xdr:rowOff>133350</xdr:rowOff>
    </xdr:to>
    <xdr:sp macro="" textlink="">
      <xdr:nvSpPr>
        <xdr:cNvPr id="76060" name="41">
          <a:extLst>
            <a:ext uri="{FF2B5EF4-FFF2-40B4-BE49-F238E27FC236}">
              <a16:creationId xmlns:a16="http://schemas.microsoft.com/office/drawing/2014/main" id="{A480FCED-09E9-4B5B-869E-B091EABFE8E6}"/>
            </a:ext>
          </a:extLst>
        </xdr:cNvPr>
        <xdr:cNvSpPr/>
      </xdr:nvSpPr>
      <xdr:spPr>
        <a:xfrm>
          <a:off x="14179731" y="6930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82731</xdr:colOff>
      <xdr:row>44</xdr:row>
      <xdr:rowOff>76200</xdr:rowOff>
    </xdr:from>
    <xdr:to>
      <xdr:col>54</xdr:col>
      <xdr:colOff>82731</xdr:colOff>
      <xdr:row>44</xdr:row>
      <xdr:rowOff>76200</xdr:rowOff>
    </xdr:to>
    <xdr:cxnSp macro="">
      <xdr:nvCxnSpPr>
        <xdr:cNvPr id="76061" name="직선 화살표 연결선 76060">
          <a:extLst>
            <a:ext uri="{FF2B5EF4-FFF2-40B4-BE49-F238E27FC236}">
              <a16:creationId xmlns:a16="http://schemas.microsoft.com/office/drawing/2014/main" id="{C41D335F-3260-4EEB-B2C4-D351E1CDA274}"/>
            </a:ext>
          </a:extLst>
        </xdr:cNvPr>
        <xdr:cNvCxnSpPr/>
      </xdr:nvCxnSpPr>
      <xdr:spPr>
        <a:xfrm>
          <a:off x="14179731" y="698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82731</xdr:colOff>
      <xdr:row>43</xdr:row>
      <xdr:rowOff>19050</xdr:rowOff>
    </xdr:from>
    <xdr:to>
      <xdr:col>53</xdr:col>
      <xdr:colOff>104683</xdr:colOff>
      <xdr:row>43</xdr:row>
      <xdr:rowOff>133350</xdr:rowOff>
    </xdr:to>
    <xdr:sp macro="" textlink="">
      <xdr:nvSpPr>
        <xdr:cNvPr id="76062" name="40">
          <a:extLst>
            <a:ext uri="{FF2B5EF4-FFF2-40B4-BE49-F238E27FC236}">
              <a16:creationId xmlns:a16="http://schemas.microsoft.com/office/drawing/2014/main" id="{3670A94C-F198-4F40-8694-B29541ADAB0B}"/>
            </a:ext>
          </a:extLst>
        </xdr:cNvPr>
        <xdr:cNvSpPr/>
      </xdr:nvSpPr>
      <xdr:spPr>
        <a:xfrm>
          <a:off x="14034951" y="6777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82731</xdr:colOff>
      <xdr:row>43</xdr:row>
      <xdr:rowOff>76200</xdr:rowOff>
    </xdr:from>
    <xdr:to>
      <xdr:col>53</xdr:col>
      <xdr:colOff>82731</xdr:colOff>
      <xdr:row>43</xdr:row>
      <xdr:rowOff>76200</xdr:rowOff>
    </xdr:to>
    <xdr:cxnSp macro="">
      <xdr:nvCxnSpPr>
        <xdr:cNvPr id="76063" name="직선 화살표 연결선 76062">
          <a:extLst>
            <a:ext uri="{FF2B5EF4-FFF2-40B4-BE49-F238E27FC236}">
              <a16:creationId xmlns:a16="http://schemas.microsoft.com/office/drawing/2014/main" id="{3D6DABFF-6D59-49AA-9427-5CCEACABA791}"/>
            </a:ext>
          </a:extLst>
        </xdr:cNvPr>
        <xdr:cNvCxnSpPr/>
      </xdr:nvCxnSpPr>
      <xdr:spPr>
        <a:xfrm>
          <a:off x="14034951" y="683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103415</xdr:colOff>
      <xdr:row>42</xdr:row>
      <xdr:rowOff>19050</xdr:rowOff>
    </xdr:from>
    <xdr:to>
      <xdr:col>52</xdr:col>
      <xdr:colOff>125367</xdr:colOff>
      <xdr:row>42</xdr:row>
      <xdr:rowOff>133350</xdr:rowOff>
    </xdr:to>
    <xdr:sp macro="" textlink="">
      <xdr:nvSpPr>
        <xdr:cNvPr id="76064" name="39">
          <a:extLst>
            <a:ext uri="{FF2B5EF4-FFF2-40B4-BE49-F238E27FC236}">
              <a16:creationId xmlns:a16="http://schemas.microsoft.com/office/drawing/2014/main" id="{EF8DE64C-902B-4AA6-B760-8922DC9D782A}"/>
            </a:ext>
          </a:extLst>
        </xdr:cNvPr>
        <xdr:cNvSpPr/>
      </xdr:nvSpPr>
      <xdr:spPr>
        <a:xfrm>
          <a:off x="13910855" y="66255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103415</xdr:colOff>
      <xdr:row>42</xdr:row>
      <xdr:rowOff>76200</xdr:rowOff>
    </xdr:from>
    <xdr:to>
      <xdr:col>52</xdr:col>
      <xdr:colOff>103415</xdr:colOff>
      <xdr:row>42</xdr:row>
      <xdr:rowOff>76200</xdr:rowOff>
    </xdr:to>
    <xdr:cxnSp macro="">
      <xdr:nvCxnSpPr>
        <xdr:cNvPr id="76065" name="직선 화살표 연결선 76064">
          <a:extLst>
            <a:ext uri="{FF2B5EF4-FFF2-40B4-BE49-F238E27FC236}">
              <a16:creationId xmlns:a16="http://schemas.microsoft.com/office/drawing/2014/main" id="{5BF04501-BAF0-46FB-88F2-295E72B11373}"/>
            </a:ext>
          </a:extLst>
        </xdr:cNvPr>
        <xdr:cNvCxnSpPr/>
      </xdr:nvCxnSpPr>
      <xdr:spPr>
        <a:xfrm>
          <a:off x="13910855" y="668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82732</xdr:colOff>
      <xdr:row>41</xdr:row>
      <xdr:rowOff>19050</xdr:rowOff>
    </xdr:from>
    <xdr:to>
      <xdr:col>51</xdr:col>
      <xdr:colOff>104684</xdr:colOff>
      <xdr:row>41</xdr:row>
      <xdr:rowOff>133350</xdr:rowOff>
    </xdr:to>
    <xdr:sp macro="" textlink="">
      <xdr:nvSpPr>
        <xdr:cNvPr id="76066" name="38">
          <a:extLst>
            <a:ext uri="{FF2B5EF4-FFF2-40B4-BE49-F238E27FC236}">
              <a16:creationId xmlns:a16="http://schemas.microsoft.com/office/drawing/2014/main" id="{D0D5082E-E4E7-4B3A-A440-9FC683465BEB}"/>
            </a:ext>
          </a:extLst>
        </xdr:cNvPr>
        <xdr:cNvSpPr/>
      </xdr:nvSpPr>
      <xdr:spPr>
        <a:xfrm>
          <a:off x="13745392" y="64731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82732</xdr:colOff>
      <xdr:row>41</xdr:row>
      <xdr:rowOff>76200</xdr:rowOff>
    </xdr:from>
    <xdr:to>
      <xdr:col>51</xdr:col>
      <xdr:colOff>82732</xdr:colOff>
      <xdr:row>41</xdr:row>
      <xdr:rowOff>76200</xdr:rowOff>
    </xdr:to>
    <xdr:cxnSp macro="">
      <xdr:nvCxnSpPr>
        <xdr:cNvPr id="76067" name="직선 화살표 연결선 76066">
          <a:extLst>
            <a:ext uri="{FF2B5EF4-FFF2-40B4-BE49-F238E27FC236}">
              <a16:creationId xmlns:a16="http://schemas.microsoft.com/office/drawing/2014/main" id="{8C61915D-A66A-47DE-82B7-BFF5C42C4F1A}"/>
            </a:ext>
          </a:extLst>
        </xdr:cNvPr>
        <xdr:cNvCxnSpPr/>
      </xdr:nvCxnSpPr>
      <xdr:spPr>
        <a:xfrm>
          <a:off x="13745392" y="653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82732</xdr:colOff>
      <xdr:row>40</xdr:row>
      <xdr:rowOff>19050</xdr:rowOff>
    </xdr:from>
    <xdr:to>
      <xdr:col>50</xdr:col>
      <xdr:colOff>104684</xdr:colOff>
      <xdr:row>40</xdr:row>
      <xdr:rowOff>133350</xdr:rowOff>
    </xdr:to>
    <xdr:sp macro="" textlink="">
      <xdr:nvSpPr>
        <xdr:cNvPr id="76068" name="37">
          <a:extLst>
            <a:ext uri="{FF2B5EF4-FFF2-40B4-BE49-F238E27FC236}">
              <a16:creationId xmlns:a16="http://schemas.microsoft.com/office/drawing/2014/main" id="{48000E20-0362-4F2D-B265-BA3A6C80AADE}"/>
            </a:ext>
          </a:extLst>
        </xdr:cNvPr>
        <xdr:cNvSpPr/>
      </xdr:nvSpPr>
      <xdr:spPr>
        <a:xfrm>
          <a:off x="13600612" y="6320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82732</xdr:colOff>
      <xdr:row>40</xdr:row>
      <xdr:rowOff>76200</xdr:rowOff>
    </xdr:from>
    <xdr:to>
      <xdr:col>50</xdr:col>
      <xdr:colOff>82732</xdr:colOff>
      <xdr:row>40</xdr:row>
      <xdr:rowOff>76200</xdr:rowOff>
    </xdr:to>
    <xdr:cxnSp macro="">
      <xdr:nvCxnSpPr>
        <xdr:cNvPr id="76069" name="직선 화살표 연결선 76068">
          <a:extLst>
            <a:ext uri="{FF2B5EF4-FFF2-40B4-BE49-F238E27FC236}">
              <a16:creationId xmlns:a16="http://schemas.microsoft.com/office/drawing/2014/main" id="{A227A57E-AD19-4B89-8B32-000D0171F8E4}"/>
            </a:ext>
          </a:extLst>
        </xdr:cNvPr>
        <xdr:cNvCxnSpPr/>
      </xdr:nvCxnSpPr>
      <xdr:spPr>
        <a:xfrm>
          <a:off x="13600612" y="637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82731</xdr:colOff>
      <xdr:row>39</xdr:row>
      <xdr:rowOff>19050</xdr:rowOff>
    </xdr:from>
    <xdr:to>
      <xdr:col>49</xdr:col>
      <xdr:colOff>104684</xdr:colOff>
      <xdr:row>39</xdr:row>
      <xdr:rowOff>133350</xdr:rowOff>
    </xdr:to>
    <xdr:sp macro="" textlink="">
      <xdr:nvSpPr>
        <xdr:cNvPr id="76070" name="36">
          <a:extLst>
            <a:ext uri="{FF2B5EF4-FFF2-40B4-BE49-F238E27FC236}">
              <a16:creationId xmlns:a16="http://schemas.microsoft.com/office/drawing/2014/main" id="{43B38A15-C46A-4BED-ABE8-B536D5922AD1}"/>
            </a:ext>
          </a:extLst>
        </xdr:cNvPr>
        <xdr:cNvSpPr/>
      </xdr:nvSpPr>
      <xdr:spPr>
        <a:xfrm>
          <a:off x="13455831" y="6168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82731</xdr:colOff>
      <xdr:row>39</xdr:row>
      <xdr:rowOff>76200</xdr:rowOff>
    </xdr:from>
    <xdr:to>
      <xdr:col>49</xdr:col>
      <xdr:colOff>82731</xdr:colOff>
      <xdr:row>39</xdr:row>
      <xdr:rowOff>76200</xdr:rowOff>
    </xdr:to>
    <xdr:cxnSp macro="">
      <xdr:nvCxnSpPr>
        <xdr:cNvPr id="76071" name="직선 화살표 연결선 76070">
          <a:extLst>
            <a:ext uri="{FF2B5EF4-FFF2-40B4-BE49-F238E27FC236}">
              <a16:creationId xmlns:a16="http://schemas.microsoft.com/office/drawing/2014/main" id="{3D645C27-5263-4F5D-9880-A5765C2A4EC2}"/>
            </a:ext>
          </a:extLst>
        </xdr:cNvPr>
        <xdr:cNvCxnSpPr/>
      </xdr:nvCxnSpPr>
      <xdr:spPr>
        <a:xfrm>
          <a:off x="13455831" y="622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82731</xdr:colOff>
      <xdr:row>38</xdr:row>
      <xdr:rowOff>19050</xdr:rowOff>
    </xdr:from>
    <xdr:to>
      <xdr:col>48</xdr:col>
      <xdr:colOff>104683</xdr:colOff>
      <xdr:row>38</xdr:row>
      <xdr:rowOff>133350</xdr:rowOff>
    </xdr:to>
    <xdr:sp macro="" textlink="">
      <xdr:nvSpPr>
        <xdr:cNvPr id="76072" name="35">
          <a:extLst>
            <a:ext uri="{FF2B5EF4-FFF2-40B4-BE49-F238E27FC236}">
              <a16:creationId xmlns:a16="http://schemas.microsoft.com/office/drawing/2014/main" id="{AFBA9034-8D7A-4178-AB45-C04254E360CF}"/>
            </a:ext>
          </a:extLst>
        </xdr:cNvPr>
        <xdr:cNvSpPr/>
      </xdr:nvSpPr>
      <xdr:spPr>
        <a:xfrm>
          <a:off x="13311051" y="6015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82731</xdr:colOff>
      <xdr:row>38</xdr:row>
      <xdr:rowOff>76200</xdr:rowOff>
    </xdr:from>
    <xdr:to>
      <xdr:col>48</xdr:col>
      <xdr:colOff>82731</xdr:colOff>
      <xdr:row>38</xdr:row>
      <xdr:rowOff>76200</xdr:rowOff>
    </xdr:to>
    <xdr:cxnSp macro="">
      <xdr:nvCxnSpPr>
        <xdr:cNvPr id="76073" name="직선 화살표 연결선 76072">
          <a:extLst>
            <a:ext uri="{FF2B5EF4-FFF2-40B4-BE49-F238E27FC236}">
              <a16:creationId xmlns:a16="http://schemas.microsoft.com/office/drawing/2014/main" id="{41752668-01AA-4F6D-A656-088570BC252D}"/>
            </a:ext>
          </a:extLst>
        </xdr:cNvPr>
        <xdr:cNvCxnSpPr/>
      </xdr:nvCxnSpPr>
      <xdr:spPr>
        <a:xfrm>
          <a:off x="13311051" y="607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82731</xdr:colOff>
      <xdr:row>37</xdr:row>
      <xdr:rowOff>19050</xdr:rowOff>
    </xdr:from>
    <xdr:to>
      <xdr:col>47</xdr:col>
      <xdr:colOff>104684</xdr:colOff>
      <xdr:row>37</xdr:row>
      <xdr:rowOff>133350</xdr:rowOff>
    </xdr:to>
    <xdr:sp macro="" textlink="">
      <xdr:nvSpPr>
        <xdr:cNvPr id="76074" name="34">
          <a:extLst>
            <a:ext uri="{FF2B5EF4-FFF2-40B4-BE49-F238E27FC236}">
              <a16:creationId xmlns:a16="http://schemas.microsoft.com/office/drawing/2014/main" id="{89306BA6-43F7-477F-B7AE-10C9F8C80C28}"/>
            </a:ext>
          </a:extLst>
        </xdr:cNvPr>
        <xdr:cNvSpPr/>
      </xdr:nvSpPr>
      <xdr:spPr>
        <a:xfrm>
          <a:off x="13166271" y="5863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82731</xdr:colOff>
      <xdr:row>37</xdr:row>
      <xdr:rowOff>76200</xdr:rowOff>
    </xdr:from>
    <xdr:to>
      <xdr:col>47</xdr:col>
      <xdr:colOff>82731</xdr:colOff>
      <xdr:row>37</xdr:row>
      <xdr:rowOff>76200</xdr:rowOff>
    </xdr:to>
    <xdr:cxnSp macro="">
      <xdr:nvCxnSpPr>
        <xdr:cNvPr id="76075" name="직선 화살표 연결선 76074">
          <a:extLst>
            <a:ext uri="{FF2B5EF4-FFF2-40B4-BE49-F238E27FC236}">
              <a16:creationId xmlns:a16="http://schemas.microsoft.com/office/drawing/2014/main" id="{04502C48-B589-47C6-A93B-61A84AB5E061}"/>
            </a:ext>
          </a:extLst>
        </xdr:cNvPr>
        <xdr:cNvCxnSpPr/>
      </xdr:nvCxnSpPr>
      <xdr:spPr>
        <a:xfrm>
          <a:off x="13166271" y="592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82732</xdr:colOff>
      <xdr:row>36</xdr:row>
      <xdr:rowOff>19050</xdr:rowOff>
    </xdr:from>
    <xdr:to>
      <xdr:col>46</xdr:col>
      <xdr:colOff>104684</xdr:colOff>
      <xdr:row>36</xdr:row>
      <xdr:rowOff>133350</xdr:rowOff>
    </xdr:to>
    <xdr:sp macro="" textlink="">
      <xdr:nvSpPr>
        <xdr:cNvPr id="76076" name="33">
          <a:extLst>
            <a:ext uri="{FF2B5EF4-FFF2-40B4-BE49-F238E27FC236}">
              <a16:creationId xmlns:a16="http://schemas.microsoft.com/office/drawing/2014/main" id="{D541F87C-10B3-4100-8538-2DF12A813D71}"/>
            </a:ext>
          </a:extLst>
        </xdr:cNvPr>
        <xdr:cNvSpPr/>
      </xdr:nvSpPr>
      <xdr:spPr>
        <a:xfrm>
          <a:off x="13021492" y="57111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82732</xdr:colOff>
      <xdr:row>36</xdr:row>
      <xdr:rowOff>76200</xdr:rowOff>
    </xdr:from>
    <xdr:to>
      <xdr:col>46</xdr:col>
      <xdr:colOff>82732</xdr:colOff>
      <xdr:row>36</xdr:row>
      <xdr:rowOff>76200</xdr:rowOff>
    </xdr:to>
    <xdr:cxnSp macro="">
      <xdr:nvCxnSpPr>
        <xdr:cNvPr id="76077" name="직선 화살표 연결선 76076">
          <a:extLst>
            <a:ext uri="{FF2B5EF4-FFF2-40B4-BE49-F238E27FC236}">
              <a16:creationId xmlns:a16="http://schemas.microsoft.com/office/drawing/2014/main" id="{38253A46-B767-45AE-8E36-3D204060AF28}"/>
            </a:ext>
          </a:extLst>
        </xdr:cNvPr>
        <xdr:cNvCxnSpPr/>
      </xdr:nvCxnSpPr>
      <xdr:spPr>
        <a:xfrm>
          <a:off x="13021492" y="576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82732</xdr:colOff>
      <xdr:row>35</xdr:row>
      <xdr:rowOff>19050</xdr:rowOff>
    </xdr:from>
    <xdr:to>
      <xdr:col>45</xdr:col>
      <xdr:colOff>104684</xdr:colOff>
      <xdr:row>35</xdr:row>
      <xdr:rowOff>133350</xdr:rowOff>
    </xdr:to>
    <xdr:sp macro="" textlink="">
      <xdr:nvSpPr>
        <xdr:cNvPr id="76078" name="32">
          <a:extLst>
            <a:ext uri="{FF2B5EF4-FFF2-40B4-BE49-F238E27FC236}">
              <a16:creationId xmlns:a16="http://schemas.microsoft.com/office/drawing/2014/main" id="{299AC815-3611-4D40-B5B8-58413CD923A1}"/>
            </a:ext>
          </a:extLst>
        </xdr:cNvPr>
        <xdr:cNvSpPr/>
      </xdr:nvSpPr>
      <xdr:spPr>
        <a:xfrm>
          <a:off x="12876712" y="5558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82732</xdr:colOff>
      <xdr:row>35</xdr:row>
      <xdr:rowOff>76200</xdr:rowOff>
    </xdr:from>
    <xdr:to>
      <xdr:col>45</xdr:col>
      <xdr:colOff>82732</xdr:colOff>
      <xdr:row>35</xdr:row>
      <xdr:rowOff>76200</xdr:rowOff>
    </xdr:to>
    <xdr:cxnSp macro="">
      <xdr:nvCxnSpPr>
        <xdr:cNvPr id="76079" name="직선 화살표 연결선 76078">
          <a:extLst>
            <a:ext uri="{FF2B5EF4-FFF2-40B4-BE49-F238E27FC236}">
              <a16:creationId xmlns:a16="http://schemas.microsoft.com/office/drawing/2014/main" id="{5E0D3B5F-2A91-4B4C-8278-694C755016BB}"/>
            </a:ext>
          </a:extLst>
        </xdr:cNvPr>
        <xdr:cNvCxnSpPr/>
      </xdr:nvCxnSpPr>
      <xdr:spPr>
        <a:xfrm>
          <a:off x="12876712" y="561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82731</xdr:colOff>
      <xdr:row>34</xdr:row>
      <xdr:rowOff>19050</xdr:rowOff>
    </xdr:from>
    <xdr:to>
      <xdr:col>44</xdr:col>
      <xdr:colOff>104684</xdr:colOff>
      <xdr:row>34</xdr:row>
      <xdr:rowOff>133350</xdr:rowOff>
    </xdr:to>
    <xdr:sp macro="" textlink="">
      <xdr:nvSpPr>
        <xdr:cNvPr id="76080" name="31">
          <a:extLst>
            <a:ext uri="{FF2B5EF4-FFF2-40B4-BE49-F238E27FC236}">
              <a16:creationId xmlns:a16="http://schemas.microsoft.com/office/drawing/2014/main" id="{C27A25CA-9E22-4D50-B4B9-F900EDAF8FDE}"/>
            </a:ext>
          </a:extLst>
        </xdr:cNvPr>
        <xdr:cNvSpPr/>
      </xdr:nvSpPr>
      <xdr:spPr>
        <a:xfrm>
          <a:off x="12731931" y="5406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82731</xdr:colOff>
      <xdr:row>34</xdr:row>
      <xdr:rowOff>76200</xdr:rowOff>
    </xdr:from>
    <xdr:to>
      <xdr:col>44</xdr:col>
      <xdr:colOff>82731</xdr:colOff>
      <xdr:row>34</xdr:row>
      <xdr:rowOff>76200</xdr:rowOff>
    </xdr:to>
    <xdr:cxnSp macro="">
      <xdr:nvCxnSpPr>
        <xdr:cNvPr id="76081" name="직선 화살표 연결선 76080">
          <a:extLst>
            <a:ext uri="{FF2B5EF4-FFF2-40B4-BE49-F238E27FC236}">
              <a16:creationId xmlns:a16="http://schemas.microsoft.com/office/drawing/2014/main" id="{F3FA9318-6295-47E2-BA83-C9870EA33834}"/>
            </a:ext>
          </a:extLst>
        </xdr:cNvPr>
        <xdr:cNvCxnSpPr/>
      </xdr:nvCxnSpPr>
      <xdr:spPr>
        <a:xfrm>
          <a:off x="12731931" y="546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82731</xdr:colOff>
      <xdr:row>33</xdr:row>
      <xdr:rowOff>19050</xdr:rowOff>
    </xdr:from>
    <xdr:to>
      <xdr:col>43</xdr:col>
      <xdr:colOff>104684</xdr:colOff>
      <xdr:row>33</xdr:row>
      <xdr:rowOff>133350</xdr:rowOff>
    </xdr:to>
    <xdr:sp macro="" textlink="">
      <xdr:nvSpPr>
        <xdr:cNvPr id="76082" name="30">
          <a:extLst>
            <a:ext uri="{FF2B5EF4-FFF2-40B4-BE49-F238E27FC236}">
              <a16:creationId xmlns:a16="http://schemas.microsoft.com/office/drawing/2014/main" id="{48D3CD42-52E6-44B6-96DE-EF96106D190E}"/>
            </a:ext>
          </a:extLst>
        </xdr:cNvPr>
        <xdr:cNvSpPr/>
      </xdr:nvSpPr>
      <xdr:spPr>
        <a:xfrm>
          <a:off x="12587151" y="52539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82731</xdr:colOff>
      <xdr:row>33</xdr:row>
      <xdr:rowOff>76200</xdr:rowOff>
    </xdr:from>
    <xdr:to>
      <xdr:col>43</xdr:col>
      <xdr:colOff>82731</xdr:colOff>
      <xdr:row>33</xdr:row>
      <xdr:rowOff>76200</xdr:rowOff>
    </xdr:to>
    <xdr:cxnSp macro="">
      <xdr:nvCxnSpPr>
        <xdr:cNvPr id="76083" name="직선 화살표 연결선 76082">
          <a:extLst>
            <a:ext uri="{FF2B5EF4-FFF2-40B4-BE49-F238E27FC236}">
              <a16:creationId xmlns:a16="http://schemas.microsoft.com/office/drawing/2014/main" id="{CA7221CC-E507-458F-97F9-CC0C35E932FB}"/>
            </a:ext>
          </a:extLst>
        </xdr:cNvPr>
        <xdr:cNvCxnSpPr/>
      </xdr:nvCxnSpPr>
      <xdr:spPr>
        <a:xfrm>
          <a:off x="12587151" y="531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82732</xdr:colOff>
      <xdr:row>32</xdr:row>
      <xdr:rowOff>19050</xdr:rowOff>
    </xdr:from>
    <xdr:to>
      <xdr:col>42</xdr:col>
      <xdr:colOff>104684</xdr:colOff>
      <xdr:row>32</xdr:row>
      <xdr:rowOff>133350</xdr:rowOff>
    </xdr:to>
    <xdr:sp macro="" textlink="">
      <xdr:nvSpPr>
        <xdr:cNvPr id="76084" name="29">
          <a:extLst>
            <a:ext uri="{FF2B5EF4-FFF2-40B4-BE49-F238E27FC236}">
              <a16:creationId xmlns:a16="http://schemas.microsoft.com/office/drawing/2014/main" id="{9D821ECD-F0E6-4941-BFBE-6BBCE08CD2BE}"/>
            </a:ext>
          </a:extLst>
        </xdr:cNvPr>
        <xdr:cNvSpPr/>
      </xdr:nvSpPr>
      <xdr:spPr>
        <a:xfrm>
          <a:off x="12442372" y="51015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82732</xdr:colOff>
      <xdr:row>32</xdr:row>
      <xdr:rowOff>76200</xdr:rowOff>
    </xdr:from>
    <xdr:to>
      <xdr:col>42</xdr:col>
      <xdr:colOff>82732</xdr:colOff>
      <xdr:row>32</xdr:row>
      <xdr:rowOff>76200</xdr:rowOff>
    </xdr:to>
    <xdr:cxnSp macro="">
      <xdr:nvCxnSpPr>
        <xdr:cNvPr id="76085" name="직선 화살표 연결선 76084">
          <a:extLst>
            <a:ext uri="{FF2B5EF4-FFF2-40B4-BE49-F238E27FC236}">
              <a16:creationId xmlns:a16="http://schemas.microsoft.com/office/drawing/2014/main" id="{43004477-F063-4C4D-B26E-F4177366EFF5}"/>
            </a:ext>
          </a:extLst>
        </xdr:cNvPr>
        <xdr:cNvCxnSpPr/>
      </xdr:nvCxnSpPr>
      <xdr:spPr>
        <a:xfrm>
          <a:off x="12442372" y="515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103414</xdr:colOff>
      <xdr:row>31</xdr:row>
      <xdr:rowOff>19050</xdr:rowOff>
    </xdr:from>
    <xdr:to>
      <xdr:col>41</xdr:col>
      <xdr:colOff>125367</xdr:colOff>
      <xdr:row>31</xdr:row>
      <xdr:rowOff>133350</xdr:rowOff>
    </xdr:to>
    <xdr:sp macro="" textlink="">
      <xdr:nvSpPr>
        <xdr:cNvPr id="76086" name="28">
          <a:extLst>
            <a:ext uri="{FF2B5EF4-FFF2-40B4-BE49-F238E27FC236}">
              <a16:creationId xmlns:a16="http://schemas.microsoft.com/office/drawing/2014/main" id="{465A7E8D-D463-4801-8960-7EA1D746730F}"/>
            </a:ext>
          </a:extLst>
        </xdr:cNvPr>
        <xdr:cNvSpPr/>
      </xdr:nvSpPr>
      <xdr:spPr>
        <a:xfrm>
          <a:off x="12318274" y="49491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103414</xdr:colOff>
      <xdr:row>31</xdr:row>
      <xdr:rowOff>76200</xdr:rowOff>
    </xdr:from>
    <xdr:to>
      <xdr:col>41</xdr:col>
      <xdr:colOff>103414</xdr:colOff>
      <xdr:row>31</xdr:row>
      <xdr:rowOff>76200</xdr:rowOff>
    </xdr:to>
    <xdr:cxnSp macro="">
      <xdr:nvCxnSpPr>
        <xdr:cNvPr id="76087" name="직선 화살표 연결선 76086">
          <a:extLst>
            <a:ext uri="{FF2B5EF4-FFF2-40B4-BE49-F238E27FC236}">
              <a16:creationId xmlns:a16="http://schemas.microsoft.com/office/drawing/2014/main" id="{27BFFAF1-5935-4D40-A798-B9CBC029240E}"/>
            </a:ext>
          </a:extLst>
        </xdr:cNvPr>
        <xdr:cNvCxnSpPr/>
      </xdr:nvCxnSpPr>
      <xdr:spPr>
        <a:xfrm>
          <a:off x="12318274" y="5006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82732</xdr:colOff>
      <xdr:row>30</xdr:row>
      <xdr:rowOff>19050</xdr:rowOff>
    </xdr:from>
    <xdr:to>
      <xdr:col>40</xdr:col>
      <xdr:colOff>104684</xdr:colOff>
      <xdr:row>30</xdr:row>
      <xdr:rowOff>133350</xdr:rowOff>
    </xdr:to>
    <xdr:sp macro="" textlink="">
      <xdr:nvSpPr>
        <xdr:cNvPr id="76088" name="27">
          <a:extLst>
            <a:ext uri="{FF2B5EF4-FFF2-40B4-BE49-F238E27FC236}">
              <a16:creationId xmlns:a16="http://schemas.microsoft.com/office/drawing/2014/main" id="{1C913E52-D16D-4D4D-8BC7-5EF0B15CAE47}"/>
            </a:ext>
          </a:extLst>
        </xdr:cNvPr>
        <xdr:cNvSpPr/>
      </xdr:nvSpPr>
      <xdr:spPr>
        <a:xfrm>
          <a:off x="12152812" y="4796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82732</xdr:colOff>
      <xdr:row>30</xdr:row>
      <xdr:rowOff>76200</xdr:rowOff>
    </xdr:from>
    <xdr:to>
      <xdr:col>40</xdr:col>
      <xdr:colOff>82732</xdr:colOff>
      <xdr:row>30</xdr:row>
      <xdr:rowOff>76200</xdr:rowOff>
    </xdr:to>
    <xdr:cxnSp macro="">
      <xdr:nvCxnSpPr>
        <xdr:cNvPr id="76089" name="직선 화살표 연결선 76088">
          <a:extLst>
            <a:ext uri="{FF2B5EF4-FFF2-40B4-BE49-F238E27FC236}">
              <a16:creationId xmlns:a16="http://schemas.microsoft.com/office/drawing/2014/main" id="{D1353948-2DA3-489F-8834-D4877BC31613}"/>
            </a:ext>
          </a:extLst>
        </xdr:cNvPr>
        <xdr:cNvCxnSpPr/>
      </xdr:nvCxnSpPr>
      <xdr:spPr>
        <a:xfrm>
          <a:off x="12152812" y="4853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82731</xdr:colOff>
      <xdr:row>29</xdr:row>
      <xdr:rowOff>19050</xdr:rowOff>
    </xdr:from>
    <xdr:to>
      <xdr:col>39</xdr:col>
      <xdr:colOff>104684</xdr:colOff>
      <xdr:row>29</xdr:row>
      <xdr:rowOff>133350</xdr:rowOff>
    </xdr:to>
    <xdr:sp macro="" textlink="">
      <xdr:nvSpPr>
        <xdr:cNvPr id="76090" name="26">
          <a:extLst>
            <a:ext uri="{FF2B5EF4-FFF2-40B4-BE49-F238E27FC236}">
              <a16:creationId xmlns:a16="http://schemas.microsoft.com/office/drawing/2014/main" id="{3125F95B-EC22-48E0-8768-91F6DC669130}"/>
            </a:ext>
          </a:extLst>
        </xdr:cNvPr>
        <xdr:cNvSpPr/>
      </xdr:nvSpPr>
      <xdr:spPr>
        <a:xfrm>
          <a:off x="12008031" y="4644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82731</xdr:colOff>
      <xdr:row>29</xdr:row>
      <xdr:rowOff>76200</xdr:rowOff>
    </xdr:from>
    <xdr:to>
      <xdr:col>39</xdr:col>
      <xdr:colOff>82731</xdr:colOff>
      <xdr:row>29</xdr:row>
      <xdr:rowOff>76200</xdr:rowOff>
    </xdr:to>
    <xdr:cxnSp macro="">
      <xdr:nvCxnSpPr>
        <xdr:cNvPr id="76091" name="직선 화살표 연결선 76090">
          <a:extLst>
            <a:ext uri="{FF2B5EF4-FFF2-40B4-BE49-F238E27FC236}">
              <a16:creationId xmlns:a16="http://schemas.microsoft.com/office/drawing/2014/main" id="{7AA78989-BC1C-4D01-BC9E-01570F017DF3}"/>
            </a:ext>
          </a:extLst>
        </xdr:cNvPr>
        <xdr:cNvCxnSpPr/>
      </xdr:nvCxnSpPr>
      <xdr:spPr>
        <a:xfrm>
          <a:off x="12008031" y="470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82731</xdr:colOff>
      <xdr:row>28</xdr:row>
      <xdr:rowOff>19050</xdr:rowOff>
    </xdr:from>
    <xdr:to>
      <xdr:col>38</xdr:col>
      <xdr:colOff>104684</xdr:colOff>
      <xdr:row>28</xdr:row>
      <xdr:rowOff>133350</xdr:rowOff>
    </xdr:to>
    <xdr:sp macro="" textlink="">
      <xdr:nvSpPr>
        <xdr:cNvPr id="76092" name="25">
          <a:extLst>
            <a:ext uri="{FF2B5EF4-FFF2-40B4-BE49-F238E27FC236}">
              <a16:creationId xmlns:a16="http://schemas.microsoft.com/office/drawing/2014/main" id="{E1B9766C-A797-4657-8FD4-B3EE8224EEDE}"/>
            </a:ext>
          </a:extLst>
        </xdr:cNvPr>
        <xdr:cNvSpPr/>
      </xdr:nvSpPr>
      <xdr:spPr>
        <a:xfrm>
          <a:off x="11863251" y="44919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82731</xdr:colOff>
      <xdr:row>28</xdr:row>
      <xdr:rowOff>76200</xdr:rowOff>
    </xdr:from>
    <xdr:to>
      <xdr:col>38</xdr:col>
      <xdr:colOff>82731</xdr:colOff>
      <xdr:row>28</xdr:row>
      <xdr:rowOff>76200</xdr:rowOff>
    </xdr:to>
    <xdr:cxnSp macro="">
      <xdr:nvCxnSpPr>
        <xdr:cNvPr id="76093" name="직선 화살표 연결선 76092">
          <a:extLst>
            <a:ext uri="{FF2B5EF4-FFF2-40B4-BE49-F238E27FC236}">
              <a16:creationId xmlns:a16="http://schemas.microsoft.com/office/drawing/2014/main" id="{AD93825A-5ED8-43E1-922C-A018B5D4EF36}"/>
            </a:ext>
          </a:extLst>
        </xdr:cNvPr>
        <xdr:cNvCxnSpPr/>
      </xdr:nvCxnSpPr>
      <xdr:spPr>
        <a:xfrm>
          <a:off x="11863251" y="454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82732</xdr:colOff>
      <xdr:row>27</xdr:row>
      <xdr:rowOff>19050</xdr:rowOff>
    </xdr:from>
    <xdr:to>
      <xdr:col>37</xdr:col>
      <xdr:colOff>104684</xdr:colOff>
      <xdr:row>27</xdr:row>
      <xdr:rowOff>133350</xdr:rowOff>
    </xdr:to>
    <xdr:sp macro="" textlink="">
      <xdr:nvSpPr>
        <xdr:cNvPr id="76094" name="24">
          <a:extLst>
            <a:ext uri="{FF2B5EF4-FFF2-40B4-BE49-F238E27FC236}">
              <a16:creationId xmlns:a16="http://schemas.microsoft.com/office/drawing/2014/main" id="{0A5B3200-F550-45E0-9815-8DB325074CA8}"/>
            </a:ext>
          </a:extLst>
        </xdr:cNvPr>
        <xdr:cNvSpPr/>
      </xdr:nvSpPr>
      <xdr:spPr>
        <a:xfrm>
          <a:off x="11718472" y="43395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82732</xdr:colOff>
      <xdr:row>27</xdr:row>
      <xdr:rowOff>76200</xdr:rowOff>
    </xdr:from>
    <xdr:to>
      <xdr:col>37</xdr:col>
      <xdr:colOff>82732</xdr:colOff>
      <xdr:row>27</xdr:row>
      <xdr:rowOff>76200</xdr:rowOff>
    </xdr:to>
    <xdr:cxnSp macro="">
      <xdr:nvCxnSpPr>
        <xdr:cNvPr id="76095" name="직선 화살표 연결선 76094">
          <a:extLst>
            <a:ext uri="{FF2B5EF4-FFF2-40B4-BE49-F238E27FC236}">
              <a16:creationId xmlns:a16="http://schemas.microsoft.com/office/drawing/2014/main" id="{72D0C0EF-27D5-48B2-B4A6-A4BCDA2C6008}"/>
            </a:ext>
          </a:extLst>
        </xdr:cNvPr>
        <xdr:cNvCxnSpPr/>
      </xdr:nvCxnSpPr>
      <xdr:spPr>
        <a:xfrm>
          <a:off x="11718472" y="439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82731</xdr:colOff>
      <xdr:row>26</xdr:row>
      <xdr:rowOff>19050</xdr:rowOff>
    </xdr:from>
    <xdr:to>
      <xdr:col>36</xdr:col>
      <xdr:colOff>104684</xdr:colOff>
      <xdr:row>26</xdr:row>
      <xdr:rowOff>133350</xdr:rowOff>
    </xdr:to>
    <xdr:sp macro="" textlink="">
      <xdr:nvSpPr>
        <xdr:cNvPr id="76096" name="23">
          <a:extLst>
            <a:ext uri="{FF2B5EF4-FFF2-40B4-BE49-F238E27FC236}">
              <a16:creationId xmlns:a16="http://schemas.microsoft.com/office/drawing/2014/main" id="{76DCCDF8-7D59-4575-9C90-797269DCB3C9}"/>
            </a:ext>
          </a:extLst>
        </xdr:cNvPr>
        <xdr:cNvSpPr/>
      </xdr:nvSpPr>
      <xdr:spPr>
        <a:xfrm>
          <a:off x="11573691" y="41871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82731</xdr:colOff>
      <xdr:row>26</xdr:row>
      <xdr:rowOff>76200</xdr:rowOff>
    </xdr:from>
    <xdr:to>
      <xdr:col>36</xdr:col>
      <xdr:colOff>82731</xdr:colOff>
      <xdr:row>26</xdr:row>
      <xdr:rowOff>76200</xdr:rowOff>
    </xdr:to>
    <xdr:cxnSp macro="">
      <xdr:nvCxnSpPr>
        <xdr:cNvPr id="76097" name="직선 화살표 연결선 76096">
          <a:extLst>
            <a:ext uri="{FF2B5EF4-FFF2-40B4-BE49-F238E27FC236}">
              <a16:creationId xmlns:a16="http://schemas.microsoft.com/office/drawing/2014/main" id="{CD906252-F137-4CFD-899C-2B1C4D378875}"/>
            </a:ext>
          </a:extLst>
        </xdr:cNvPr>
        <xdr:cNvCxnSpPr/>
      </xdr:nvCxnSpPr>
      <xdr:spPr>
        <a:xfrm>
          <a:off x="11573691" y="424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82732</xdr:colOff>
      <xdr:row>25</xdr:row>
      <xdr:rowOff>19050</xdr:rowOff>
    </xdr:from>
    <xdr:to>
      <xdr:col>35</xdr:col>
      <xdr:colOff>104684</xdr:colOff>
      <xdr:row>25</xdr:row>
      <xdr:rowOff>133350</xdr:rowOff>
    </xdr:to>
    <xdr:sp macro="" textlink="">
      <xdr:nvSpPr>
        <xdr:cNvPr id="76098" name="22">
          <a:extLst>
            <a:ext uri="{FF2B5EF4-FFF2-40B4-BE49-F238E27FC236}">
              <a16:creationId xmlns:a16="http://schemas.microsoft.com/office/drawing/2014/main" id="{A5B8B1FB-37C5-4AED-8FC8-6E736371F0BF}"/>
            </a:ext>
          </a:extLst>
        </xdr:cNvPr>
        <xdr:cNvSpPr/>
      </xdr:nvSpPr>
      <xdr:spPr>
        <a:xfrm>
          <a:off x="11428912" y="4034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82732</xdr:colOff>
      <xdr:row>25</xdr:row>
      <xdr:rowOff>76200</xdr:rowOff>
    </xdr:from>
    <xdr:to>
      <xdr:col>35</xdr:col>
      <xdr:colOff>82732</xdr:colOff>
      <xdr:row>25</xdr:row>
      <xdr:rowOff>76200</xdr:rowOff>
    </xdr:to>
    <xdr:cxnSp macro="">
      <xdr:nvCxnSpPr>
        <xdr:cNvPr id="76099" name="직선 화살표 연결선 76098">
          <a:extLst>
            <a:ext uri="{FF2B5EF4-FFF2-40B4-BE49-F238E27FC236}">
              <a16:creationId xmlns:a16="http://schemas.microsoft.com/office/drawing/2014/main" id="{8645A052-1F1C-4952-8B7D-F736A59DB156}"/>
            </a:ext>
          </a:extLst>
        </xdr:cNvPr>
        <xdr:cNvCxnSpPr/>
      </xdr:nvCxnSpPr>
      <xdr:spPr>
        <a:xfrm>
          <a:off x="11428912" y="409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24</xdr:row>
      <xdr:rowOff>19050</xdr:rowOff>
    </xdr:from>
    <xdr:to>
      <xdr:col>34</xdr:col>
      <xdr:colOff>104684</xdr:colOff>
      <xdr:row>24</xdr:row>
      <xdr:rowOff>133350</xdr:rowOff>
    </xdr:to>
    <xdr:sp macro="" textlink="">
      <xdr:nvSpPr>
        <xdr:cNvPr id="76100" name="21">
          <a:extLst>
            <a:ext uri="{FF2B5EF4-FFF2-40B4-BE49-F238E27FC236}">
              <a16:creationId xmlns:a16="http://schemas.microsoft.com/office/drawing/2014/main" id="{74441B06-31D7-46F5-A0EB-442733144CDE}"/>
            </a:ext>
          </a:extLst>
        </xdr:cNvPr>
        <xdr:cNvSpPr/>
      </xdr:nvSpPr>
      <xdr:spPr>
        <a:xfrm>
          <a:off x="11284131" y="3882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24</xdr:row>
      <xdr:rowOff>76200</xdr:rowOff>
    </xdr:from>
    <xdr:to>
      <xdr:col>34</xdr:col>
      <xdr:colOff>82731</xdr:colOff>
      <xdr:row>24</xdr:row>
      <xdr:rowOff>76200</xdr:rowOff>
    </xdr:to>
    <xdr:cxnSp macro="">
      <xdr:nvCxnSpPr>
        <xdr:cNvPr id="76101" name="직선 화살표 연결선 76100">
          <a:extLst>
            <a:ext uri="{FF2B5EF4-FFF2-40B4-BE49-F238E27FC236}">
              <a16:creationId xmlns:a16="http://schemas.microsoft.com/office/drawing/2014/main" id="{525EE76C-0947-4290-84F0-D2ED5B2FE758}"/>
            </a:ext>
          </a:extLst>
        </xdr:cNvPr>
        <xdr:cNvCxnSpPr/>
      </xdr:nvCxnSpPr>
      <xdr:spPr>
        <a:xfrm>
          <a:off x="11284131" y="393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82731</xdr:colOff>
      <xdr:row>23</xdr:row>
      <xdr:rowOff>19050</xdr:rowOff>
    </xdr:from>
    <xdr:to>
      <xdr:col>33</xdr:col>
      <xdr:colOff>104684</xdr:colOff>
      <xdr:row>23</xdr:row>
      <xdr:rowOff>133350</xdr:rowOff>
    </xdr:to>
    <xdr:sp macro="" textlink="">
      <xdr:nvSpPr>
        <xdr:cNvPr id="76102" name="20">
          <a:extLst>
            <a:ext uri="{FF2B5EF4-FFF2-40B4-BE49-F238E27FC236}">
              <a16:creationId xmlns:a16="http://schemas.microsoft.com/office/drawing/2014/main" id="{AEFBA189-4118-4717-9E34-BE162F55B689}"/>
            </a:ext>
          </a:extLst>
        </xdr:cNvPr>
        <xdr:cNvSpPr/>
      </xdr:nvSpPr>
      <xdr:spPr>
        <a:xfrm>
          <a:off x="11139351" y="37299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82731</xdr:colOff>
      <xdr:row>23</xdr:row>
      <xdr:rowOff>76200</xdr:rowOff>
    </xdr:from>
    <xdr:to>
      <xdr:col>33</xdr:col>
      <xdr:colOff>82731</xdr:colOff>
      <xdr:row>23</xdr:row>
      <xdr:rowOff>76200</xdr:rowOff>
    </xdr:to>
    <xdr:cxnSp macro="">
      <xdr:nvCxnSpPr>
        <xdr:cNvPr id="76103" name="직선 화살표 연결선 76102">
          <a:extLst>
            <a:ext uri="{FF2B5EF4-FFF2-40B4-BE49-F238E27FC236}">
              <a16:creationId xmlns:a16="http://schemas.microsoft.com/office/drawing/2014/main" id="{81751D3A-E124-4387-8C2B-F1F63DF36849}"/>
            </a:ext>
          </a:extLst>
        </xdr:cNvPr>
        <xdr:cNvCxnSpPr/>
      </xdr:nvCxnSpPr>
      <xdr:spPr>
        <a:xfrm>
          <a:off x="11139351" y="378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22</xdr:row>
      <xdr:rowOff>19050</xdr:rowOff>
    </xdr:from>
    <xdr:to>
      <xdr:col>32</xdr:col>
      <xdr:colOff>104684</xdr:colOff>
      <xdr:row>22</xdr:row>
      <xdr:rowOff>133350</xdr:rowOff>
    </xdr:to>
    <xdr:sp macro="" textlink="">
      <xdr:nvSpPr>
        <xdr:cNvPr id="76104" name="19">
          <a:extLst>
            <a:ext uri="{FF2B5EF4-FFF2-40B4-BE49-F238E27FC236}">
              <a16:creationId xmlns:a16="http://schemas.microsoft.com/office/drawing/2014/main" id="{1BB82F5E-065E-42E8-A492-DF56437099DA}"/>
            </a:ext>
          </a:extLst>
        </xdr:cNvPr>
        <xdr:cNvSpPr/>
      </xdr:nvSpPr>
      <xdr:spPr>
        <a:xfrm>
          <a:off x="10994572" y="35775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22</xdr:row>
      <xdr:rowOff>76200</xdr:rowOff>
    </xdr:from>
    <xdr:to>
      <xdr:col>32</xdr:col>
      <xdr:colOff>103414</xdr:colOff>
      <xdr:row>22</xdr:row>
      <xdr:rowOff>76200</xdr:rowOff>
    </xdr:to>
    <xdr:cxnSp macro="">
      <xdr:nvCxnSpPr>
        <xdr:cNvPr id="76105" name="직선 화살표 연결선 76104">
          <a:extLst>
            <a:ext uri="{FF2B5EF4-FFF2-40B4-BE49-F238E27FC236}">
              <a16:creationId xmlns:a16="http://schemas.microsoft.com/office/drawing/2014/main" id="{EAC97435-D165-4F76-8352-CE5CAC637F3B}"/>
            </a:ext>
          </a:extLst>
        </xdr:cNvPr>
        <xdr:cNvCxnSpPr/>
      </xdr:nvCxnSpPr>
      <xdr:spPr>
        <a:xfrm>
          <a:off x="10994572" y="363474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21</xdr:row>
      <xdr:rowOff>19050</xdr:rowOff>
    </xdr:from>
    <xdr:to>
      <xdr:col>81</xdr:col>
      <xdr:colOff>104684</xdr:colOff>
      <xdr:row>21</xdr:row>
      <xdr:rowOff>133350</xdr:rowOff>
    </xdr:to>
    <xdr:sp macro="" textlink="">
      <xdr:nvSpPr>
        <xdr:cNvPr id="76106" name="18">
          <a:extLst>
            <a:ext uri="{FF2B5EF4-FFF2-40B4-BE49-F238E27FC236}">
              <a16:creationId xmlns:a16="http://schemas.microsoft.com/office/drawing/2014/main" id="{F0DCFBE8-F32F-4C3E-8AD2-C4E9163E131C}"/>
            </a:ext>
          </a:extLst>
        </xdr:cNvPr>
        <xdr:cNvSpPr/>
      </xdr:nvSpPr>
      <xdr:spPr>
        <a:xfrm>
          <a:off x="10994572" y="3425190"/>
          <a:ext cx="711617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21</xdr:row>
      <xdr:rowOff>76200</xdr:rowOff>
    </xdr:from>
    <xdr:to>
      <xdr:col>33</xdr:col>
      <xdr:colOff>83154</xdr:colOff>
      <xdr:row>21</xdr:row>
      <xdr:rowOff>76200</xdr:rowOff>
    </xdr:to>
    <xdr:cxnSp macro="">
      <xdr:nvCxnSpPr>
        <xdr:cNvPr id="76107" name="직선 화살표 연결선 76106">
          <a:extLst>
            <a:ext uri="{FF2B5EF4-FFF2-40B4-BE49-F238E27FC236}">
              <a16:creationId xmlns:a16="http://schemas.microsoft.com/office/drawing/2014/main" id="{8EB30175-1246-43E1-9F28-3FE43BFB9158}"/>
            </a:ext>
          </a:extLst>
        </xdr:cNvPr>
        <xdr:cNvCxnSpPr/>
      </xdr:nvCxnSpPr>
      <xdr:spPr>
        <a:xfrm>
          <a:off x="10994572" y="3482340"/>
          <a:ext cx="1452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62048</xdr:colOff>
      <xdr:row>20</xdr:row>
      <xdr:rowOff>19050</xdr:rowOff>
    </xdr:from>
    <xdr:to>
      <xdr:col>81</xdr:col>
      <xdr:colOff>84002</xdr:colOff>
      <xdr:row>20</xdr:row>
      <xdr:rowOff>133350</xdr:rowOff>
    </xdr:to>
    <xdr:sp macro="" textlink="">
      <xdr:nvSpPr>
        <xdr:cNvPr id="76108" name="17">
          <a:extLst>
            <a:ext uri="{FF2B5EF4-FFF2-40B4-BE49-F238E27FC236}">
              <a16:creationId xmlns:a16="http://schemas.microsoft.com/office/drawing/2014/main" id="{2C146AFA-1B86-42C5-A4F5-203A1AD80C0D}"/>
            </a:ext>
          </a:extLst>
        </xdr:cNvPr>
        <xdr:cNvSpPr/>
      </xdr:nvSpPr>
      <xdr:spPr>
        <a:xfrm>
          <a:off x="18068108" y="327279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62048</xdr:colOff>
      <xdr:row>20</xdr:row>
      <xdr:rowOff>76200</xdr:rowOff>
    </xdr:from>
    <xdr:to>
      <xdr:col>81</xdr:col>
      <xdr:colOff>62048</xdr:colOff>
      <xdr:row>20</xdr:row>
      <xdr:rowOff>76200</xdr:rowOff>
    </xdr:to>
    <xdr:cxnSp macro="">
      <xdr:nvCxnSpPr>
        <xdr:cNvPr id="76109" name="직선 화살표 연결선 76108">
          <a:extLst>
            <a:ext uri="{FF2B5EF4-FFF2-40B4-BE49-F238E27FC236}">
              <a16:creationId xmlns:a16="http://schemas.microsoft.com/office/drawing/2014/main" id="{BB5B9CB0-76C3-46AF-B209-1C49377281E2}"/>
            </a:ext>
          </a:extLst>
        </xdr:cNvPr>
        <xdr:cNvCxnSpPr/>
      </xdr:nvCxnSpPr>
      <xdr:spPr>
        <a:xfrm>
          <a:off x="18068108" y="332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41366</xdr:colOff>
      <xdr:row>19</xdr:row>
      <xdr:rowOff>19050</xdr:rowOff>
    </xdr:from>
    <xdr:to>
      <xdr:col>53</xdr:col>
      <xdr:colOff>23586</xdr:colOff>
      <xdr:row>19</xdr:row>
      <xdr:rowOff>146050</xdr:rowOff>
    </xdr:to>
    <xdr:sp macro="" textlink="">
      <xdr:nvSpPr>
        <xdr:cNvPr id="76110" name="16">
          <a:extLst>
            <a:ext uri="{FF2B5EF4-FFF2-40B4-BE49-F238E27FC236}">
              <a16:creationId xmlns:a16="http://schemas.microsoft.com/office/drawing/2014/main" id="{248EB608-895D-41C6-AFAD-58A08E252A0D}"/>
            </a:ext>
          </a:extLst>
        </xdr:cNvPr>
        <xdr:cNvSpPr/>
      </xdr:nvSpPr>
      <xdr:spPr>
        <a:xfrm>
          <a:off x="13848806" y="31203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18</xdr:row>
      <xdr:rowOff>19050</xdr:rowOff>
    </xdr:from>
    <xdr:to>
      <xdr:col>33</xdr:col>
      <xdr:colOff>84001</xdr:colOff>
      <xdr:row>18</xdr:row>
      <xdr:rowOff>133350</xdr:rowOff>
    </xdr:to>
    <xdr:sp macro="" textlink="">
      <xdr:nvSpPr>
        <xdr:cNvPr id="76111" name="15">
          <a:extLst>
            <a:ext uri="{FF2B5EF4-FFF2-40B4-BE49-F238E27FC236}">
              <a16:creationId xmlns:a16="http://schemas.microsoft.com/office/drawing/2014/main" id="{8535AD78-5E76-4566-9256-54AA5068F114}"/>
            </a:ext>
          </a:extLst>
        </xdr:cNvPr>
        <xdr:cNvSpPr/>
      </xdr:nvSpPr>
      <xdr:spPr>
        <a:xfrm>
          <a:off x="11118669" y="2967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18</xdr:row>
      <xdr:rowOff>76200</xdr:rowOff>
    </xdr:from>
    <xdr:to>
      <xdr:col>33</xdr:col>
      <xdr:colOff>82731</xdr:colOff>
      <xdr:row>18</xdr:row>
      <xdr:rowOff>76200</xdr:rowOff>
    </xdr:to>
    <xdr:cxnSp macro="">
      <xdr:nvCxnSpPr>
        <xdr:cNvPr id="76112" name="직선 화살표 연결선 76111">
          <a:extLst>
            <a:ext uri="{FF2B5EF4-FFF2-40B4-BE49-F238E27FC236}">
              <a16:creationId xmlns:a16="http://schemas.microsoft.com/office/drawing/2014/main" id="{537C0C68-8116-468C-9F33-70744029858D}"/>
            </a:ext>
          </a:extLst>
        </xdr:cNvPr>
        <xdr:cNvCxnSpPr/>
      </xdr:nvCxnSpPr>
      <xdr:spPr>
        <a:xfrm>
          <a:off x="11118669" y="302514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17</xdr:row>
      <xdr:rowOff>19050</xdr:rowOff>
    </xdr:from>
    <xdr:to>
      <xdr:col>81</xdr:col>
      <xdr:colOff>84002</xdr:colOff>
      <xdr:row>17</xdr:row>
      <xdr:rowOff>133350</xdr:rowOff>
    </xdr:to>
    <xdr:sp macro="" textlink="">
      <xdr:nvSpPr>
        <xdr:cNvPr id="76113" name="14">
          <a:extLst>
            <a:ext uri="{FF2B5EF4-FFF2-40B4-BE49-F238E27FC236}">
              <a16:creationId xmlns:a16="http://schemas.microsoft.com/office/drawing/2014/main" id="{7645B704-A7AD-4195-A7F2-62502F9810B2}"/>
            </a:ext>
          </a:extLst>
        </xdr:cNvPr>
        <xdr:cNvSpPr/>
      </xdr:nvSpPr>
      <xdr:spPr>
        <a:xfrm>
          <a:off x="11118669" y="2815590"/>
          <a:ext cx="697139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17</xdr:row>
      <xdr:rowOff>76200</xdr:rowOff>
    </xdr:from>
    <xdr:to>
      <xdr:col>57</xdr:col>
      <xdr:colOff>72390</xdr:colOff>
      <xdr:row>17</xdr:row>
      <xdr:rowOff>76200</xdr:rowOff>
    </xdr:to>
    <xdr:cxnSp macro="">
      <xdr:nvCxnSpPr>
        <xdr:cNvPr id="76114" name="직선 화살표 연결선 76113">
          <a:extLst>
            <a:ext uri="{FF2B5EF4-FFF2-40B4-BE49-F238E27FC236}">
              <a16:creationId xmlns:a16="http://schemas.microsoft.com/office/drawing/2014/main" id="{AE25AE18-4B2E-40DD-88EF-70F55D590BB1}"/>
            </a:ext>
          </a:extLst>
        </xdr:cNvPr>
        <xdr:cNvCxnSpPr/>
      </xdr:nvCxnSpPr>
      <xdr:spPr>
        <a:xfrm>
          <a:off x="11118669" y="2872740"/>
          <a:ext cx="34850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16</xdr:row>
      <xdr:rowOff>19050</xdr:rowOff>
    </xdr:from>
    <xdr:to>
      <xdr:col>81</xdr:col>
      <xdr:colOff>104684</xdr:colOff>
      <xdr:row>16</xdr:row>
      <xdr:rowOff>133350</xdr:rowOff>
    </xdr:to>
    <xdr:sp macro="" textlink="">
      <xdr:nvSpPr>
        <xdr:cNvPr id="76115" name="13">
          <a:extLst>
            <a:ext uri="{FF2B5EF4-FFF2-40B4-BE49-F238E27FC236}">
              <a16:creationId xmlns:a16="http://schemas.microsoft.com/office/drawing/2014/main" id="{9ACE6559-7D72-49FC-A828-EA62390555CE}"/>
            </a:ext>
          </a:extLst>
        </xdr:cNvPr>
        <xdr:cNvSpPr/>
      </xdr:nvSpPr>
      <xdr:spPr>
        <a:xfrm>
          <a:off x="10994572" y="2663190"/>
          <a:ext cx="711617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16</xdr:row>
      <xdr:rowOff>76200</xdr:rowOff>
    </xdr:from>
    <xdr:to>
      <xdr:col>33</xdr:col>
      <xdr:colOff>103065</xdr:colOff>
      <xdr:row>16</xdr:row>
      <xdr:rowOff>76200</xdr:rowOff>
    </xdr:to>
    <xdr:cxnSp macro="">
      <xdr:nvCxnSpPr>
        <xdr:cNvPr id="76116" name="직선 화살표 연결선 76115">
          <a:extLst>
            <a:ext uri="{FF2B5EF4-FFF2-40B4-BE49-F238E27FC236}">
              <a16:creationId xmlns:a16="http://schemas.microsoft.com/office/drawing/2014/main" id="{700337F0-CBD7-4242-B0BC-C126426F8CF3}"/>
            </a:ext>
          </a:extLst>
        </xdr:cNvPr>
        <xdr:cNvCxnSpPr/>
      </xdr:nvCxnSpPr>
      <xdr:spPr>
        <a:xfrm>
          <a:off x="10994572" y="2720340"/>
          <a:ext cx="1651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15</xdr:row>
      <xdr:rowOff>19050</xdr:rowOff>
    </xdr:from>
    <xdr:to>
      <xdr:col>31</xdr:col>
      <xdr:colOff>125367</xdr:colOff>
      <xdr:row>15</xdr:row>
      <xdr:rowOff>133350</xdr:rowOff>
    </xdr:to>
    <xdr:sp macro="" textlink="">
      <xdr:nvSpPr>
        <xdr:cNvPr id="76117" name="12">
          <a:extLst>
            <a:ext uri="{FF2B5EF4-FFF2-40B4-BE49-F238E27FC236}">
              <a16:creationId xmlns:a16="http://schemas.microsoft.com/office/drawing/2014/main" id="{35264237-78B9-40A6-85D8-86EC6D01183C}"/>
            </a:ext>
          </a:extLst>
        </xdr:cNvPr>
        <xdr:cNvSpPr/>
      </xdr:nvSpPr>
      <xdr:spPr>
        <a:xfrm>
          <a:off x="10787743" y="25107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15</xdr:row>
      <xdr:rowOff>76200</xdr:rowOff>
    </xdr:from>
    <xdr:to>
      <xdr:col>31</xdr:col>
      <xdr:colOff>124097</xdr:colOff>
      <xdr:row>15</xdr:row>
      <xdr:rowOff>76200</xdr:rowOff>
    </xdr:to>
    <xdr:cxnSp macro="">
      <xdr:nvCxnSpPr>
        <xdr:cNvPr id="76118" name="직선 화살표 연결선 76117">
          <a:extLst>
            <a:ext uri="{FF2B5EF4-FFF2-40B4-BE49-F238E27FC236}">
              <a16:creationId xmlns:a16="http://schemas.microsoft.com/office/drawing/2014/main" id="{2DC87357-F778-48ED-ABE8-AF28E986D76C}"/>
            </a:ext>
          </a:extLst>
        </xdr:cNvPr>
        <xdr:cNvCxnSpPr/>
      </xdr:nvCxnSpPr>
      <xdr:spPr>
        <a:xfrm>
          <a:off x="10787743" y="25679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14</xdr:row>
      <xdr:rowOff>19050</xdr:rowOff>
    </xdr:from>
    <xdr:to>
      <xdr:col>31</xdr:col>
      <xdr:colOff>125367</xdr:colOff>
      <xdr:row>14</xdr:row>
      <xdr:rowOff>133350</xdr:rowOff>
    </xdr:to>
    <xdr:sp macro="" textlink="">
      <xdr:nvSpPr>
        <xdr:cNvPr id="76119" name="11">
          <a:extLst>
            <a:ext uri="{FF2B5EF4-FFF2-40B4-BE49-F238E27FC236}">
              <a16:creationId xmlns:a16="http://schemas.microsoft.com/office/drawing/2014/main" id="{AEEF4C78-CCFB-4E16-A114-EFD7682FB49C}"/>
            </a:ext>
          </a:extLst>
        </xdr:cNvPr>
        <xdr:cNvSpPr/>
      </xdr:nvSpPr>
      <xdr:spPr>
        <a:xfrm>
          <a:off x="10787743" y="23583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14</xdr:row>
      <xdr:rowOff>76200</xdr:rowOff>
    </xdr:from>
    <xdr:to>
      <xdr:col>31</xdr:col>
      <xdr:colOff>124097</xdr:colOff>
      <xdr:row>14</xdr:row>
      <xdr:rowOff>76200</xdr:rowOff>
    </xdr:to>
    <xdr:cxnSp macro="">
      <xdr:nvCxnSpPr>
        <xdr:cNvPr id="76120" name="직선 화살표 연결선 76119">
          <a:extLst>
            <a:ext uri="{FF2B5EF4-FFF2-40B4-BE49-F238E27FC236}">
              <a16:creationId xmlns:a16="http://schemas.microsoft.com/office/drawing/2014/main" id="{4BA18E89-6293-4274-BEA0-42B552F1C102}"/>
            </a:ext>
          </a:extLst>
        </xdr:cNvPr>
        <xdr:cNvCxnSpPr/>
      </xdr:nvCxnSpPr>
      <xdr:spPr>
        <a:xfrm>
          <a:off x="10787743" y="24155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13</xdr:row>
      <xdr:rowOff>19050</xdr:rowOff>
    </xdr:from>
    <xdr:to>
      <xdr:col>31</xdr:col>
      <xdr:colOff>125367</xdr:colOff>
      <xdr:row>13</xdr:row>
      <xdr:rowOff>133350</xdr:rowOff>
    </xdr:to>
    <xdr:sp macro="" textlink="">
      <xdr:nvSpPr>
        <xdr:cNvPr id="76121" name="10">
          <a:extLst>
            <a:ext uri="{FF2B5EF4-FFF2-40B4-BE49-F238E27FC236}">
              <a16:creationId xmlns:a16="http://schemas.microsoft.com/office/drawing/2014/main" id="{FE45D0E1-6AD3-43DC-A361-6F923B1EC08B}"/>
            </a:ext>
          </a:extLst>
        </xdr:cNvPr>
        <xdr:cNvSpPr/>
      </xdr:nvSpPr>
      <xdr:spPr>
        <a:xfrm>
          <a:off x="10787743" y="22059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13</xdr:row>
      <xdr:rowOff>76200</xdr:rowOff>
    </xdr:from>
    <xdr:to>
      <xdr:col>31</xdr:col>
      <xdr:colOff>124097</xdr:colOff>
      <xdr:row>13</xdr:row>
      <xdr:rowOff>76200</xdr:rowOff>
    </xdr:to>
    <xdr:cxnSp macro="">
      <xdr:nvCxnSpPr>
        <xdr:cNvPr id="76122" name="직선 화살표 연결선 76121">
          <a:extLst>
            <a:ext uri="{FF2B5EF4-FFF2-40B4-BE49-F238E27FC236}">
              <a16:creationId xmlns:a16="http://schemas.microsoft.com/office/drawing/2014/main" id="{774B61B8-BDD6-4051-BBEA-ADB50B14FB47}"/>
            </a:ext>
          </a:extLst>
        </xdr:cNvPr>
        <xdr:cNvCxnSpPr/>
      </xdr:nvCxnSpPr>
      <xdr:spPr>
        <a:xfrm>
          <a:off x="10787743" y="22631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xdr:row>
      <xdr:rowOff>19050</xdr:rowOff>
    </xdr:from>
    <xdr:to>
      <xdr:col>31</xdr:col>
      <xdr:colOff>125367</xdr:colOff>
      <xdr:row>12</xdr:row>
      <xdr:rowOff>133350</xdr:rowOff>
    </xdr:to>
    <xdr:sp macro="" textlink="">
      <xdr:nvSpPr>
        <xdr:cNvPr id="76123" name="9">
          <a:extLst>
            <a:ext uri="{FF2B5EF4-FFF2-40B4-BE49-F238E27FC236}">
              <a16:creationId xmlns:a16="http://schemas.microsoft.com/office/drawing/2014/main" id="{EAE79431-E2DF-4739-A480-65B9B19E34C3}"/>
            </a:ext>
          </a:extLst>
        </xdr:cNvPr>
        <xdr:cNvSpPr/>
      </xdr:nvSpPr>
      <xdr:spPr>
        <a:xfrm>
          <a:off x="10787743" y="20535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xdr:row>
      <xdr:rowOff>76200</xdr:rowOff>
    </xdr:from>
    <xdr:to>
      <xdr:col>31</xdr:col>
      <xdr:colOff>124097</xdr:colOff>
      <xdr:row>12</xdr:row>
      <xdr:rowOff>76200</xdr:rowOff>
    </xdr:to>
    <xdr:cxnSp macro="">
      <xdr:nvCxnSpPr>
        <xdr:cNvPr id="76124" name="직선 화살표 연결선 76123">
          <a:extLst>
            <a:ext uri="{FF2B5EF4-FFF2-40B4-BE49-F238E27FC236}">
              <a16:creationId xmlns:a16="http://schemas.microsoft.com/office/drawing/2014/main" id="{0E16FD4A-088E-4829-B499-53C9D891C5B7}"/>
            </a:ext>
          </a:extLst>
        </xdr:cNvPr>
        <xdr:cNvCxnSpPr/>
      </xdr:nvCxnSpPr>
      <xdr:spPr>
        <a:xfrm>
          <a:off x="10787743" y="21107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xdr:row>
      <xdr:rowOff>19050</xdr:rowOff>
    </xdr:from>
    <xdr:to>
      <xdr:col>31</xdr:col>
      <xdr:colOff>125367</xdr:colOff>
      <xdr:row>11</xdr:row>
      <xdr:rowOff>133350</xdr:rowOff>
    </xdr:to>
    <xdr:sp macro="" textlink="">
      <xdr:nvSpPr>
        <xdr:cNvPr id="76125" name="8">
          <a:extLst>
            <a:ext uri="{FF2B5EF4-FFF2-40B4-BE49-F238E27FC236}">
              <a16:creationId xmlns:a16="http://schemas.microsoft.com/office/drawing/2014/main" id="{EBF2F19B-431B-47E1-B5D5-FF0EA1890575}"/>
            </a:ext>
          </a:extLst>
        </xdr:cNvPr>
        <xdr:cNvSpPr/>
      </xdr:nvSpPr>
      <xdr:spPr>
        <a:xfrm>
          <a:off x="10787743" y="19011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xdr:row>
      <xdr:rowOff>76200</xdr:rowOff>
    </xdr:from>
    <xdr:to>
      <xdr:col>31</xdr:col>
      <xdr:colOff>124097</xdr:colOff>
      <xdr:row>11</xdr:row>
      <xdr:rowOff>76200</xdr:rowOff>
    </xdr:to>
    <xdr:cxnSp macro="">
      <xdr:nvCxnSpPr>
        <xdr:cNvPr id="76126" name="직선 화살표 연결선 76125">
          <a:extLst>
            <a:ext uri="{FF2B5EF4-FFF2-40B4-BE49-F238E27FC236}">
              <a16:creationId xmlns:a16="http://schemas.microsoft.com/office/drawing/2014/main" id="{73E387A2-D288-4F0C-940D-B5AA20119A58}"/>
            </a:ext>
          </a:extLst>
        </xdr:cNvPr>
        <xdr:cNvCxnSpPr/>
      </xdr:nvCxnSpPr>
      <xdr:spPr>
        <a:xfrm>
          <a:off x="10787743" y="19583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xdr:row>
      <xdr:rowOff>19050</xdr:rowOff>
    </xdr:from>
    <xdr:to>
      <xdr:col>31</xdr:col>
      <xdr:colOff>125367</xdr:colOff>
      <xdr:row>10</xdr:row>
      <xdr:rowOff>133350</xdr:rowOff>
    </xdr:to>
    <xdr:sp macro="" textlink="">
      <xdr:nvSpPr>
        <xdr:cNvPr id="76127" name="7">
          <a:extLst>
            <a:ext uri="{FF2B5EF4-FFF2-40B4-BE49-F238E27FC236}">
              <a16:creationId xmlns:a16="http://schemas.microsoft.com/office/drawing/2014/main" id="{1E291ECC-3691-4E02-8AF0-C436064534B6}"/>
            </a:ext>
          </a:extLst>
        </xdr:cNvPr>
        <xdr:cNvSpPr/>
      </xdr:nvSpPr>
      <xdr:spPr>
        <a:xfrm>
          <a:off x="10787743" y="17487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xdr:row>
      <xdr:rowOff>76200</xdr:rowOff>
    </xdr:from>
    <xdr:to>
      <xdr:col>31</xdr:col>
      <xdr:colOff>124097</xdr:colOff>
      <xdr:row>10</xdr:row>
      <xdr:rowOff>76200</xdr:rowOff>
    </xdr:to>
    <xdr:cxnSp macro="">
      <xdr:nvCxnSpPr>
        <xdr:cNvPr id="76128" name="직선 화살표 연결선 76127">
          <a:extLst>
            <a:ext uri="{FF2B5EF4-FFF2-40B4-BE49-F238E27FC236}">
              <a16:creationId xmlns:a16="http://schemas.microsoft.com/office/drawing/2014/main" id="{DB8D3D89-3F19-44C3-8D9C-CD7A1DA4CED8}"/>
            </a:ext>
          </a:extLst>
        </xdr:cNvPr>
        <xdr:cNvCxnSpPr/>
      </xdr:nvCxnSpPr>
      <xdr:spPr>
        <a:xfrm>
          <a:off x="10787743" y="18059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9</xdr:row>
      <xdr:rowOff>19050</xdr:rowOff>
    </xdr:from>
    <xdr:to>
      <xdr:col>32</xdr:col>
      <xdr:colOff>2903</xdr:colOff>
      <xdr:row>9</xdr:row>
      <xdr:rowOff>146050</xdr:rowOff>
    </xdr:to>
    <xdr:sp macro="" textlink="">
      <xdr:nvSpPr>
        <xdr:cNvPr id="76129" name="6">
          <a:extLst>
            <a:ext uri="{FF2B5EF4-FFF2-40B4-BE49-F238E27FC236}">
              <a16:creationId xmlns:a16="http://schemas.microsoft.com/office/drawing/2014/main" id="{35D6969A-4BB0-4451-9D1D-5FEED337F11A}"/>
            </a:ext>
          </a:extLst>
        </xdr:cNvPr>
        <xdr:cNvSpPr/>
      </xdr:nvSpPr>
      <xdr:spPr>
        <a:xfrm>
          <a:off x="10787743" y="15963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8</xdr:row>
      <xdr:rowOff>19050</xdr:rowOff>
    </xdr:from>
    <xdr:to>
      <xdr:col>31</xdr:col>
      <xdr:colOff>125367</xdr:colOff>
      <xdr:row>8</xdr:row>
      <xdr:rowOff>133350</xdr:rowOff>
    </xdr:to>
    <xdr:sp macro="" textlink="">
      <xdr:nvSpPr>
        <xdr:cNvPr id="76130" name="5">
          <a:extLst>
            <a:ext uri="{FF2B5EF4-FFF2-40B4-BE49-F238E27FC236}">
              <a16:creationId xmlns:a16="http://schemas.microsoft.com/office/drawing/2014/main" id="{F09651D6-ED9F-426E-9595-7AF0103D3184}"/>
            </a:ext>
          </a:extLst>
        </xdr:cNvPr>
        <xdr:cNvSpPr/>
      </xdr:nvSpPr>
      <xdr:spPr>
        <a:xfrm>
          <a:off x="10787743" y="144399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8</xdr:row>
      <xdr:rowOff>76200</xdr:rowOff>
    </xdr:from>
    <xdr:to>
      <xdr:col>31</xdr:col>
      <xdr:colOff>124097</xdr:colOff>
      <xdr:row>8</xdr:row>
      <xdr:rowOff>76200</xdr:rowOff>
    </xdr:to>
    <xdr:cxnSp macro="">
      <xdr:nvCxnSpPr>
        <xdr:cNvPr id="76131" name="직선 화살표 연결선 76130">
          <a:extLst>
            <a:ext uri="{FF2B5EF4-FFF2-40B4-BE49-F238E27FC236}">
              <a16:creationId xmlns:a16="http://schemas.microsoft.com/office/drawing/2014/main" id="{06220CE7-4515-4842-8A9A-36B34705DB71}"/>
            </a:ext>
          </a:extLst>
        </xdr:cNvPr>
        <xdr:cNvCxnSpPr/>
      </xdr:nvCxnSpPr>
      <xdr:spPr>
        <a:xfrm>
          <a:off x="10787743" y="15011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7</xdr:row>
      <xdr:rowOff>19050</xdr:rowOff>
    </xdr:from>
    <xdr:to>
      <xdr:col>31</xdr:col>
      <xdr:colOff>125367</xdr:colOff>
      <xdr:row>7</xdr:row>
      <xdr:rowOff>133350</xdr:rowOff>
    </xdr:to>
    <xdr:sp macro="" textlink="">
      <xdr:nvSpPr>
        <xdr:cNvPr id="76132" name="4">
          <a:extLst>
            <a:ext uri="{FF2B5EF4-FFF2-40B4-BE49-F238E27FC236}">
              <a16:creationId xmlns:a16="http://schemas.microsoft.com/office/drawing/2014/main" id="{14C19EF1-D602-48DE-95DE-252583DFEDAF}"/>
            </a:ext>
          </a:extLst>
        </xdr:cNvPr>
        <xdr:cNvSpPr/>
      </xdr:nvSpPr>
      <xdr:spPr>
        <a:xfrm>
          <a:off x="10787743" y="12915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7</xdr:row>
      <xdr:rowOff>76200</xdr:rowOff>
    </xdr:from>
    <xdr:to>
      <xdr:col>31</xdr:col>
      <xdr:colOff>124097</xdr:colOff>
      <xdr:row>7</xdr:row>
      <xdr:rowOff>76200</xdr:rowOff>
    </xdr:to>
    <xdr:cxnSp macro="">
      <xdr:nvCxnSpPr>
        <xdr:cNvPr id="76133" name="직선 화살표 연결선 76132">
          <a:extLst>
            <a:ext uri="{FF2B5EF4-FFF2-40B4-BE49-F238E27FC236}">
              <a16:creationId xmlns:a16="http://schemas.microsoft.com/office/drawing/2014/main" id="{67A9BF73-17D3-4C65-8687-E3B2646F7187}"/>
            </a:ext>
          </a:extLst>
        </xdr:cNvPr>
        <xdr:cNvCxnSpPr/>
      </xdr:nvCxnSpPr>
      <xdr:spPr>
        <a:xfrm>
          <a:off x="10787743" y="13487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6</xdr:row>
      <xdr:rowOff>19050</xdr:rowOff>
    </xdr:from>
    <xdr:to>
      <xdr:col>31</xdr:col>
      <xdr:colOff>125367</xdr:colOff>
      <xdr:row>6</xdr:row>
      <xdr:rowOff>133350</xdr:rowOff>
    </xdr:to>
    <xdr:sp macro="" textlink="">
      <xdr:nvSpPr>
        <xdr:cNvPr id="76134" name="3">
          <a:extLst>
            <a:ext uri="{FF2B5EF4-FFF2-40B4-BE49-F238E27FC236}">
              <a16:creationId xmlns:a16="http://schemas.microsoft.com/office/drawing/2014/main" id="{239514C9-D87B-40CD-B0B9-3EE8A57CE2A1}"/>
            </a:ext>
          </a:extLst>
        </xdr:cNvPr>
        <xdr:cNvSpPr/>
      </xdr:nvSpPr>
      <xdr:spPr>
        <a:xfrm>
          <a:off x="10787743" y="113919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6</xdr:row>
      <xdr:rowOff>76200</xdr:rowOff>
    </xdr:from>
    <xdr:to>
      <xdr:col>31</xdr:col>
      <xdr:colOff>124097</xdr:colOff>
      <xdr:row>6</xdr:row>
      <xdr:rowOff>76200</xdr:rowOff>
    </xdr:to>
    <xdr:cxnSp macro="">
      <xdr:nvCxnSpPr>
        <xdr:cNvPr id="76135" name="직선 화살표 연결선 76134">
          <a:extLst>
            <a:ext uri="{FF2B5EF4-FFF2-40B4-BE49-F238E27FC236}">
              <a16:creationId xmlns:a16="http://schemas.microsoft.com/office/drawing/2014/main" id="{5057BDC4-89BB-42C1-BB6A-E758636D9B26}"/>
            </a:ext>
          </a:extLst>
        </xdr:cNvPr>
        <xdr:cNvCxnSpPr/>
      </xdr:nvCxnSpPr>
      <xdr:spPr>
        <a:xfrm>
          <a:off x="10787743" y="11963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xdr:row>
      <xdr:rowOff>19050</xdr:rowOff>
    </xdr:from>
    <xdr:to>
      <xdr:col>31</xdr:col>
      <xdr:colOff>125367</xdr:colOff>
      <xdr:row>5</xdr:row>
      <xdr:rowOff>133350</xdr:rowOff>
    </xdr:to>
    <xdr:sp macro="" textlink="">
      <xdr:nvSpPr>
        <xdr:cNvPr id="76136" name="2">
          <a:extLst>
            <a:ext uri="{FF2B5EF4-FFF2-40B4-BE49-F238E27FC236}">
              <a16:creationId xmlns:a16="http://schemas.microsoft.com/office/drawing/2014/main" id="{9F1F1638-0B7E-4277-9A08-D13359F2C4CE}"/>
            </a:ext>
          </a:extLst>
        </xdr:cNvPr>
        <xdr:cNvSpPr/>
      </xdr:nvSpPr>
      <xdr:spPr>
        <a:xfrm>
          <a:off x="10787743" y="98679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xdr:row>
      <xdr:rowOff>76200</xdr:rowOff>
    </xdr:from>
    <xdr:to>
      <xdr:col>31</xdr:col>
      <xdr:colOff>124097</xdr:colOff>
      <xdr:row>5</xdr:row>
      <xdr:rowOff>76200</xdr:rowOff>
    </xdr:to>
    <xdr:cxnSp macro="">
      <xdr:nvCxnSpPr>
        <xdr:cNvPr id="76137" name="직선 화살표 연결선 76136">
          <a:extLst>
            <a:ext uri="{FF2B5EF4-FFF2-40B4-BE49-F238E27FC236}">
              <a16:creationId xmlns:a16="http://schemas.microsoft.com/office/drawing/2014/main" id="{EE24BB5E-0D0F-44AE-9E65-9CD156B12762}"/>
            </a:ext>
          </a:extLst>
        </xdr:cNvPr>
        <xdr:cNvCxnSpPr/>
      </xdr:nvCxnSpPr>
      <xdr:spPr>
        <a:xfrm>
          <a:off x="10787743" y="10439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4</xdr:row>
      <xdr:rowOff>19050</xdr:rowOff>
    </xdr:from>
    <xdr:to>
      <xdr:col>82</xdr:col>
      <xdr:colOff>125367</xdr:colOff>
      <xdr:row>4</xdr:row>
      <xdr:rowOff>133350</xdr:rowOff>
    </xdr:to>
    <xdr:sp macro="" textlink="">
      <xdr:nvSpPr>
        <xdr:cNvPr id="76138" name="1">
          <a:extLst>
            <a:ext uri="{FF2B5EF4-FFF2-40B4-BE49-F238E27FC236}">
              <a16:creationId xmlns:a16="http://schemas.microsoft.com/office/drawing/2014/main" id="{47EC2CFE-1E0E-4F50-8185-E014BD287FC0}"/>
            </a:ext>
          </a:extLst>
        </xdr:cNvPr>
        <xdr:cNvSpPr/>
      </xdr:nvSpPr>
      <xdr:spPr>
        <a:xfrm>
          <a:off x="10787743" y="834390"/>
          <a:ext cx="7488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4</xdr:row>
      <xdr:rowOff>76200</xdr:rowOff>
    </xdr:from>
    <xdr:to>
      <xdr:col>38</xdr:col>
      <xdr:colOff>131537</xdr:colOff>
      <xdr:row>4</xdr:row>
      <xdr:rowOff>76200</xdr:rowOff>
    </xdr:to>
    <xdr:cxnSp macro="">
      <xdr:nvCxnSpPr>
        <xdr:cNvPr id="76139" name="직선 화살표 연결선 76138">
          <a:extLst>
            <a:ext uri="{FF2B5EF4-FFF2-40B4-BE49-F238E27FC236}">
              <a16:creationId xmlns:a16="http://schemas.microsoft.com/office/drawing/2014/main" id="{7363F19F-48B0-405D-AE98-B79748FC6429}"/>
            </a:ext>
          </a:extLst>
        </xdr:cNvPr>
        <xdr:cNvCxnSpPr/>
      </xdr:nvCxnSpPr>
      <xdr:spPr>
        <a:xfrm>
          <a:off x="10787743" y="891540"/>
          <a:ext cx="11243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33786</xdr:colOff>
      <xdr:row>22</xdr:row>
      <xdr:rowOff>1058</xdr:rowOff>
    </xdr:to>
    <xdr:pic>
      <xdr:nvPicPr>
        <xdr:cNvPr id="3" name="그림 2">
          <a:extLst>
            <a:ext uri="{FF2B5EF4-FFF2-40B4-BE49-F238E27FC236}">
              <a16:creationId xmlns:a16="http://schemas.microsoft.com/office/drawing/2014/main" id="{43170F6A-9E1C-5C2E-4EA2-31FDC93DFE4C}"/>
            </a:ext>
          </a:extLst>
        </xdr:cNvPr>
        <xdr:cNvPicPr>
          <a:picLocks noChangeAspect="1"/>
        </xdr:cNvPicPr>
      </xdr:nvPicPr>
      <xdr:blipFill>
        <a:blip xmlns:r="http://schemas.openxmlformats.org/officeDocument/2006/relationships" r:embed="rId1"/>
        <a:stretch>
          <a:fillRect/>
        </a:stretch>
      </xdr:blipFill>
      <xdr:spPr>
        <a:xfrm>
          <a:off x="0" y="0"/>
          <a:ext cx="10762746" cy="4862618"/>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9.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5"/>
  <sheetViews>
    <sheetView showGridLines="0" topLeftCell="B7" workbookViewId="0">
      <selection activeCell="R14" sqref="R14"/>
    </sheetView>
  </sheetViews>
  <sheetFormatPr defaultColWidth="9" defaultRowHeight="17.399999999999999"/>
  <cols>
    <col min="1" max="3" width="9" style="165"/>
    <col min="4" max="4" width="1.19921875" style="165" customWidth="1"/>
    <col min="5" max="5" width="3.5" style="165" customWidth="1"/>
    <col min="6" max="16384" width="9" style="165"/>
  </cols>
  <sheetData>
    <row r="1" spans="1:16" ht="19.2">
      <c r="A1" s="163" t="s">
        <v>1579</v>
      </c>
      <c r="B1" s="163"/>
      <c r="C1" s="164"/>
      <c r="D1" s="164"/>
      <c r="E1" s="164"/>
      <c r="F1" s="164"/>
      <c r="G1" s="164"/>
      <c r="H1" s="164"/>
      <c r="I1" s="164"/>
      <c r="J1" s="164"/>
      <c r="K1" s="164"/>
      <c r="L1" s="164"/>
      <c r="M1" s="164"/>
    </row>
    <row r="2" spans="1:16" ht="18" thickBot="1">
      <c r="A2" s="164"/>
      <c r="B2" s="164"/>
      <c r="C2" s="164"/>
      <c r="D2" s="164"/>
      <c r="E2" s="164"/>
      <c r="F2" s="164"/>
      <c r="G2" s="164"/>
      <c r="H2" s="164"/>
      <c r="I2" s="164"/>
      <c r="J2" s="164"/>
      <c r="N2" s="164"/>
      <c r="O2" s="164"/>
      <c r="P2" s="164"/>
    </row>
    <row r="3" spans="1:16">
      <c r="A3" s="164"/>
      <c r="B3" s="164"/>
      <c r="C3" s="164"/>
      <c r="D3" s="164"/>
      <c r="E3" s="164"/>
      <c r="F3" s="164"/>
      <c r="G3" s="164"/>
      <c r="H3" s="164"/>
      <c r="I3" s="164"/>
      <c r="J3" s="164"/>
      <c r="N3" s="166" t="s">
        <v>1580</v>
      </c>
      <c r="O3" s="258" t="s">
        <v>1597</v>
      </c>
      <c r="P3" s="259"/>
    </row>
    <row r="4" spans="1:16">
      <c r="A4" s="164"/>
      <c r="B4" s="167"/>
      <c r="C4" s="168"/>
      <c r="D4" s="168"/>
      <c r="E4" s="168"/>
      <c r="F4" s="164"/>
      <c r="G4" s="164"/>
      <c r="H4" s="164"/>
      <c r="I4" s="164"/>
      <c r="J4" s="164"/>
      <c r="N4" s="169" t="s">
        <v>1581</v>
      </c>
      <c r="O4" s="260">
        <v>45705</v>
      </c>
      <c r="P4" s="261"/>
    </row>
    <row r="5" spans="1:16" ht="18" thickBot="1">
      <c r="A5" s="164"/>
      <c r="B5" s="164"/>
      <c r="C5" s="164"/>
      <c r="D5" s="164"/>
      <c r="E5" s="164"/>
      <c r="F5" s="164"/>
      <c r="G5" s="164"/>
      <c r="H5" s="164"/>
      <c r="I5" s="164"/>
      <c r="J5" s="164"/>
      <c r="N5" s="170" t="s">
        <v>1582</v>
      </c>
      <c r="O5" s="262" t="s">
        <v>1583</v>
      </c>
      <c r="P5" s="263"/>
    </row>
    <row r="6" spans="1:16">
      <c r="A6" s="164"/>
      <c r="B6" s="164"/>
      <c r="C6" s="164"/>
      <c r="D6" s="164"/>
      <c r="E6" s="164"/>
      <c r="F6" s="164"/>
      <c r="G6" s="164"/>
      <c r="H6" s="164"/>
      <c r="I6" s="164"/>
      <c r="J6" s="164"/>
      <c r="K6" s="164"/>
      <c r="L6" s="164"/>
      <c r="M6" s="164"/>
    </row>
    <row r="7" spans="1:16">
      <c r="A7" s="164"/>
      <c r="B7" s="164"/>
      <c r="C7" s="164"/>
      <c r="E7" s="164"/>
      <c r="F7" s="164"/>
      <c r="G7" s="164"/>
      <c r="H7" s="164"/>
      <c r="I7" s="164"/>
      <c r="J7" s="164"/>
      <c r="K7" s="164"/>
      <c r="L7" s="164"/>
      <c r="M7" s="164"/>
    </row>
    <row r="8" spans="1:16">
      <c r="A8" s="164"/>
      <c r="B8" s="164"/>
      <c r="C8" s="164"/>
      <c r="D8" s="171"/>
      <c r="E8" s="164"/>
      <c r="F8" s="164"/>
      <c r="G8" s="164"/>
      <c r="H8" s="164"/>
      <c r="I8" s="164"/>
      <c r="J8" s="164"/>
      <c r="K8" s="164"/>
      <c r="L8" s="164"/>
      <c r="M8" s="164"/>
    </row>
    <row r="9" spans="1:16" ht="22.2">
      <c r="A9" s="164"/>
      <c r="B9" s="164"/>
      <c r="C9" s="164"/>
      <c r="D9" s="171"/>
      <c r="E9" s="164"/>
      <c r="F9" s="324" t="s">
        <v>1596</v>
      </c>
      <c r="G9" s="164"/>
      <c r="H9" s="164"/>
      <c r="I9" s="164"/>
      <c r="J9" s="164"/>
      <c r="K9" s="164"/>
      <c r="L9" s="164"/>
      <c r="M9" s="164"/>
    </row>
    <row r="10" spans="1:16" ht="30.6">
      <c r="A10" s="164"/>
      <c r="B10" s="164"/>
      <c r="C10" s="164"/>
      <c r="D10" s="171"/>
      <c r="E10" s="164"/>
      <c r="F10" s="325" t="s">
        <v>459</v>
      </c>
      <c r="G10" s="164"/>
      <c r="H10" s="164"/>
      <c r="I10" s="164"/>
      <c r="J10" s="164"/>
      <c r="K10" s="164"/>
      <c r="L10" s="164"/>
      <c r="M10" s="164"/>
    </row>
    <row r="11" spans="1:16">
      <c r="A11" s="164"/>
      <c r="B11" s="164"/>
      <c r="C11" s="164"/>
      <c r="D11" s="171"/>
      <c r="E11" s="164"/>
      <c r="F11" s="164"/>
      <c r="G11" s="164"/>
      <c r="H11" s="164"/>
      <c r="I11" s="164"/>
      <c r="J11" s="164"/>
      <c r="K11" s="164"/>
      <c r="L11" s="164"/>
      <c r="M11" s="164"/>
    </row>
    <row r="12" spans="1:16">
      <c r="A12" s="164"/>
      <c r="B12" s="164"/>
      <c r="C12" s="164"/>
      <c r="D12" s="164"/>
      <c r="E12" s="164"/>
      <c r="F12" s="164"/>
      <c r="G12" s="164"/>
      <c r="H12" s="164"/>
      <c r="I12" s="164"/>
      <c r="J12" s="164"/>
      <c r="K12" s="164"/>
      <c r="L12" s="164"/>
      <c r="M12" s="164"/>
    </row>
    <row r="13" spans="1:16">
      <c r="A13" s="164"/>
      <c r="B13" s="164"/>
      <c r="C13" s="164"/>
      <c r="D13" s="164"/>
      <c r="E13" s="164"/>
      <c r="F13" s="164"/>
      <c r="G13" s="164"/>
      <c r="H13" s="164"/>
      <c r="I13" s="164"/>
      <c r="J13" s="164"/>
      <c r="K13" s="164"/>
      <c r="L13" s="164"/>
      <c r="M13" s="164"/>
    </row>
    <row r="14" spans="1:16">
      <c r="A14" s="164"/>
      <c r="B14" s="164"/>
      <c r="C14" s="164"/>
      <c r="D14" s="164"/>
      <c r="E14" s="164"/>
      <c r="F14" s="164"/>
      <c r="G14" s="164"/>
      <c r="H14" s="164"/>
      <c r="I14" s="164"/>
      <c r="J14" s="164"/>
      <c r="K14" s="164"/>
      <c r="L14" s="164"/>
      <c r="M14" s="164"/>
    </row>
    <row r="15" spans="1:16">
      <c r="A15" s="164"/>
      <c r="B15" s="164"/>
      <c r="C15" s="164"/>
      <c r="D15" s="164"/>
      <c r="E15" s="164"/>
      <c r="F15" s="164"/>
      <c r="G15" s="164"/>
      <c r="H15" s="164"/>
      <c r="I15" s="164"/>
      <c r="J15" s="164"/>
      <c r="K15" s="164"/>
      <c r="L15" s="164"/>
      <c r="M15" s="164"/>
    </row>
    <row r="16" spans="1:16">
      <c r="A16" s="164"/>
      <c r="B16" s="164"/>
      <c r="C16" s="164"/>
      <c r="D16" s="164"/>
      <c r="E16" s="164"/>
      <c r="F16" s="164"/>
      <c r="G16" s="164"/>
      <c r="H16" s="164"/>
      <c r="I16" s="164"/>
      <c r="J16" s="164"/>
      <c r="K16" s="164"/>
      <c r="L16" s="164"/>
      <c r="M16" s="164"/>
    </row>
    <row r="17" spans="1:13">
      <c r="A17" s="164"/>
      <c r="B17" s="164"/>
      <c r="C17" s="164"/>
      <c r="D17" s="164"/>
      <c r="E17" s="164"/>
      <c r="F17" s="164"/>
      <c r="G17" s="164"/>
      <c r="H17" s="164"/>
      <c r="I17" s="164"/>
      <c r="J17" s="164"/>
      <c r="K17" s="164"/>
      <c r="L17" s="164"/>
      <c r="M17" s="164"/>
    </row>
    <row r="18" spans="1:13">
      <c r="A18" s="164"/>
      <c r="B18" s="164"/>
      <c r="C18" s="164"/>
      <c r="D18" s="164"/>
      <c r="E18" s="164"/>
      <c r="F18" s="164"/>
      <c r="G18" s="164"/>
      <c r="H18" s="164"/>
      <c r="I18" s="164"/>
      <c r="J18" s="164"/>
      <c r="K18" s="164"/>
      <c r="L18" s="164"/>
      <c r="M18" s="164"/>
    </row>
    <row r="19" spans="1:13">
      <c r="A19" s="164"/>
      <c r="B19" s="164"/>
      <c r="C19" s="164"/>
      <c r="D19" s="164"/>
      <c r="E19" s="164"/>
      <c r="F19" s="164"/>
      <c r="G19" s="164"/>
      <c r="H19" s="164"/>
      <c r="I19" s="164"/>
      <c r="J19" s="164"/>
      <c r="K19" s="164"/>
      <c r="L19" s="164"/>
      <c r="M19" s="164"/>
    </row>
    <row r="20" spans="1:13">
      <c r="A20" s="164"/>
      <c r="B20" s="164"/>
      <c r="C20" s="164"/>
      <c r="D20" s="164"/>
      <c r="E20" s="164"/>
      <c r="F20" s="164"/>
      <c r="G20" s="164"/>
      <c r="H20" s="164"/>
      <c r="I20" s="164"/>
      <c r="J20" s="164"/>
      <c r="K20" s="164"/>
      <c r="L20" s="164"/>
      <c r="M20" s="164"/>
    </row>
    <row r="21" spans="1:13">
      <c r="A21" s="164"/>
      <c r="B21" s="164"/>
      <c r="C21" s="164"/>
      <c r="D21" s="164"/>
      <c r="E21" s="164"/>
      <c r="F21" s="164"/>
      <c r="G21" s="164"/>
      <c r="H21" s="164"/>
      <c r="I21" s="164"/>
      <c r="J21" s="164"/>
      <c r="K21" s="164"/>
      <c r="L21" s="164"/>
      <c r="M21" s="164"/>
    </row>
    <row r="22" spans="1:13">
      <c r="A22" s="164"/>
      <c r="B22" s="164"/>
      <c r="C22" s="164"/>
      <c r="D22" s="164"/>
      <c r="E22" s="164"/>
      <c r="F22" s="164"/>
      <c r="G22" s="164"/>
      <c r="H22" s="164"/>
      <c r="I22" s="164"/>
      <c r="J22" s="164"/>
      <c r="K22" s="164"/>
      <c r="L22" s="164"/>
      <c r="M22" s="164"/>
    </row>
    <row r="23" spans="1:13">
      <c r="A23" s="164"/>
      <c r="B23" s="164"/>
      <c r="C23" s="164"/>
      <c r="D23" s="164"/>
      <c r="E23" s="164"/>
      <c r="F23" s="164"/>
      <c r="G23" s="164"/>
      <c r="H23" s="164"/>
      <c r="I23" s="164"/>
      <c r="J23" s="164"/>
      <c r="K23" s="164"/>
      <c r="L23" s="164"/>
      <c r="M23" s="164"/>
    </row>
    <row r="24" spans="1:13">
      <c r="A24" s="164"/>
      <c r="B24" s="164"/>
      <c r="C24" s="164"/>
      <c r="D24" s="164"/>
      <c r="E24" s="164"/>
      <c r="F24" s="164"/>
      <c r="G24" s="164"/>
      <c r="H24" s="164"/>
      <c r="I24" s="164"/>
      <c r="J24" s="164"/>
      <c r="K24" s="164"/>
      <c r="L24" s="164"/>
      <c r="M24" s="164"/>
    </row>
    <row r="25" spans="1:13">
      <c r="A25" s="164"/>
      <c r="B25" s="164"/>
      <c r="C25" s="164"/>
      <c r="D25" s="164"/>
      <c r="E25" s="164"/>
      <c r="F25" s="164"/>
      <c r="G25" s="164"/>
      <c r="H25" s="164"/>
      <c r="I25" s="164"/>
      <c r="J25" s="164"/>
      <c r="K25" s="164"/>
      <c r="L25" s="164"/>
      <c r="M25" s="164"/>
    </row>
    <row r="26" spans="1:13">
      <c r="A26" s="164"/>
      <c r="B26" s="164"/>
      <c r="C26" s="164"/>
      <c r="D26" s="164"/>
      <c r="E26" s="164"/>
      <c r="F26" s="164"/>
      <c r="G26" s="164"/>
      <c r="H26" s="164"/>
      <c r="I26" s="164"/>
      <c r="J26" s="164"/>
      <c r="K26" s="164"/>
      <c r="L26" s="164"/>
      <c r="M26" s="164"/>
    </row>
    <row r="27" spans="1:13">
      <c r="A27" s="164"/>
      <c r="B27" s="164"/>
      <c r="C27" s="164"/>
      <c r="D27" s="164"/>
      <c r="E27" s="164"/>
      <c r="F27" s="164"/>
      <c r="G27" s="164"/>
      <c r="H27" s="164"/>
      <c r="I27" s="164"/>
      <c r="J27" s="164"/>
      <c r="K27" s="164"/>
      <c r="L27" s="164"/>
      <c r="M27" s="164"/>
    </row>
    <row r="28" spans="1:13">
      <c r="A28" s="164"/>
      <c r="B28" s="164"/>
      <c r="C28" s="164"/>
      <c r="D28" s="164"/>
      <c r="E28" s="164"/>
      <c r="F28" s="164"/>
      <c r="G28" s="164"/>
      <c r="H28" s="164"/>
      <c r="I28" s="164"/>
      <c r="J28" s="164"/>
      <c r="K28" s="164"/>
      <c r="L28" s="164"/>
      <c r="M28" s="164"/>
    </row>
    <row r="29" spans="1:13">
      <c r="A29" s="164"/>
      <c r="B29" s="164"/>
      <c r="C29" s="164"/>
      <c r="D29" s="164"/>
      <c r="E29" s="164"/>
      <c r="F29" s="164"/>
      <c r="G29" s="164"/>
      <c r="H29" s="164"/>
      <c r="I29" s="164"/>
      <c r="J29" s="164"/>
      <c r="K29" s="164"/>
      <c r="L29" s="164"/>
      <c r="M29" s="164"/>
    </row>
    <row r="30" spans="1:13">
      <c r="A30" s="164"/>
      <c r="B30" s="164"/>
      <c r="C30" s="164"/>
      <c r="D30" s="164"/>
      <c r="E30" s="164"/>
      <c r="F30" s="164"/>
      <c r="G30" s="164"/>
      <c r="H30" s="164"/>
      <c r="I30" s="164"/>
      <c r="J30" s="164"/>
      <c r="K30" s="164"/>
      <c r="L30" s="164"/>
      <c r="M30" s="164"/>
    </row>
    <row r="31" spans="1:13">
      <c r="A31" s="164"/>
      <c r="B31" s="164"/>
      <c r="C31" s="164"/>
      <c r="D31" s="164"/>
      <c r="E31" s="164"/>
      <c r="F31" s="164"/>
      <c r="G31" s="164"/>
      <c r="H31" s="164"/>
      <c r="I31" s="164"/>
      <c r="J31" s="164"/>
      <c r="K31" s="164"/>
      <c r="L31" s="164"/>
      <c r="M31" s="164"/>
    </row>
    <row r="32" spans="1:13">
      <c r="A32" s="164"/>
      <c r="B32" s="164"/>
      <c r="C32" s="164"/>
      <c r="D32" s="164"/>
      <c r="E32" s="164"/>
      <c r="F32" s="164"/>
      <c r="G32" s="164"/>
      <c r="H32" s="164"/>
      <c r="I32" s="164"/>
      <c r="J32" s="164"/>
      <c r="K32" s="164"/>
      <c r="L32" s="164"/>
      <c r="M32" s="164"/>
    </row>
    <row r="33" spans="1:13">
      <c r="A33" s="164"/>
      <c r="B33" s="164"/>
      <c r="C33" s="164"/>
      <c r="D33" s="164"/>
      <c r="E33" s="164"/>
      <c r="F33" s="164"/>
      <c r="G33" s="164"/>
      <c r="H33" s="164"/>
      <c r="I33" s="164"/>
      <c r="J33" s="164"/>
      <c r="K33" s="164"/>
      <c r="L33" s="164"/>
      <c r="M33" s="164"/>
    </row>
    <row r="34" spans="1:13">
      <c r="A34" s="164"/>
      <c r="B34" s="164"/>
      <c r="C34" s="164"/>
      <c r="D34" s="164"/>
      <c r="E34" s="164"/>
      <c r="F34" s="164"/>
      <c r="G34" s="164"/>
      <c r="H34" s="164"/>
      <c r="I34" s="164"/>
      <c r="J34" s="164"/>
      <c r="K34" s="164"/>
      <c r="L34" s="164"/>
      <c r="M34" s="164"/>
    </row>
    <row r="35" spans="1:13">
      <c r="A35" s="164"/>
      <c r="B35" s="164"/>
      <c r="C35" s="164"/>
      <c r="D35" s="164"/>
      <c r="E35" s="164"/>
      <c r="F35" s="164"/>
      <c r="G35" s="164"/>
      <c r="H35" s="164"/>
      <c r="I35" s="164"/>
      <c r="J35" s="164"/>
      <c r="K35" s="164"/>
      <c r="L35" s="164"/>
      <c r="M35" s="164"/>
    </row>
  </sheetData>
  <mergeCells count="3">
    <mergeCell ref="O3:P3"/>
    <mergeCell ref="O4:P4"/>
    <mergeCell ref="O5:P5"/>
  </mergeCells>
  <phoneticPr fontId="4"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F25"/>
  <sheetViews>
    <sheetView showGridLines="0" workbookViewId="0">
      <selection activeCell="D20" sqref="D20"/>
    </sheetView>
  </sheetViews>
  <sheetFormatPr defaultColWidth="9" defaultRowHeight="17.399999999999999"/>
  <cols>
    <col min="1" max="1" width="9" style="165"/>
    <col min="2" max="2" width="11.19921875" style="165" bestFit="1" customWidth="1"/>
    <col min="3" max="3" width="13.09765625" style="165" bestFit="1" customWidth="1"/>
    <col min="4" max="4" width="48.5" style="165" customWidth="1"/>
    <col min="5" max="16384" width="9" style="165"/>
  </cols>
  <sheetData>
    <row r="2" spans="1:6" ht="25.2">
      <c r="A2" s="264" t="s">
        <v>1584</v>
      </c>
      <c r="B2" s="264"/>
      <c r="C2" s="264"/>
      <c r="D2" s="264"/>
      <c r="E2" s="264"/>
      <c r="F2" s="264"/>
    </row>
    <row r="3" spans="1:6">
      <c r="A3" s="172" t="s">
        <v>1585</v>
      </c>
      <c r="B3" s="172" t="s">
        <v>1586</v>
      </c>
      <c r="C3" s="173" t="s">
        <v>1587</v>
      </c>
      <c r="D3" s="173" t="s">
        <v>1588</v>
      </c>
      <c r="E3" s="172" t="s">
        <v>1589</v>
      </c>
      <c r="F3" s="172" t="s">
        <v>1590</v>
      </c>
    </row>
    <row r="4" spans="1:6">
      <c r="A4" s="174">
        <v>0.9</v>
      </c>
      <c r="B4" s="175">
        <v>45855</v>
      </c>
      <c r="C4" s="174" t="s">
        <v>1591</v>
      </c>
      <c r="D4" s="176" t="s">
        <v>1592</v>
      </c>
      <c r="E4" s="174"/>
      <c r="F4" s="174" t="s">
        <v>1593</v>
      </c>
    </row>
    <row r="5" spans="1:6">
      <c r="A5" s="177"/>
      <c r="B5" s="175"/>
      <c r="C5" s="174"/>
      <c r="D5" s="176"/>
      <c r="E5" s="174"/>
      <c r="F5" s="174"/>
    </row>
    <row r="6" spans="1:6">
      <c r="A6" s="177"/>
      <c r="B6" s="175"/>
      <c r="C6" s="174"/>
      <c r="D6" s="176"/>
      <c r="E6" s="174"/>
      <c r="F6" s="174"/>
    </row>
    <row r="7" spans="1:6">
      <c r="A7" s="177"/>
      <c r="B7" s="175"/>
      <c r="C7" s="174"/>
      <c r="D7" s="176"/>
      <c r="E7" s="174"/>
      <c r="F7" s="174"/>
    </row>
    <row r="8" spans="1:6">
      <c r="A8" s="174"/>
      <c r="B8" s="175"/>
      <c r="C8" s="174"/>
      <c r="D8" s="176"/>
      <c r="E8" s="174"/>
      <c r="F8" s="174"/>
    </row>
    <row r="9" spans="1:6">
      <c r="A9" s="178"/>
      <c r="B9" s="179"/>
      <c r="C9" s="180"/>
      <c r="D9" s="176"/>
      <c r="E9" s="180"/>
      <c r="F9" s="180"/>
    </row>
    <row r="10" spans="1:6">
      <c r="A10" s="174"/>
      <c r="B10" s="179"/>
      <c r="C10" s="180"/>
      <c r="D10" s="176"/>
      <c r="E10" s="180"/>
      <c r="F10" s="180"/>
    </row>
    <row r="11" spans="1:6">
      <c r="A11" s="174"/>
      <c r="B11" s="179"/>
      <c r="C11" s="180"/>
      <c r="D11" s="176"/>
      <c r="E11" s="180"/>
      <c r="F11" s="180"/>
    </row>
    <row r="12" spans="1:6">
      <c r="A12" s="174"/>
      <c r="B12" s="179"/>
      <c r="C12" s="180"/>
      <c r="D12" s="176"/>
      <c r="E12" s="180"/>
      <c r="F12" s="180"/>
    </row>
    <row r="13" spans="1:6">
      <c r="A13" s="174"/>
      <c r="B13" s="174"/>
      <c r="C13" s="174"/>
      <c r="D13" s="176"/>
      <c r="E13" s="174"/>
      <c r="F13" s="174"/>
    </row>
    <row r="14" spans="1:6">
      <c r="A14" s="174"/>
      <c r="B14" s="174"/>
      <c r="C14" s="174"/>
      <c r="D14" s="176"/>
      <c r="E14" s="174"/>
      <c r="F14" s="174"/>
    </row>
    <row r="15" spans="1:6">
      <c r="A15" s="174"/>
      <c r="B15" s="174"/>
      <c r="C15" s="174"/>
      <c r="D15" s="176"/>
      <c r="E15" s="174"/>
      <c r="F15" s="174"/>
    </row>
    <row r="16" spans="1:6">
      <c r="A16" s="174"/>
      <c r="B16" s="174"/>
      <c r="C16" s="174"/>
      <c r="D16" s="176"/>
      <c r="E16" s="174"/>
      <c r="F16" s="174"/>
    </row>
    <row r="17" spans="1:6">
      <c r="A17" s="174"/>
      <c r="B17" s="174"/>
      <c r="C17" s="174"/>
      <c r="D17" s="176"/>
      <c r="E17" s="174"/>
      <c r="F17" s="174"/>
    </row>
    <row r="18" spans="1:6">
      <c r="A18" s="174"/>
      <c r="B18" s="174"/>
      <c r="C18" s="174"/>
      <c r="D18" s="176"/>
      <c r="E18" s="174"/>
      <c r="F18" s="174"/>
    </row>
    <row r="19" spans="1:6">
      <c r="A19" s="174"/>
      <c r="B19" s="174"/>
      <c r="C19" s="174"/>
      <c r="D19" s="176"/>
      <c r="E19" s="174"/>
      <c r="F19" s="174"/>
    </row>
    <row r="20" spans="1:6">
      <c r="A20" s="181"/>
      <c r="B20" s="182"/>
      <c r="C20" s="182"/>
      <c r="D20" s="182"/>
      <c r="E20" s="182"/>
      <c r="F20" s="182"/>
    </row>
    <row r="21" spans="1:6" ht="15.75" customHeight="1">
      <c r="A21" s="182"/>
      <c r="B21" s="182"/>
      <c r="C21" s="182"/>
      <c r="D21" s="182"/>
      <c r="E21" s="182"/>
      <c r="F21" s="182"/>
    </row>
    <row r="22" spans="1:6">
      <c r="A22" s="183"/>
      <c r="B22" s="183"/>
      <c r="C22" s="183"/>
      <c r="D22" s="183"/>
      <c r="E22" s="183"/>
      <c r="F22" s="183"/>
    </row>
    <row r="23" spans="1:6">
      <c r="A23" s="184"/>
      <c r="B23" s="184"/>
      <c r="C23" s="184"/>
      <c r="D23" s="184"/>
      <c r="E23" s="184"/>
      <c r="F23" s="184"/>
    </row>
    <row r="24" spans="1:6">
      <c r="A24" s="185" t="s">
        <v>1594</v>
      </c>
      <c r="B24" s="185"/>
      <c r="C24" s="185"/>
      <c r="D24" s="185"/>
      <c r="E24" s="185"/>
      <c r="F24" s="185"/>
    </row>
    <row r="25" spans="1:6">
      <c r="A25" s="185" t="s">
        <v>1595</v>
      </c>
      <c r="B25" s="185"/>
      <c r="C25" s="185"/>
      <c r="D25" s="185"/>
      <c r="E25" s="185"/>
      <c r="F25" s="185"/>
    </row>
  </sheetData>
  <mergeCells count="1">
    <mergeCell ref="A2:F2"/>
  </mergeCells>
  <phoneticPr fontId="4"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OL263"/>
  <sheetViews>
    <sheetView tabSelected="1" zoomScaleNormal="100" zoomScaleSheetLayoutView="115" zoomScalePageLayoutView="55" workbookViewId="0">
      <pane ySplit="4" topLeftCell="A104" activePane="bottomLeft" state="frozen"/>
      <selection activeCell="D1" sqref="D1"/>
      <selection pane="bottomLeft" activeCell="D5" sqref="D5"/>
    </sheetView>
  </sheetViews>
  <sheetFormatPr defaultColWidth="10" defaultRowHeight="12" customHeight="1" outlineLevelRow="4"/>
  <cols>
    <col min="1" max="1" width="9.09765625" style="109" hidden="1" customWidth="1"/>
    <col min="2" max="2" width="9" style="109" hidden="1" customWidth="1"/>
    <col min="3" max="3" width="8.3984375" style="109" hidden="1" customWidth="1"/>
    <col min="4" max="4" width="9.69921875" style="110" customWidth="1"/>
    <col min="5" max="13" width="2.69921875" style="111" customWidth="1"/>
    <col min="14" max="14" width="4.5" style="111" bestFit="1" customWidth="1"/>
    <col min="15" max="15" width="9.69921875" style="111" bestFit="1" customWidth="1"/>
    <col min="16" max="17" width="10.5" style="187" bestFit="1" customWidth="1"/>
    <col min="18" max="18" width="7.59765625" style="111" hidden="1" customWidth="1"/>
    <col min="19" max="19" width="7.3984375" style="112" customWidth="1"/>
    <col min="20" max="20" width="6.09765625" style="112" bestFit="1" customWidth="1"/>
    <col min="21" max="21" width="6" style="112" customWidth="1"/>
    <col min="22" max="22" width="5.8984375" style="112" customWidth="1"/>
    <col min="23" max="24" width="9.69921875" style="187" hidden="1" customWidth="1"/>
    <col min="25" max="25" width="7.5" style="113" hidden="1" customWidth="1"/>
    <col min="26" max="26" width="6" style="114" hidden="1" customWidth="1"/>
    <col min="27" max="27" width="6.09765625" style="112" customWidth="1"/>
    <col min="28" max="28" width="12.8984375" style="111" customWidth="1"/>
    <col min="29" max="29" width="10.19921875" style="115" customWidth="1"/>
    <col min="30" max="30" width="8.3984375" style="116" bestFit="1" customWidth="1"/>
    <col min="31" max="31" width="9.09765625" style="117" customWidth="1"/>
    <col min="32" max="402" width="1.8984375" style="213" customWidth="1"/>
    <col min="403" max="16384" width="10" style="213"/>
  </cols>
  <sheetData>
    <row r="1" spans="1:402" s="223" customFormat="1" ht="25.05" customHeight="1">
      <c r="A1" s="214"/>
      <c r="B1" s="215"/>
      <c r="C1" s="216"/>
      <c r="D1" s="233" t="str" cm="1">
        <f t="array" aca="1" ref="D1" ca="1">xlgantt.ProjectName()</f>
        <v>신성통상 차세대 POS 및 키오스크 구축 프로젝트</v>
      </c>
      <c r="E1" s="217"/>
      <c r="F1" s="217"/>
      <c r="G1" s="217"/>
      <c r="H1" s="217"/>
      <c r="I1" s="217"/>
      <c r="J1" s="217"/>
      <c r="K1" s="217"/>
      <c r="L1" s="217"/>
      <c r="M1" s="217"/>
      <c r="N1" s="217"/>
      <c r="O1" s="217"/>
      <c r="P1" s="247"/>
      <c r="Q1" s="248"/>
      <c r="R1" s="218"/>
      <c r="S1" s="219"/>
      <c r="T1" s="220"/>
      <c r="U1" s="221"/>
      <c r="V1" s="221"/>
      <c r="W1" s="251"/>
      <c r="X1" s="251"/>
      <c r="Y1" s="215"/>
      <c r="Z1" s="222"/>
      <c r="AA1" s="206"/>
      <c r="AB1" s="188"/>
      <c r="AC1" s="189"/>
      <c r="AD1" s="207"/>
      <c r="AE1" s="208" t="str" cm="1">
        <f t="array" aca="1" ref="AE1" ca="1">xlgantt.ProjectProgressString()</f>
        <v>2025-02-17~2026-02-16 [계획:7.85% 실적:0.73%]</v>
      </c>
      <c r="AF1" s="236" t="s">
        <v>1716</v>
      </c>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row>
    <row r="2" spans="1:402" s="223" customFormat="1" ht="15" customHeight="1">
      <c r="A2" s="224"/>
      <c r="B2" s="224"/>
      <c r="C2" s="225"/>
      <c r="D2" s="271"/>
      <c r="E2" s="271"/>
      <c r="F2" s="271"/>
      <c r="G2" s="209"/>
      <c r="H2" s="226"/>
      <c r="I2" s="209"/>
      <c r="J2" s="209"/>
      <c r="K2" s="209"/>
      <c r="L2" s="209"/>
      <c r="M2" s="209"/>
      <c r="N2" s="209"/>
      <c r="O2" s="209"/>
      <c r="P2" s="249"/>
      <c r="Q2" s="249"/>
      <c r="R2" s="209"/>
      <c r="S2" s="210"/>
      <c r="T2" s="210"/>
      <c r="U2" s="210"/>
      <c r="V2" s="210"/>
      <c r="W2" s="249"/>
      <c r="X2" s="249"/>
      <c r="Y2" s="209"/>
      <c r="Z2" s="209"/>
      <c r="AA2" s="209"/>
      <c r="AB2" s="209"/>
      <c r="AC2" s="190"/>
      <c r="AD2" s="211"/>
      <c r="AE2" s="209" t="str" cm="1">
        <f t="array" aca="1" ref="AE2" ca="1">xlgantt.CommentOnHeadArea()</f>
        <v>별(*)표시는 필수입력</v>
      </c>
      <c r="AF2" s="267" t="s">
        <v>742</v>
      </c>
      <c r="AG2" s="267"/>
      <c r="AH2" s="267"/>
      <c r="AI2" s="267"/>
      <c r="AJ2" s="267" t="s">
        <v>1535</v>
      </c>
      <c r="AK2" s="267"/>
      <c r="AL2" s="267"/>
      <c r="AM2" s="267"/>
      <c r="AN2" s="267" t="s">
        <v>1536</v>
      </c>
      <c r="AO2" s="267"/>
      <c r="AP2" s="267"/>
      <c r="AQ2" s="267"/>
      <c r="AR2" s="267" t="s">
        <v>1455</v>
      </c>
      <c r="AS2" s="267"/>
      <c r="AT2" s="267"/>
      <c r="AU2" s="267"/>
      <c r="AV2" s="267" t="s">
        <v>1537</v>
      </c>
      <c r="AW2" s="267"/>
      <c r="AX2" s="267"/>
      <c r="AY2" s="267"/>
      <c r="AZ2" s="267" t="s">
        <v>1538</v>
      </c>
      <c r="BA2" s="267"/>
      <c r="BB2" s="267"/>
      <c r="BC2" s="267"/>
      <c r="BD2" s="267" t="s">
        <v>1564</v>
      </c>
      <c r="BE2" s="267"/>
      <c r="BF2" s="267"/>
      <c r="BG2" s="267"/>
      <c r="BH2" s="267" t="s">
        <v>1566</v>
      </c>
      <c r="BI2" s="267"/>
      <c r="BJ2" s="267"/>
      <c r="BK2" s="267"/>
      <c r="BL2" s="267" t="s">
        <v>1568</v>
      </c>
      <c r="BM2" s="267"/>
      <c r="BN2" s="267"/>
      <c r="BO2" s="267"/>
      <c r="BP2" s="267" t="s">
        <v>1570</v>
      </c>
      <c r="BQ2" s="267"/>
      <c r="BR2" s="267"/>
      <c r="BS2" s="267"/>
      <c r="BT2" s="267" t="s">
        <v>1572</v>
      </c>
      <c r="BU2" s="267"/>
      <c r="BV2" s="267"/>
      <c r="BW2" s="267"/>
      <c r="BX2" s="267" t="s">
        <v>1574</v>
      </c>
      <c r="BY2" s="267"/>
      <c r="BZ2" s="267"/>
      <c r="CA2" s="267"/>
      <c r="CB2" s="267" t="s">
        <v>1576</v>
      </c>
      <c r="CC2" s="267"/>
      <c r="CD2" s="267"/>
      <c r="CE2" s="267"/>
      <c r="CF2" s="267" t="s">
        <v>1578</v>
      </c>
      <c r="CG2" s="267"/>
      <c r="CH2" s="267"/>
      <c r="CI2" s="267"/>
      <c r="CJ2" s="255"/>
      <c r="CK2" s="255"/>
      <c r="CL2" s="255"/>
      <c r="CM2" s="255"/>
      <c r="CN2" s="255"/>
      <c r="CO2" s="255"/>
      <c r="CP2" s="255"/>
      <c r="CQ2" s="255"/>
      <c r="CR2" s="255"/>
      <c r="CS2" s="255"/>
      <c r="CT2" s="255"/>
      <c r="CU2" s="255"/>
      <c r="CV2" s="255"/>
      <c r="CW2" s="255"/>
      <c r="CX2" s="255"/>
      <c r="CY2" s="255"/>
      <c r="CZ2" s="255"/>
      <c r="DA2" s="255"/>
      <c r="DB2" s="255"/>
      <c r="DC2" s="255"/>
      <c r="DD2" s="255"/>
      <c r="DE2" s="255"/>
      <c r="DF2" s="255"/>
      <c r="DG2" s="255"/>
      <c r="DH2" s="255"/>
      <c r="DI2" s="255"/>
      <c r="DJ2" s="255"/>
      <c r="DK2" s="255"/>
      <c r="DL2" s="255"/>
      <c r="DM2" s="255"/>
      <c r="DN2" s="255"/>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row>
    <row r="3" spans="1:402" s="212" customFormat="1" ht="19.05" customHeight="1">
      <c r="A3" s="291" t="s">
        <v>1743</v>
      </c>
      <c r="B3" s="293" t="s">
        <v>1744</v>
      </c>
      <c r="C3" s="295" t="s">
        <v>1745</v>
      </c>
      <c r="D3" s="296" t="s">
        <v>459</v>
      </c>
      <c r="E3" s="297" t="s">
        <v>1746</v>
      </c>
      <c r="F3" s="298"/>
      <c r="G3" s="298"/>
      <c r="H3" s="298"/>
      <c r="I3" s="298"/>
      <c r="J3" s="298"/>
      <c r="K3" s="298"/>
      <c r="L3" s="298"/>
      <c r="M3" s="298"/>
      <c r="N3" s="298"/>
      <c r="O3" s="287" t="s">
        <v>1747</v>
      </c>
      <c r="P3" s="274" t="s">
        <v>1720</v>
      </c>
      <c r="Q3" s="274" t="s">
        <v>1721</v>
      </c>
      <c r="R3" s="276" t="s">
        <v>1722</v>
      </c>
      <c r="S3" s="278" t="s">
        <v>1723</v>
      </c>
      <c r="T3" s="284" t="s">
        <v>1724</v>
      </c>
      <c r="U3" s="278" t="s">
        <v>1725</v>
      </c>
      <c r="V3" s="278" t="s">
        <v>1726</v>
      </c>
      <c r="W3" s="286" t="s">
        <v>1727</v>
      </c>
      <c r="X3" s="286" t="s">
        <v>1728</v>
      </c>
      <c r="Y3" s="280" t="s">
        <v>1729</v>
      </c>
      <c r="Z3" s="282" t="s">
        <v>1730</v>
      </c>
      <c r="AA3" s="272" t="s">
        <v>1731</v>
      </c>
      <c r="AB3" s="287" t="s">
        <v>1732</v>
      </c>
      <c r="AC3" s="276" t="s">
        <v>1733</v>
      </c>
      <c r="AD3" s="289" t="s">
        <v>1734</v>
      </c>
      <c r="AE3" s="269" t="s">
        <v>1735</v>
      </c>
      <c r="AF3" s="265" t="s">
        <v>1557</v>
      </c>
      <c r="AG3" s="266"/>
      <c r="AH3" s="266"/>
      <c r="AI3" s="266"/>
      <c r="AJ3" s="268" t="s">
        <v>1558</v>
      </c>
      <c r="AK3" s="266"/>
      <c r="AL3" s="266"/>
      <c r="AM3" s="266"/>
      <c r="AN3" s="268" t="s">
        <v>1559</v>
      </c>
      <c r="AO3" s="266"/>
      <c r="AP3" s="266"/>
      <c r="AQ3" s="266"/>
      <c r="AR3" s="268" t="s">
        <v>1560</v>
      </c>
      <c r="AS3" s="266"/>
      <c r="AT3" s="266"/>
      <c r="AU3" s="266"/>
      <c r="AV3" s="268" t="s">
        <v>1561</v>
      </c>
      <c r="AW3" s="266"/>
      <c r="AX3" s="266"/>
      <c r="AY3" s="266"/>
      <c r="AZ3" s="268" t="s">
        <v>1562</v>
      </c>
      <c r="BA3" s="266"/>
      <c r="BB3" s="266"/>
      <c r="BC3" s="266"/>
      <c r="BD3" s="268" t="s">
        <v>1563</v>
      </c>
      <c r="BE3" s="266"/>
      <c r="BF3" s="266"/>
      <c r="BG3" s="266"/>
      <c r="BH3" s="268" t="s">
        <v>1565</v>
      </c>
      <c r="BI3" s="266"/>
      <c r="BJ3" s="266"/>
      <c r="BK3" s="266"/>
      <c r="BL3" s="268" t="s">
        <v>1567</v>
      </c>
      <c r="BM3" s="266"/>
      <c r="BN3" s="266"/>
      <c r="BO3" s="266"/>
      <c r="BP3" s="268" t="s">
        <v>1569</v>
      </c>
      <c r="BQ3" s="266"/>
      <c r="BR3" s="266"/>
      <c r="BS3" s="266"/>
      <c r="BT3" s="268" t="s">
        <v>1571</v>
      </c>
      <c r="BU3" s="266"/>
      <c r="BV3" s="266"/>
      <c r="BW3" s="266"/>
      <c r="BX3" s="268" t="s">
        <v>1573</v>
      </c>
      <c r="BY3" s="266"/>
      <c r="BZ3" s="266"/>
      <c r="CA3" s="266"/>
      <c r="CB3" s="268" t="s">
        <v>1575</v>
      </c>
      <c r="CC3" s="266"/>
      <c r="CD3" s="266"/>
      <c r="CE3" s="266"/>
      <c r="CF3" s="268" t="s">
        <v>1577</v>
      </c>
      <c r="CG3" s="266"/>
      <c r="CH3" s="266"/>
      <c r="CI3" s="300"/>
    </row>
    <row r="4" spans="1:402" s="212" customFormat="1" ht="6" customHeight="1">
      <c r="A4" s="292"/>
      <c r="B4" s="294"/>
      <c r="C4" s="291"/>
      <c r="D4" s="277"/>
      <c r="E4" s="299"/>
      <c r="F4" s="298"/>
      <c r="G4" s="298"/>
      <c r="H4" s="298"/>
      <c r="I4" s="298"/>
      <c r="J4" s="298"/>
      <c r="K4" s="298"/>
      <c r="L4" s="298"/>
      <c r="M4" s="298"/>
      <c r="N4" s="298"/>
      <c r="O4" s="288"/>
      <c r="P4" s="275"/>
      <c r="Q4" s="275"/>
      <c r="R4" s="277"/>
      <c r="S4" s="279"/>
      <c r="T4" s="285"/>
      <c r="U4" s="279"/>
      <c r="V4" s="279"/>
      <c r="W4" s="275"/>
      <c r="X4" s="275"/>
      <c r="Y4" s="281"/>
      <c r="Z4" s="283"/>
      <c r="AA4" s="273"/>
      <c r="AB4" s="288"/>
      <c r="AC4" s="277"/>
      <c r="AD4" s="290"/>
      <c r="AE4" s="270"/>
      <c r="AF4" s="238">
        <v>45704</v>
      </c>
      <c r="AG4" s="239">
        <v>45711</v>
      </c>
      <c r="AH4" s="239">
        <v>45718</v>
      </c>
      <c r="AI4" s="239">
        <v>45725</v>
      </c>
      <c r="AJ4" s="239">
        <v>45732</v>
      </c>
      <c r="AK4" s="239">
        <v>45739</v>
      </c>
      <c r="AL4" s="239">
        <v>45746</v>
      </c>
      <c r="AM4" s="239">
        <v>45753</v>
      </c>
      <c r="AN4" s="239">
        <v>45760</v>
      </c>
      <c r="AO4" s="239">
        <v>45767</v>
      </c>
      <c r="AP4" s="239">
        <v>45774</v>
      </c>
      <c r="AQ4" s="239">
        <v>45781</v>
      </c>
      <c r="AR4" s="239">
        <v>45788</v>
      </c>
      <c r="AS4" s="239">
        <v>45795</v>
      </c>
      <c r="AT4" s="239">
        <v>45802</v>
      </c>
      <c r="AU4" s="239">
        <v>45809</v>
      </c>
      <c r="AV4" s="239">
        <v>45816</v>
      </c>
      <c r="AW4" s="239">
        <v>45823</v>
      </c>
      <c r="AX4" s="239">
        <v>45830</v>
      </c>
      <c r="AY4" s="239">
        <v>45837</v>
      </c>
      <c r="AZ4" s="239">
        <v>45844</v>
      </c>
      <c r="BA4" s="239">
        <v>45851</v>
      </c>
      <c r="BB4" s="239">
        <v>45858</v>
      </c>
      <c r="BC4" s="239">
        <v>45865</v>
      </c>
      <c r="BD4" s="239">
        <v>45872</v>
      </c>
      <c r="BE4" s="239">
        <v>45879</v>
      </c>
      <c r="BF4" s="239">
        <v>45886</v>
      </c>
      <c r="BG4" s="239">
        <v>45893</v>
      </c>
      <c r="BH4" s="239">
        <v>45900</v>
      </c>
      <c r="BI4" s="239">
        <v>45907</v>
      </c>
      <c r="BJ4" s="239">
        <v>45914</v>
      </c>
      <c r="BK4" s="239">
        <v>45921</v>
      </c>
      <c r="BL4" s="239">
        <v>45928</v>
      </c>
      <c r="BM4" s="239">
        <v>45935</v>
      </c>
      <c r="BN4" s="239">
        <v>45942</v>
      </c>
      <c r="BO4" s="239">
        <v>45949</v>
      </c>
      <c r="BP4" s="239">
        <v>45956</v>
      </c>
      <c r="BQ4" s="239">
        <v>45963</v>
      </c>
      <c r="BR4" s="239">
        <v>45970</v>
      </c>
      <c r="BS4" s="239">
        <v>45977</v>
      </c>
      <c r="BT4" s="239">
        <v>45984</v>
      </c>
      <c r="BU4" s="239">
        <v>45991</v>
      </c>
      <c r="BV4" s="239">
        <v>45998</v>
      </c>
      <c r="BW4" s="239">
        <v>46005</v>
      </c>
      <c r="BX4" s="239">
        <v>46012</v>
      </c>
      <c r="BY4" s="239">
        <v>46019</v>
      </c>
      <c r="BZ4" s="239">
        <v>46026</v>
      </c>
      <c r="CA4" s="239">
        <v>46033</v>
      </c>
      <c r="CB4" s="239">
        <v>46040</v>
      </c>
      <c r="CC4" s="239">
        <v>46047</v>
      </c>
      <c r="CD4" s="239">
        <v>46054</v>
      </c>
      <c r="CE4" s="239">
        <v>46061</v>
      </c>
      <c r="CF4" s="239">
        <v>46068</v>
      </c>
      <c r="CG4" s="245"/>
      <c r="CH4" s="245"/>
      <c r="CI4" s="246"/>
      <c r="CJ4" s="244"/>
      <c r="CK4" s="244"/>
      <c r="CL4" s="244"/>
      <c r="CM4" s="244"/>
      <c r="CN4" s="244"/>
      <c r="CO4" s="244"/>
      <c r="CP4" s="244"/>
      <c r="CQ4" s="244"/>
      <c r="CR4" s="244"/>
      <c r="CS4" s="244"/>
      <c r="CT4" s="244"/>
      <c r="CU4" s="244"/>
      <c r="CV4" s="244"/>
      <c r="CW4" s="244"/>
      <c r="CX4" s="244"/>
      <c r="CY4" s="244"/>
      <c r="CZ4" s="244"/>
      <c r="DA4" s="244"/>
      <c r="DB4" s="244"/>
      <c r="DC4" s="244"/>
      <c r="DD4" s="244"/>
      <c r="DE4" s="244"/>
      <c r="DF4" s="244"/>
      <c r="DG4" s="244"/>
      <c r="DH4" s="244"/>
      <c r="DI4" s="244"/>
      <c r="DJ4" s="244"/>
      <c r="DK4" s="244"/>
      <c r="DL4" s="244"/>
      <c r="DM4" s="244"/>
      <c r="DN4" s="244"/>
      <c r="DO4" s="244"/>
      <c r="DP4" s="244"/>
      <c r="DQ4" s="244"/>
      <c r="DR4" s="244"/>
      <c r="DS4" s="244"/>
      <c r="DT4" s="244"/>
      <c r="DU4" s="244"/>
      <c r="DV4" s="244"/>
      <c r="DW4" s="244"/>
      <c r="DX4" s="244"/>
      <c r="DY4" s="244"/>
      <c r="DZ4" s="244"/>
      <c r="EA4" s="244"/>
      <c r="EB4" s="244"/>
      <c r="EC4" s="244"/>
      <c r="ED4" s="244"/>
      <c r="EE4" s="244"/>
      <c r="EF4" s="244"/>
      <c r="EG4" s="244"/>
      <c r="EH4" s="244"/>
      <c r="EI4" s="244"/>
      <c r="EJ4" s="244"/>
      <c r="EK4" s="244"/>
      <c r="EL4" s="244"/>
      <c r="EM4" s="244"/>
      <c r="EN4" s="244"/>
      <c r="EO4" s="244"/>
      <c r="EP4" s="244"/>
      <c r="EQ4" s="244"/>
      <c r="ER4" s="244"/>
      <c r="ES4" s="244"/>
      <c r="ET4" s="244"/>
      <c r="EU4" s="244"/>
      <c r="EV4" s="244"/>
      <c r="EW4" s="244"/>
      <c r="EX4" s="244"/>
      <c r="EY4" s="244"/>
      <c r="EZ4" s="244"/>
      <c r="FA4" s="244"/>
      <c r="FB4" s="244"/>
      <c r="FC4" s="244"/>
      <c r="FD4" s="244"/>
      <c r="FE4" s="244"/>
      <c r="FF4" s="244"/>
      <c r="FG4" s="244"/>
      <c r="FH4" s="244"/>
      <c r="FI4" s="244"/>
      <c r="FJ4" s="244"/>
      <c r="FK4" s="244"/>
      <c r="FL4" s="244"/>
      <c r="FM4" s="244"/>
      <c r="FN4" s="244"/>
      <c r="FO4" s="244"/>
      <c r="FP4" s="244"/>
      <c r="FQ4" s="244"/>
      <c r="FR4" s="244"/>
      <c r="FS4" s="244"/>
      <c r="FT4" s="244"/>
      <c r="FU4" s="244"/>
      <c r="FV4" s="244"/>
      <c r="FW4" s="244"/>
      <c r="FX4" s="244"/>
      <c r="FY4" s="244"/>
      <c r="FZ4" s="244"/>
      <c r="GA4" s="244"/>
      <c r="GB4" s="244"/>
      <c r="GC4" s="244"/>
      <c r="GD4" s="244"/>
      <c r="GE4" s="244"/>
      <c r="GF4" s="244"/>
      <c r="GG4" s="244"/>
      <c r="GH4" s="244"/>
      <c r="GI4" s="244"/>
      <c r="GJ4" s="244"/>
      <c r="GK4" s="244"/>
      <c r="GL4" s="244"/>
      <c r="GM4" s="244"/>
      <c r="GN4" s="244"/>
      <c r="GO4" s="244"/>
      <c r="GP4" s="244"/>
      <c r="GQ4" s="244"/>
      <c r="GR4" s="244"/>
      <c r="GS4" s="244"/>
      <c r="GT4" s="244"/>
      <c r="GU4" s="244"/>
      <c r="GV4" s="244"/>
      <c r="GW4" s="244"/>
      <c r="GX4" s="244"/>
      <c r="GY4" s="244"/>
      <c r="GZ4" s="244"/>
      <c r="HA4" s="244"/>
      <c r="HB4" s="244"/>
      <c r="HC4" s="244"/>
      <c r="HD4" s="244"/>
      <c r="HE4" s="244"/>
      <c r="HF4" s="244"/>
      <c r="HG4" s="244"/>
      <c r="HH4" s="244"/>
      <c r="HI4" s="244"/>
      <c r="HJ4" s="244"/>
      <c r="HK4" s="244"/>
      <c r="HL4" s="244"/>
      <c r="HM4" s="244"/>
      <c r="HN4" s="244"/>
      <c r="HO4" s="244"/>
      <c r="HP4" s="244"/>
      <c r="HQ4" s="244"/>
      <c r="HR4" s="244"/>
      <c r="HS4" s="244"/>
      <c r="HT4" s="244"/>
      <c r="HU4" s="244"/>
      <c r="HV4" s="244"/>
      <c r="HW4" s="244"/>
      <c r="HX4" s="244"/>
      <c r="HY4" s="244"/>
      <c r="HZ4" s="244"/>
      <c r="IA4" s="244"/>
      <c r="IB4" s="244"/>
      <c r="IC4" s="244"/>
      <c r="ID4" s="244"/>
      <c r="IE4" s="244"/>
      <c r="IF4" s="244"/>
      <c r="IG4" s="244"/>
      <c r="IH4" s="244"/>
      <c r="II4" s="244"/>
      <c r="IJ4" s="244"/>
      <c r="IK4" s="244"/>
      <c r="IL4" s="244"/>
      <c r="IM4" s="244"/>
      <c r="IN4" s="244"/>
      <c r="IO4" s="244"/>
      <c r="IP4" s="244"/>
      <c r="IQ4" s="244"/>
      <c r="IR4" s="244"/>
      <c r="IS4" s="244"/>
      <c r="IT4" s="244"/>
      <c r="IU4" s="244"/>
      <c r="IV4" s="244"/>
      <c r="IW4" s="244"/>
      <c r="IX4" s="244"/>
      <c r="IY4" s="244"/>
      <c r="IZ4" s="244"/>
      <c r="JA4" s="244"/>
      <c r="JB4" s="244"/>
      <c r="JC4" s="244"/>
      <c r="JD4" s="244"/>
      <c r="JE4" s="244"/>
      <c r="JF4" s="244"/>
      <c r="JG4" s="244"/>
      <c r="JH4" s="244"/>
      <c r="JI4" s="244"/>
      <c r="JJ4" s="244"/>
      <c r="JK4" s="244"/>
      <c r="JL4" s="244"/>
      <c r="JM4" s="244"/>
      <c r="JN4" s="244"/>
      <c r="JO4" s="244"/>
      <c r="JP4" s="244"/>
      <c r="JQ4" s="244"/>
      <c r="JR4" s="244"/>
      <c r="JS4" s="244"/>
      <c r="JT4" s="244"/>
      <c r="JU4" s="244"/>
      <c r="JV4" s="244"/>
      <c r="JW4" s="244"/>
      <c r="JX4" s="244"/>
      <c r="JY4" s="244"/>
      <c r="JZ4" s="244"/>
      <c r="KA4" s="244"/>
      <c r="KB4" s="244"/>
      <c r="KC4" s="244"/>
      <c r="KD4" s="244"/>
      <c r="KE4" s="244"/>
      <c r="KF4" s="244"/>
      <c r="KG4" s="244"/>
      <c r="KH4" s="244"/>
      <c r="KI4" s="244"/>
      <c r="KJ4" s="244"/>
      <c r="KK4" s="244"/>
      <c r="KL4" s="244"/>
      <c r="KM4" s="244"/>
      <c r="KN4" s="244"/>
      <c r="KO4" s="244"/>
      <c r="KP4" s="244"/>
      <c r="KQ4" s="244"/>
      <c r="KR4" s="244"/>
      <c r="KS4" s="244"/>
      <c r="KT4" s="244"/>
      <c r="KU4" s="244"/>
      <c r="KV4" s="244"/>
      <c r="KW4" s="244"/>
      <c r="KX4" s="244"/>
      <c r="KY4" s="244"/>
      <c r="KZ4" s="244"/>
      <c r="LA4" s="244"/>
      <c r="LB4" s="244"/>
      <c r="LC4" s="244"/>
      <c r="LD4" s="244"/>
      <c r="LE4" s="244"/>
      <c r="LF4" s="244"/>
      <c r="LG4" s="244"/>
      <c r="LH4" s="244"/>
      <c r="LI4" s="244"/>
      <c r="LJ4" s="244"/>
      <c r="LK4" s="244"/>
      <c r="LL4" s="244"/>
      <c r="LM4" s="244"/>
      <c r="LN4" s="244"/>
      <c r="LO4" s="244"/>
      <c r="LP4" s="244"/>
      <c r="LQ4" s="244"/>
      <c r="LR4" s="244"/>
      <c r="LS4" s="244"/>
      <c r="LT4" s="244"/>
      <c r="LU4" s="244"/>
      <c r="LV4" s="244"/>
      <c r="LW4" s="244"/>
      <c r="LX4" s="244"/>
      <c r="LY4" s="244"/>
      <c r="LZ4" s="244"/>
      <c r="MA4" s="244"/>
      <c r="MB4" s="244"/>
      <c r="MC4" s="244"/>
      <c r="MD4" s="244"/>
      <c r="ME4" s="244"/>
      <c r="MF4" s="244"/>
      <c r="MG4" s="244"/>
      <c r="MH4" s="244"/>
      <c r="MI4" s="244"/>
      <c r="MJ4" s="244"/>
      <c r="MK4" s="244"/>
      <c r="ML4" s="244"/>
      <c r="MM4" s="244"/>
      <c r="MN4" s="244"/>
      <c r="MO4" s="244"/>
      <c r="MP4" s="244"/>
      <c r="MQ4" s="244"/>
      <c r="MR4" s="244"/>
      <c r="MS4" s="244"/>
      <c r="MT4" s="244"/>
      <c r="MU4" s="244"/>
      <c r="MV4" s="244"/>
      <c r="MW4" s="244"/>
      <c r="MX4" s="244"/>
      <c r="MY4" s="244"/>
      <c r="MZ4" s="244"/>
      <c r="NA4" s="244"/>
      <c r="NB4" s="244"/>
      <c r="NC4" s="244"/>
      <c r="ND4" s="244"/>
      <c r="NE4" s="244"/>
      <c r="NF4" s="244"/>
      <c r="NG4" s="244"/>
      <c r="NH4" s="244"/>
      <c r="NI4" s="244"/>
      <c r="NJ4" s="244"/>
      <c r="NK4" s="244"/>
      <c r="NL4" s="244"/>
      <c r="NM4" s="244"/>
      <c r="NN4" s="244"/>
      <c r="NO4" s="244"/>
      <c r="NP4" s="244"/>
      <c r="NQ4" s="244"/>
      <c r="NR4" s="244"/>
      <c r="NS4" s="244"/>
      <c r="NT4" s="244"/>
      <c r="NU4" s="244"/>
      <c r="NV4" s="244"/>
      <c r="NW4" s="244"/>
      <c r="NX4" s="244"/>
      <c r="NY4" s="244"/>
      <c r="NZ4" s="244"/>
      <c r="OA4" s="244"/>
      <c r="OB4" s="244"/>
      <c r="OC4" s="244"/>
      <c r="OD4" s="244"/>
      <c r="OE4" s="244"/>
      <c r="OF4" s="244"/>
      <c r="OG4" s="244"/>
      <c r="OH4" s="244"/>
      <c r="OI4" s="244"/>
      <c r="OJ4" s="244"/>
      <c r="OK4" s="244"/>
      <c r="OL4" s="244"/>
    </row>
    <row r="5" spans="1:402" ht="12" customHeight="1">
      <c r="A5" s="227"/>
      <c r="B5" s="227" t="s">
        <v>1766</v>
      </c>
      <c r="C5" s="227">
        <v>1</v>
      </c>
      <c r="D5" s="235" t="s">
        <v>496</v>
      </c>
      <c r="E5" s="228" t="s">
        <v>1458</v>
      </c>
      <c r="F5" s="228"/>
      <c r="G5" s="228"/>
      <c r="H5" s="228"/>
      <c r="I5" s="228"/>
      <c r="J5" s="228"/>
      <c r="K5" s="228"/>
      <c r="L5" s="228"/>
      <c r="M5" s="228"/>
      <c r="N5" s="228"/>
      <c r="O5" s="228"/>
      <c r="P5" s="250">
        <v>45705</v>
      </c>
      <c r="Q5" s="250">
        <v>46066</v>
      </c>
      <c r="R5" s="228"/>
      <c r="S5" s="229">
        <v>60.6</v>
      </c>
      <c r="T5" s="229">
        <v>9.1999999999999993</v>
      </c>
      <c r="U5" s="229">
        <v>248</v>
      </c>
      <c r="V5" s="229">
        <v>13</v>
      </c>
      <c r="W5" s="250"/>
      <c r="X5" s="250"/>
      <c r="Y5" s="230">
        <v>0</v>
      </c>
      <c r="Z5" s="231">
        <v>0</v>
      </c>
      <c r="AA5" s="229"/>
      <c r="AB5" s="228"/>
      <c r="AC5" s="191"/>
      <c r="AD5" s="234">
        <v>0.15181518151815179</v>
      </c>
      <c r="AE5" s="243">
        <v>0.15016501650165015</v>
      </c>
      <c r="AF5" s="240"/>
      <c r="AG5" s="241"/>
      <c r="AH5" s="241"/>
      <c r="AI5" s="241"/>
      <c r="AJ5" s="241"/>
      <c r="AK5" s="241"/>
      <c r="AL5" s="241"/>
      <c r="AM5" s="241" t="str">
        <f>"      " &amp; TEXT(AE5,"#0.00%") &amp; " "</f>
        <v xml:space="preserve">      15.02% </v>
      </c>
      <c r="AN5" s="241"/>
      <c r="AO5" s="241"/>
      <c r="AP5" s="241"/>
      <c r="AQ5" s="241"/>
      <c r="AR5" s="241"/>
      <c r="AS5" s="241"/>
      <c r="AT5" s="241"/>
      <c r="AU5" s="241"/>
      <c r="AV5" s="241"/>
      <c r="AW5" s="241"/>
      <c r="AX5" s="241"/>
      <c r="AY5" s="241"/>
      <c r="AZ5" s="241"/>
      <c r="BA5" s="241"/>
      <c r="BB5" s="241"/>
      <c r="BC5" s="241"/>
      <c r="BD5" s="241"/>
      <c r="BE5" s="241"/>
      <c r="BF5" s="241"/>
      <c r="BG5" s="241"/>
      <c r="BH5" s="241"/>
      <c r="BI5" s="241"/>
      <c r="BJ5" s="241"/>
      <c r="BK5" s="241"/>
      <c r="BL5" s="241"/>
      <c r="BM5" s="241"/>
      <c r="BN5" s="241"/>
      <c r="BO5" s="241"/>
      <c r="BP5" s="241"/>
      <c r="BQ5" s="241"/>
      <c r="BR5" s="241"/>
      <c r="BS5" s="241"/>
      <c r="BT5" s="241"/>
      <c r="BU5" s="241"/>
      <c r="BV5" s="241"/>
      <c r="BW5" s="241"/>
      <c r="BX5" s="241"/>
      <c r="BY5" s="241"/>
      <c r="BZ5" s="241"/>
      <c r="CA5" s="241"/>
      <c r="CB5" s="241"/>
      <c r="CC5" s="241"/>
      <c r="CD5" s="241"/>
      <c r="CE5" s="241" t="str">
        <f>"      " &amp; "프로젝트 관리" &amp; " " &amp; IF(P5="","",TEXT(P5,"M/D-")) &amp; IF(Q5="","",TEXT(Q5,"M/D")) &amp; " "</f>
        <v xml:space="preserve">      프로젝트 관리 2/17-2/13 </v>
      </c>
      <c r="CF5" s="241"/>
      <c r="CG5" s="241"/>
      <c r="CH5" s="237"/>
      <c r="CI5" s="237"/>
    </row>
    <row r="6" spans="1:402" ht="12" customHeight="1" outlineLevel="1">
      <c r="A6" s="227"/>
      <c r="B6" s="227" t="s">
        <v>1766</v>
      </c>
      <c r="C6" s="227">
        <v>2</v>
      </c>
      <c r="D6" s="235" t="s">
        <v>542</v>
      </c>
      <c r="E6" s="228"/>
      <c r="F6" s="228" t="s">
        <v>1459</v>
      </c>
      <c r="G6" s="228"/>
      <c r="H6" s="228"/>
      <c r="I6" s="228"/>
      <c r="J6" s="228"/>
      <c r="K6" s="228"/>
      <c r="L6" s="228"/>
      <c r="M6" s="228"/>
      <c r="N6" s="228"/>
      <c r="O6" s="228"/>
      <c r="P6" s="250">
        <v>45705</v>
      </c>
      <c r="Q6" s="250">
        <v>45709</v>
      </c>
      <c r="R6" s="228"/>
      <c r="S6" s="229">
        <v>8</v>
      </c>
      <c r="T6" s="229">
        <v>8</v>
      </c>
      <c r="U6" s="229">
        <v>5</v>
      </c>
      <c r="V6" s="229">
        <v>5</v>
      </c>
      <c r="W6" s="250"/>
      <c r="X6" s="250"/>
      <c r="Y6" s="230">
        <v>0</v>
      </c>
      <c r="Z6" s="231">
        <v>0</v>
      </c>
      <c r="AA6" s="229"/>
      <c r="AB6" s="228"/>
      <c r="AC6" s="191"/>
      <c r="AD6" s="234">
        <v>1</v>
      </c>
      <c r="AE6" s="254">
        <v>1</v>
      </c>
      <c r="AF6" s="240" t="str">
        <f>"      " &amp; TEXT(AE6,"#0.00%") &amp; " " &amp; "프로젝트 착수 및 계획수립" &amp; " " &amp; IF(P6="","",TEXT(P6,"M/D-")) &amp; IF(Q6="","",TEXT(Q6,"M/D")) &amp; " "</f>
        <v xml:space="preserve">      100.00% 프로젝트 착수 및 계획수립 2/17-2/21 </v>
      </c>
      <c r="AG6" s="241"/>
      <c r="AH6" s="241"/>
      <c r="AI6" s="241"/>
      <c r="AJ6" s="241"/>
      <c r="AK6" s="241"/>
      <c r="AL6" s="241"/>
      <c r="AM6" s="241"/>
      <c r="AN6" s="241"/>
      <c r="AO6" s="241"/>
      <c r="AP6" s="241"/>
      <c r="AQ6" s="241"/>
      <c r="AR6" s="241"/>
      <c r="AS6" s="241"/>
      <c r="AT6" s="241"/>
      <c r="AU6" s="241"/>
      <c r="AV6" s="241"/>
      <c r="AW6" s="241"/>
      <c r="AX6" s="241"/>
      <c r="AY6" s="241"/>
      <c r="AZ6" s="241"/>
      <c r="BA6" s="241"/>
      <c r="BB6" s="241"/>
      <c r="BC6" s="241"/>
      <c r="BD6" s="241"/>
      <c r="BE6" s="241"/>
      <c r="BF6" s="241"/>
      <c r="BG6" s="241"/>
      <c r="BH6" s="241"/>
      <c r="BI6" s="241"/>
      <c r="BJ6" s="241"/>
      <c r="BK6" s="241"/>
      <c r="BL6" s="241"/>
      <c r="BM6" s="241"/>
      <c r="BN6" s="241"/>
      <c r="BO6" s="241"/>
      <c r="BP6" s="241"/>
      <c r="BQ6" s="241"/>
      <c r="BR6" s="241"/>
      <c r="BS6" s="241"/>
      <c r="BT6" s="241"/>
      <c r="BU6" s="241"/>
      <c r="BV6" s="241"/>
      <c r="BW6" s="241"/>
      <c r="BX6" s="241"/>
      <c r="BY6" s="241"/>
      <c r="BZ6" s="241"/>
      <c r="CA6" s="241"/>
      <c r="CB6" s="241"/>
      <c r="CC6" s="241"/>
      <c r="CD6" s="241"/>
      <c r="CE6" s="241"/>
      <c r="CF6" s="241"/>
      <c r="CG6" s="241"/>
    </row>
    <row r="7" spans="1:402" ht="12" customHeight="1" outlineLevel="2">
      <c r="A7" s="227"/>
      <c r="B7" s="227" t="s">
        <v>1766</v>
      </c>
      <c r="C7" s="227">
        <v>3</v>
      </c>
      <c r="D7" s="235" t="s">
        <v>1446</v>
      </c>
      <c r="E7" s="228"/>
      <c r="F7" s="228"/>
      <c r="G7" s="228" t="s">
        <v>1460</v>
      </c>
      <c r="H7" s="228"/>
      <c r="I7" s="228"/>
      <c r="J7" s="228"/>
      <c r="K7" s="228"/>
      <c r="L7" s="228"/>
      <c r="M7" s="228"/>
      <c r="N7" s="228"/>
      <c r="O7" s="228"/>
      <c r="P7" s="250">
        <v>45705</v>
      </c>
      <c r="Q7" s="250">
        <v>45709</v>
      </c>
      <c r="R7" s="228"/>
      <c r="S7" s="229">
        <v>5</v>
      </c>
      <c r="T7" s="229">
        <v>5</v>
      </c>
      <c r="U7" s="229">
        <v>5</v>
      </c>
      <c r="V7" s="229">
        <v>5</v>
      </c>
      <c r="W7" s="250"/>
      <c r="X7" s="250"/>
      <c r="Y7" s="230">
        <v>0</v>
      </c>
      <c r="Z7" s="231">
        <v>0</v>
      </c>
      <c r="AA7" s="229"/>
      <c r="AB7" s="228"/>
      <c r="AC7" s="191"/>
      <c r="AD7" s="234">
        <v>1</v>
      </c>
      <c r="AE7" s="254">
        <v>1</v>
      </c>
      <c r="AF7" s="240" t="str">
        <f>"      " &amp; TEXT(AE7,"#0.00%") &amp; " " &amp; "프로젝트 착수" &amp; " " &amp; IF(P7="","",TEXT(P7,"M/D-")) &amp; IF(Q7="","",TEXT(Q7,"M/D")) &amp; " "</f>
        <v xml:space="preserve">      100.00% 프로젝트 착수 2/17-2/21 </v>
      </c>
      <c r="AG7" s="241"/>
      <c r="AH7" s="241"/>
      <c r="AI7" s="241"/>
      <c r="AJ7" s="241"/>
      <c r="AK7" s="241"/>
      <c r="AL7" s="241"/>
      <c r="AM7" s="241"/>
      <c r="AN7" s="241"/>
      <c r="AO7" s="241"/>
      <c r="AP7" s="241"/>
      <c r="AQ7" s="241"/>
      <c r="AR7" s="241"/>
      <c r="AS7" s="241"/>
      <c r="AT7" s="241"/>
      <c r="AU7" s="241"/>
      <c r="AV7" s="241"/>
      <c r="AW7" s="241"/>
      <c r="AX7" s="241"/>
      <c r="AY7" s="241"/>
      <c r="AZ7" s="241"/>
      <c r="BA7" s="241"/>
      <c r="BB7" s="241"/>
      <c r="BC7" s="241"/>
      <c r="BD7" s="241"/>
      <c r="BE7" s="241"/>
      <c r="BF7" s="241"/>
      <c r="BG7" s="241"/>
      <c r="BH7" s="241"/>
      <c r="BI7" s="241"/>
      <c r="BJ7" s="241"/>
      <c r="BK7" s="241"/>
      <c r="BL7" s="241"/>
      <c r="BM7" s="241"/>
      <c r="BN7" s="241"/>
      <c r="BO7" s="241"/>
      <c r="BP7" s="241"/>
      <c r="BQ7" s="241"/>
      <c r="BR7" s="241"/>
      <c r="BS7" s="241"/>
      <c r="BT7" s="241"/>
      <c r="BU7" s="241"/>
      <c r="BV7" s="241"/>
      <c r="BW7" s="241"/>
      <c r="BX7" s="241"/>
      <c r="BY7" s="241"/>
      <c r="BZ7" s="241"/>
      <c r="CA7" s="241"/>
      <c r="CB7" s="241"/>
      <c r="CC7" s="241"/>
      <c r="CD7" s="241"/>
      <c r="CE7" s="241"/>
      <c r="CF7" s="241"/>
      <c r="CG7" s="241"/>
    </row>
    <row r="8" spans="1:402" ht="12" customHeight="1" outlineLevel="3">
      <c r="A8" s="227"/>
      <c r="B8" s="227"/>
      <c r="C8" s="227">
        <v>4</v>
      </c>
      <c r="D8" s="235" t="s">
        <v>1767</v>
      </c>
      <c r="E8" s="228"/>
      <c r="F8" s="228"/>
      <c r="G8" s="228"/>
      <c r="H8" s="228" t="s">
        <v>1460</v>
      </c>
      <c r="I8" s="228"/>
      <c r="J8" s="228"/>
      <c r="K8" s="228"/>
      <c r="L8" s="228"/>
      <c r="M8" s="228"/>
      <c r="N8" s="228"/>
      <c r="O8" s="228"/>
      <c r="P8" s="250">
        <v>45705</v>
      </c>
      <c r="Q8" s="250">
        <v>45709</v>
      </c>
      <c r="R8" s="228"/>
      <c r="S8" s="229">
        <v>5</v>
      </c>
      <c r="T8" s="229">
        <v>5</v>
      </c>
      <c r="U8" s="229">
        <v>5</v>
      </c>
      <c r="V8" s="229">
        <v>5</v>
      </c>
      <c r="W8" s="250">
        <v>45705</v>
      </c>
      <c r="X8" s="250">
        <v>45709</v>
      </c>
      <c r="Y8" s="230">
        <v>5</v>
      </c>
      <c r="Z8" s="231">
        <v>5</v>
      </c>
      <c r="AA8" s="229">
        <v>1</v>
      </c>
      <c r="AB8" s="228" t="s">
        <v>1883</v>
      </c>
      <c r="AC8" s="191"/>
      <c r="AD8" s="234">
        <v>1</v>
      </c>
      <c r="AE8" s="253">
        <v>1</v>
      </c>
      <c r="AF8" s="240" t="str">
        <f>"      " &amp; TEXT(AE8,"#0.00%") &amp; " " &amp; "프로젝트 착수" &amp; "(오승헌님)" &amp; " " &amp; IF(P8="","",TEXT(P8,"M/D-")) &amp; IF(Q8="","",TEXT(Q8,"M/D")) &amp; " "</f>
        <v xml:space="preserve">      100.00% 프로젝트 착수(오승헌님) 2/17-2/21 </v>
      </c>
      <c r="AG8" s="241"/>
      <c r="AH8" s="241"/>
      <c r="AI8" s="241"/>
      <c r="AJ8" s="241"/>
      <c r="AK8" s="241"/>
      <c r="AL8" s="241"/>
      <c r="AM8" s="241"/>
      <c r="AN8" s="241"/>
      <c r="AO8" s="241"/>
      <c r="AP8" s="241"/>
      <c r="AQ8" s="241"/>
      <c r="AR8" s="241"/>
      <c r="AS8" s="241"/>
      <c r="AT8" s="241"/>
      <c r="AU8" s="241"/>
      <c r="AV8" s="241"/>
      <c r="AW8" s="241"/>
      <c r="AX8" s="241"/>
      <c r="AY8" s="241"/>
      <c r="AZ8" s="241"/>
      <c r="BA8" s="241"/>
      <c r="BB8" s="241"/>
      <c r="BC8" s="241"/>
      <c r="BD8" s="241"/>
      <c r="BE8" s="241"/>
      <c r="BF8" s="241"/>
      <c r="BG8" s="241"/>
      <c r="BH8" s="241"/>
      <c r="BI8" s="241"/>
      <c r="BJ8" s="241"/>
      <c r="BK8" s="241"/>
      <c r="BL8" s="241"/>
      <c r="BM8" s="241"/>
      <c r="BN8" s="241"/>
      <c r="BO8" s="241"/>
      <c r="BP8" s="241"/>
      <c r="BQ8" s="241"/>
      <c r="BR8" s="241"/>
      <c r="BS8" s="241"/>
      <c r="BT8" s="241"/>
      <c r="BU8" s="241"/>
      <c r="BV8" s="241"/>
      <c r="BW8" s="241"/>
      <c r="BX8" s="241"/>
      <c r="BY8" s="241"/>
      <c r="BZ8" s="241"/>
      <c r="CA8" s="241"/>
      <c r="CB8" s="241"/>
      <c r="CC8" s="241"/>
      <c r="CD8" s="241"/>
      <c r="CE8" s="241"/>
      <c r="CF8" s="241"/>
      <c r="CG8" s="241"/>
    </row>
    <row r="9" spans="1:402" ht="12" customHeight="1" outlineLevel="2">
      <c r="A9" s="227"/>
      <c r="B9" s="227" t="s">
        <v>1766</v>
      </c>
      <c r="C9" s="227">
        <v>3</v>
      </c>
      <c r="D9" s="235" t="s">
        <v>1447</v>
      </c>
      <c r="E9" s="228"/>
      <c r="F9" s="228"/>
      <c r="G9" s="228" t="s">
        <v>1598</v>
      </c>
      <c r="H9" s="228"/>
      <c r="I9" s="228"/>
      <c r="J9" s="228"/>
      <c r="K9" s="228"/>
      <c r="L9" s="228"/>
      <c r="M9" s="228"/>
      <c r="N9" s="228"/>
      <c r="O9" s="228"/>
      <c r="P9" s="250">
        <v>45705</v>
      </c>
      <c r="Q9" s="250">
        <v>45709</v>
      </c>
      <c r="R9" s="228"/>
      <c r="S9" s="229">
        <v>3</v>
      </c>
      <c r="T9" s="229">
        <v>3</v>
      </c>
      <c r="U9" s="229">
        <v>5</v>
      </c>
      <c r="V9" s="229">
        <v>5</v>
      </c>
      <c r="W9" s="250"/>
      <c r="X9" s="250"/>
      <c r="Y9" s="230">
        <v>0</v>
      </c>
      <c r="Z9" s="231">
        <v>0</v>
      </c>
      <c r="AA9" s="229"/>
      <c r="AB9" s="228"/>
      <c r="AC9" s="191"/>
      <c r="AD9" s="234">
        <v>1</v>
      </c>
      <c r="AE9" s="254">
        <v>1</v>
      </c>
      <c r="AF9" s="240" t="str">
        <f>"      " &amp; TEXT(AE9,"#0.00%") &amp; " " &amp; "프로젝트관리 표준수립" &amp; " " &amp; IF(P9="","",TEXT(P9,"M/D-")) &amp; IF(Q9="","",TEXT(Q9,"M/D")) &amp; " "</f>
        <v xml:space="preserve">      100.00% 프로젝트관리 표준수립 2/17-2/21 </v>
      </c>
      <c r="AG9" s="241"/>
      <c r="AH9" s="241"/>
      <c r="AI9" s="241"/>
      <c r="AJ9" s="241"/>
      <c r="AK9" s="241"/>
      <c r="AL9" s="241"/>
      <c r="AM9" s="241"/>
      <c r="AN9" s="241"/>
      <c r="AO9" s="241"/>
      <c r="AP9" s="241"/>
      <c r="AQ9" s="241"/>
      <c r="AR9" s="241"/>
      <c r="AS9" s="241"/>
      <c r="AT9" s="241"/>
      <c r="AU9" s="241"/>
      <c r="AV9" s="241"/>
      <c r="AW9" s="241"/>
      <c r="AX9" s="241"/>
      <c r="AY9" s="241"/>
      <c r="AZ9" s="241"/>
      <c r="BA9" s="241"/>
      <c r="BB9" s="241"/>
      <c r="BC9" s="241"/>
      <c r="BD9" s="241"/>
      <c r="BE9" s="241"/>
      <c r="BF9" s="241"/>
      <c r="BG9" s="241"/>
      <c r="BH9" s="241"/>
      <c r="BI9" s="241"/>
      <c r="BJ9" s="241"/>
      <c r="BK9" s="241"/>
      <c r="BL9" s="241"/>
      <c r="BM9" s="241"/>
      <c r="BN9" s="241"/>
      <c r="BO9" s="241"/>
      <c r="BP9" s="241"/>
      <c r="BQ9" s="241"/>
      <c r="BR9" s="241"/>
      <c r="BS9" s="241"/>
      <c r="BT9" s="241"/>
      <c r="BU9" s="241"/>
      <c r="BV9" s="241"/>
      <c r="BW9" s="241"/>
      <c r="BX9" s="241"/>
      <c r="BY9" s="241"/>
      <c r="BZ9" s="241"/>
      <c r="CA9" s="241"/>
      <c r="CB9" s="241"/>
      <c r="CC9" s="241"/>
      <c r="CD9" s="241"/>
      <c r="CE9" s="241"/>
      <c r="CF9" s="241"/>
      <c r="CG9" s="241"/>
    </row>
    <row r="10" spans="1:402" ht="12" customHeight="1" outlineLevel="3">
      <c r="A10" s="227" t="s">
        <v>1539</v>
      </c>
      <c r="B10" s="227"/>
      <c r="C10" s="227">
        <v>4</v>
      </c>
      <c r="D10" s="235" t="s">
        <v>1466</v>
      </c>
      <c r="E10" s="228"/>
      <c r="F10" s="228"/>
      <c r="G10" s="228"/>
      <c r="H10" s="228" t="s">
        <v>1599</v>
      </c>
      <c r="I10" s="228"/>
      <c r="J10" s="228"/>
      <c r="K10" s="228"/>
      <c r="L10" s="228"/>
      <c r="M10" s="228"/>
      <c r="N10" s="228"/>
      <c r="O10" s="228"/>
      <c r="P10" s="250">
        <v>45705</v>
      </c>
      <c r="Q10" s="250">
        <v>45709</v>
      </c>
      <c r="R10" s="228"/>
      <c r="S10" s="229">
        <v>0</v>
      </c>
      <c r="T10" s="229">
        <v>0</v>
      </c>
      <c r="U10" s="229">
        <v>5</v>
      </c>
      <c r="V10" s="229">
        <v>5</v>
      </c>
      <c r="W10" s="250"/>
      <c r="X10" s="250"/>
      <c r="Y10" s="230"/>
      <c r="Z10" s="231">
        <v>0</v>
      </c>
      <c r="AA10" s="229">
        <v>0.1</v>
      </c>
      <c r="AB10" s="228" t="s">
        <v>1883</v>
      </c>
      <c r="AC10" s="191"/>
      <c r="AD10" s="234">
        <v>1</v>
      </c>
      <c r="AE10" s="253">
        <v>1</v>
      </c>
      <c r="AF10" s="240" t="str">
        <f>"     " &amp; TEXT(AE10,"#0.00%") &amp; " " &amp; "프로젝트 문서표준 협의/확정" &amp; "(오승헌님)" &amp; " " &amp; IF(P10="","",TEXT(P10,"M/D-")) &amp; IF(Q10="","",TEXT(Q10,"M/D")) &amp; " "</f>
        <v xml:space="preserve">     100.00% 프로젝트 문서표준 협의/확정(오승헌님) 2/17-2/21 </v>
      </c>
      <c r="AG10" s="241"/>
      <c r="AH10" s="241"/>
      <c r="AI10" s="241"/>
      <c r="AJ10" s="241"/>
      <c r="AK10" s="241"/>
      <c r="AL10" s="241"/>
      <c r="AM10" s="241"/>
      <c r="AN10" s="241"/>
      <c r="AO10" s="241"/>
      <c r="AP10" s="241"/>
      <c r="AQ10" s="241"/>
      <c r="AR10" s="241"/>
      <c r="AS10" s="241"/>
      <c r="AT10" s="241"/>
      <c r="AU10" s="241"/>
      <c r="AV10" s="241"/>
      <c r="AW10" s="241"/>
      <c r="AX10" s="241"/>
      <c r="AY10" s="241"/>
      <c r="AZ10" s="241"/>
      <c r="BA10" s="241"/>
      <c r="BB10" s="241"/>
      <c r="BC10" s="241"/>
      <c r="BD10" s="241"/>
      <c r="BE10" s="241"/>
      <c r="BF10" s="241"/>
      <c r="BG10" s="241"/>
      <c r="BH10" s="241"/>
      <c r="BI10" s="241"/>
      <c r="BJ10" s="241"/>
      <c r="BK10" s="241"/>
      <c r="BL10" s="241"/>
      <c r="BM10" s="241"/>
      <c r="BN10" s="241"/>
      <c r="BO10" s="241"/>
      <c r="BP10" s="241"/>
      <c r="BQ10" s="241"/>
      <c r="BR10" s="241"/>
      <c r="BS10" s="241"/>
      <c r="BT10" s="241"/>
      <c r="BU10" s="241"/>
      <c r="BV10" s="241"/>
      <c r="BW10" s="241"/>
      <c r="BX10" s="241"/>
      <c r="BY10" s="241"/>
      <c r="BZ10" s="241"/>
      <c r="CA10" s="241"/>
      <c r="CB10" s="241"/>
      <c r="CC10" s="241"/>
      <c r="CD10" s="241"/>
      <c r="CE10" s="241"/>
      <c r="CF10" s="241"/>
      <c r="CG10" s="241"/>
    </row>
    <row r="11" spans="1:402" ht="12" customHeight="1" outlineLevel="3">
      <c r="A11" s="227"/>
      <c r="B11" s="227"/>
      <c r="C11" s="227">
        <v>4</v>
      </c>
      <c r="D11" s="235" t="s">
        <v>1468</v>
      </c>
      <c r="E11" s="228"/>
      <c r="F11" s="228"/>
      <c r="G11" s="228"/>
      <c r="H11" s="228" t="s">
        <v>1600</v>
      </c>
      <c r="I11" s="228"/>
      <c r="J11" s="228"/>
      <c r="K11" s="228"/>
      <c r="L11" s="228"/>
      <c r="M11" s="228"/>
      <c r="N11" s="228"/>
      <c r="O11" s="228"/>
      <c r="P11" s="250">
        <v>45705</v>
      </c>
      <c r="Q11" s="250">
        <v>45709</v>
      </c>
      <c r="R11" s="228"/>
      <c r="S11" s="229">
        <v>0.5</v>
      </c>
      <c r="T11" s="229">
        <v>0.5</v>
      </c>
      <c r="U11" s="229">
        <v>5</v>
      </c>
      <c r="V11" s="229">
        <v>5</v>
      </c>
      <c r="W11" s="250"/>
      <c r="X11" s="250"/>
      <c r="Y11" s="230"/>
      <c r="Z11" s="231">
        <v>0</v>
      </c>
      <c r="AA11" s="229">
        <v>0.1</v>
      </c>
      <c r="AB11" s="228" t="s">
        <v>1883</v>
      </c>
      <c r="AC11" s="191"/>
      <c r="AD11" s="234">
        <v>1</v>
      </c>
      <c r="AE11" s="253">
        <v>1</v>
      </c>
      <c r="AF11" s="240" t="str">
        <f>"      " &amp; TEXT(AE11,"#0.00%") &amp; " " &amp; "프로젝트 산출물 협의/확정" &amp; "(오승헌님)" &amp; " " &amp; IF(P11="","",TEXT(P11,"M/D-")) &amp; IF(Q11="","",TEXT(Q11,"M/D")) &amp; " "</f>
        <v xml:space="preserve">      100.00% 프로젝트 산출물 협의/확정(오승헌님) 2/17-2/21 </v>
      </c>
      <c r="AG11" s="241"/>
      <c r="AH11" s="241"/>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241"/>
      <c r="BG11" s="241"/>
      <c r="BH11" s="241"/>
      <c r="BI11" s="241"/>
      <c r="BJ11" s="241"/>
      <c r="BK11" s="241"/>
      <c r="BL11" s="241"/>
      <c r="BM11" s="241"/>
      <c r="BN11" s="241"/>
      <c r="BO11" s="241"/>
      <c r="BP11" s="241"/>
      <c r="BQ11" s="241"/>
      <c r="BR11" s="241"/>
      <c r="BS11" s="241"/>
      <c r="BT11" s="241"/>
      <c r="BU11" s="241"/>
      <c r="BV11" s="241"/>
      <c r="BW11" s="241"/>
      <c r="BX11" s="241"/>
      <c r="BY11" s="241"/>
      <c r="BZ11" s="241"/>
      <c r="CA11" s="241"/>
      <c r="CB11" s="241"/>
      <c r="CC11" s="241"/>
      <c r="CD11" s="241"/>
      <c r="CE11" s="241"/>
      <c r="CF11" s="241"/>
      <c r="CG11" s="241"/>
    </row>
    <row r="12" spans="1:402" ht="12" customHeight="1" outlineLevel="3">
      <c r="A12" s="227"/>
      <c r="B12" s="227"/>
      <c r="C12" s="227">
        <v>4</v>
      </c>
      <c r="D12" s="235" t="s">
        <v>1768</v>
      </c>
      <c r="E12" s="228"/>
      <c r="F12" s="228"/>
      <c r="G12" s="228"/>
      <c r="H12" s="228" t="s">
        <v>1601</v>
      </c>
      <c r="I12" s="228"/>
      <c r="J12" s="228"/>
      <c r="K12" s="228"/>
      <c r="L12" s="228"/>
      <c r="M12" s="228"/>
      <c r="N12" s="228"/>
      <c r="O12" s="228"/>
      <c r="P12" s="250">
        <v>45705</v>
      </c>
      <c r="Q12" s="250">
        <v>45709</v>
      </c>
      <c r="R12" s="228"/>
      <c r="S12" s="229">
        <v>0.5</v>
      </c>
      <c r="T12" s="229">
        <v>0.5</v>
      </c>
      <c r="U12" s="229">
        <v>5</v>
      </c>
      <c r="V12" s="229">
        <v>5</v>
      </c>
      <c r="W12" s="250"/>
      <c r="X12" s="250"/>
      <c r="Y12" s="230"/>
      <c r="Z12" s="231">
        <v>0</v>
      </c>
      <c r="AA12" s="229">
        <v>0.1</v>
      </c>
      <c r="AB12" s="228" t="s">
        <v>1883</v>
      </c>
      <c r="AC12" s="191"/>
      <c r="AD12" s="234">
        <v>1</v>
      </c>
      <c r="AE12" s="253">
        <v>1</v>
      </c>
      <c r="AF12" s="240" t="str">
        <f>"      " &amp; TEXT(AE12,"#0.00%") &amp; " " &amp; "프로젝트 범위 정의" &amp; "(오승헌님)" &amp; " " &amp; IF(P12="","",TEXT(P12,"M/D-")) &amp; IF(Q12="","",TEXT(Q12,"M/D")) &amp; " "</f>
        <v xml:space="preserve">      100.00% 프로젝트 범위 정의(오승헌님) 2/17-2/21 </v>
      </c>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241"/>
      <c r="BG12" s="241"/>
      <c r="BH12" s="241"/>
      <c r="BI12" s="241"/>
      <c r="BJ12" s="241"/>
      <c r="BK12" s="241"/>
      <c r="BL12" s="241"/>
      <c r="BM12" s="241"/>
      <c r="BN12" s="241"/>
      <c r="BO12" s="241"/>
      <c r="BP12" s="241"/>
      <c r="BQ12" s="241"/>
      <c r="BR12" s="241"/>
      <c r="BS12" s="241"/>
      <c r="BT12" s="241"/>
      <c r="BU12" s="241"/>
      <c r="BV12" s="241"/>
      <c r="BW12" s="241"/>
      <c r="BX12" s="241"/>
      <c r="BY12" s="241"/>
      <c r="BZ12" s="241"/>
      <c r="CA12" s="241"/>
      <c r="CB12" s="241"/>
      <c r="CC12" s="241"/>
      <c r="CD12" s="241"/>
      <c r="CE12" s="241"/>
      <c r="CF12" s="241"/>
      <c r="CG12" s="241"/>
    </row>
    <row r="13" spans="1:402" ht="12" customHeight="1" outlineLevel="3">
      <c r="A13" s="227"/>
      <c r="B13" s="227"/>
      <c r="C13" s="227">
        <v>4</v>
      </c>
      <c r="D13" s="235" t="s">
        <v>1769</v>
      </c>
      <c r="E13" s="228"/>
      <c r="F13" s="228"/>
      <c r="G13" s="228"/>
      <c r="H13" s="228" t="s">
        <v>1602</v>
      </c>
      <c r="I13" s="228"/>
      <c r="J13" s="228"/>
      <c r="K13" s="228"/>
      <c r="L13" s="228"/>
      <c r="M13" s="228"/>
      <c r="N13" s="228"/>
      <c r="O13" s="228"/>
      <c r="P13" s="250">
        <v>45705</v>
      </c>
      <c r="Q13" s="250">
        <v>45709</v>
      </c>
      <c r="R13" s="228"/>
      <c r="S13" s="229">
        <v>0.5</v>
      </c>
      <c r="T13" s="229">
        <v>0.5</v>
      </c>
      <c r="U13" s="229">
        <v>5</v>
      </c>
      <c r="V13" s="229">
        <v>5</v>
      </c>
      <c r="W13" s="250"/>
      <c r="X13" s="250"/>
      <c r="Y13" s="230"/>
      <c r="Z13" s="231">
        <v>0</v>
      </c>
      <c r="AA13" s="229">
        <v>0.1</v>
      </c>
      <c r="AB13" s="228" t="s">
        <v>1883</v>
      </c>
      <c r="AC13" s="191"/>
      <c r="AD13" s="234">
        <v>1</v>
      </c>
      <c r="AE13" s="253">
        <v>1</v>
      </c>
      <c r="AF13" s="240" t="str">
        <f>"      " &amp; TEXT(AE13,"#0.00%") &amp; " " &amp; "일정관리 협의/확정" &amp; "(오승헌님)" &amp; " " &amp; IF(P13="","",TEXT(P13,"M/D-")) &amp; IF(Q13="","",TEXT(Q13,"M/D")) &amp; " "</f>
        <v xml:space="preserve">      100.00% 일정관리 협의/확정(오승헌님) 2/17-2/21 </v>
      </c>
      <c r="AG13" s="241"/>
      <c r="AH13" s="241"/>
      <c r="AI13" s="241"/>
      <c r="AJ13" s="241"/>
      <c r="AK13" s="241"/>
      <c r="AL13" s="241"/>
      <c r="AM13" s="241"/>
      <c r="AN13" s="241"/>
      <c r="AO13" s="241"/>
      <c r="AP13" s="241"/>
      <c r="AQ13" s="241"/>
      <c r="AR13" s="241"/>
      <c r="AS13" s="241"/>
      <c r="AT13" s="241"/>
      <c r="AU13" s="241"/>
      <c r="AV13" s="241"/>
      <c r="AW13" s="241"/>
      <c r="AX13" s="241"/>
      <c r="AY13" s="241"/>
      <c r="AZ13" s="241"/>
      <c r="BA13" s="241"/>
      <c r="BB13" s="241"/>
      <c r="BC13" s="241"/>
      <c r="BD13" s="241"/>
      <c r="BE13" s="241"/>
      <c r="BF13" s="241"/>
      <c r="BG13" s="241"/>
      <c r="BH13" s="241"/>
      <c r="BI13" s="241"/>
      <c r="BJ13" s="241"/>
      <c r="BK13" s="241"/>
      <c r="BL13" s="241"/>
      <c r="BM13" s="241"/>
      <c r="BN13" s="241"/>
      <c r="BO13" s="241"/>
      <c r="BP13" s="241"/>
      <c r="BQ13" s="241"/>
      <c r="BR13" s="241"/>
      <c r="BS13" s="241"/>
      <c r="BT13" s="241"/>
      <c r="BU13" s="241"/>
      <c r="BV13" s="241"/>
      <c r="BW13" s="241"/>
      <c r="BX13" s="241"/>
      <c r="BY13" s="241"/>
      <c r="BZ13" s="241"/>
      <c r="CA13" s="241"/>
      <c r="CB13" s="241"/>
      <c r="CC13" s="241"/>
      <c r="CD13" s="241"/>
      <c r="CE13" s="241"/>
      <c r="CF13" s="241"/>
      <c r="CG13" s="241"/>
    </row>
    <row r="14" spans="1:402" ht="12" customHeight="1" outlineLevel="3">
      <c r="A14" s="227"/>
      <c r="B14" s="227"/>
      <c r="C14" s="227">
        <v>4</v>
      </c>
      <c r="D14" s="235" t="s">
        <v>1770</v>
      </c>
      <c r="E14" s="228"/>
      <c r="F14" s="228"/>
      <c r="G14" s="228"/>
      <c r="H14" s="228" t="s">
        <v>1603</v>
      </c>
      <c r="I14" s="228"/>
      <c r="J14" s="228"/>
      <c r="K14" s="228"/>
      <c r="L14" s="228"/>
      <c r="M14" s="228"/>
      <c r="N14" s="228"/>
      <c r="O14" s="228"/>
      <c r="P14" s="250">
        <v>45705</v>
      </c>
      <c r="Q14" s="250">
        <v>45709</v>
      </c>
      <c r="R14" s="228"/>
      <c r="S14" s="229">
        <v>0.5</v>
      </c>
      <c r="T14" s="229">
        <v>0.5</v>
      </c>
      <c r="U14" s="229">
        <v>5</v>
      </c>
      <c r="V14" s="229">
        <v>5</v>
      </c>
      <c r="W14" s="250"/>
      <c r="X14" s="250"/>
      <c r="Y14" s="230"/>
      <c r="Z14" s="231">
        <v>0</v>
      </c>
      <c r="AA14" s="229">
        <v>0.1</v>
      </c>
      <c r="AB14" s="228" t="s">
        <v>1883</v>
      </c>
      <c r="AC14" s="191"/>
      <c r="AD14" s="234">
        <v>1</v>
      </c>
      <c r="AE14" s="253">
        <v>1</v>
      </c>
      <c r="AF14" s="240" t="str">
        <f>"      " &amp; TEXT(AE14,"#0.00%") &amp; " " &amp; "보고 및 커뮤니케이션 체계 협의/확정" &amp; "(오승헌님)" &amp; " " &amp; IF(P14="","",TEXT(P14,"M/D-")) &amp; IF(Q14="","",TEXT(Q14,"M/D")) &amp; " "</f>
        <v xml:space="preserve">      100.00% 보고 및 커뮤니케이션 체계 협의/확정(오승헌님) 2/17-2/21 </v>
      </c>
      <c r="AG14" s="241"/>
      <c r="AH14" s="241"/>
      <c r="AI14" s="241"/>
      <c r="AJ14" s="241"/>
      <c r="AK14" s="241"/>
      <c r="AL14" s="241"/>
      <c r="AM14" s="241"/>
      <c r="AN14" s="241"/>
      <c r="AO14" s="241"/>
      <c r="AP14" s="241"/>
      <c r="AQ14" s="241"/>
      <c r="AR14" s="241"/>
      <c r="AS14" s="241"/>
      <c r="AT14" s="241"/>
      <c r="AU14" s="241"/>
      <c r="AV14" s="241"/>
      <c r="AW14" s="241"/>
      <c r="AX14" s="241"/>
      <c r="AY14" s="241"/>
      <c r="AZ14" s="241"/>
      <c r="BA14" s="241"/>
      <c r="BB14" s="241"/>
      <c r="BC14" s="241"/>
      <c r="BD14" s="241"/>
      <c r="BE14" s="241"/>
      <c r="BF14" s="241"/>
      <c r="BG14" s="241"/>
      <c r="BH14" s="241"/>
      <c r="BI14" s="241"/>
      <c r="BJ14" s="241"/>
      <c r="BK14" s="241"/>
      <c r="BL14" s="241"/>
      <c r="BM14" s="241"/>
      <c r="BN14" s="241"/>
      <c r="BO14" s="241"/>
      <c r="BP14" s="241"/>
      <c r="BQ14" s="241"/>
      <c r="BR14" s="241"/>
      <c r="BS14" s="241"/>
      <c r="BT14" s="241"/>
      <c r="BU14" s="241"/>
      <c r="BV14" s="241"/>
      <c r="BW14" s="241"/>
      <c r="BX14" s="241"/>
      <c r="BY14" s="241"/>
      <c r="BZ14" s="241"/>
      <c r="CA14" s="241"/>
      <c r="CB14" s="241"/>
      <c r="CC14" s="241"/>
      <c r="CD14" s="241"/>
      <c r="CE14" s="241"/>
      <c r="CF14" s="241"/>
      <c r="CG14" s="241"/>
    </row>
    <row r="15" spans="1:402" ht="12" customHeight="1" outlineLevel="3">
      <c r="A15" s="227">
        <v>0</v>
      </c>
      <c r="B15" s="227"/>
      <c r="C15" s="227">
        <v>4</v>
      </c>
      <c r="D15" s="235" t="s">
        <v>1771</v>
      </c>
      <c r="E15" s="228"/>
      <c r="F15" s="228"/>
      <c r="G15" s="228"/>
      <c r="H15" s="228" t="s">
        <v>1604</v>
      </c>
      <c r="I15" s="228"/>
      <c r="J15" s="228"/>
      <c r="K15" s="228"/>
      <c r="L15" s="228"/>
      <c r="M15" s="228"/>
      <c r="N15" s="228"/>
      <c r="O15" s="228"/>
      <c r="P15" s="250">
        <v>45705</v>
      </c>
      <c r="Q15" s="250">
        <v>45709</v>
      </c>
      <c r="R15" s="228"/>
      <c r="S15" s="229">
        <v>0.5</v>
      </c>
      <c r="T15" s="229">
        <v>0.5</v>
      </c>
      <c r="U15" s="229">
        <v>5</v>
      </c>
      <c r="V15" s="229">
        <v>5</v>
      </c>
      <c r="W15" s="250"/>
      <c r="X15" s="250"/>
      <c r="Y15" s="230"/>
      <c r="Z15" s="231">
        <v>0</v>
      </c>
      <c r="AA15" s="229">
        <v>0.1</v>
      </c>
      <c r="AB15" s="228" t="s">
        <v>1883</v>
      </c>
      <c r="AC15" s="191"/>
      <c r="AD15" s="234">
        <v>1</v>
      </c>
      <c r="AE15" s="253">
        <v>1</v>
      </c>
      <c r="AF15" s="240" t="str">
        <f>"      " &amp; TEXT(AE15,"#0.00%") &amp; " " &amp; "품질관리 협의/확정" &amp; "(오승헌님)" &amp; " " &amp; IF(P15="","",TEXT(P15,"M/D-")) &amp; IF(Q15="","",TEXT(Q15,"M/D")) &amp; " "</f>
        <v xml:space="preserve">      100.00% 품질관리 협의/확정(오승헌님) 2/17-2/21 </v>
      </c>
      <c r="AG15" s="241"/>
      <c r="AH15" s="241"/>
      <c r="AI15" s="241"/>
      <c r="AJ15" s="241"/>
      <c r="AK15" s="241"/>
      <c r="AL15" s="241"/>
      <c r="AM15" s="241"/>
      <c r="AN15" s="241"/>
      <c r="AO15" s="241"/>
      <c r="AP15" s="241"/>
      <c r="AQ15" s="241"/>
      <c r="AR15" s="241"/>
      <c r="AS15" s="241"/>
      <c r="AT15" s="241"/>
      <c r="AU15" s="241"/>
      <c r="AV15" s="241"/>
      <c r="AW15" s="241"/>
      <c r="AX15" s="241"/>
      <c r="AY15" s="241"/>
      <c r="AZ15" s="241"/>
      <c r="BA15" s="241"/>
      <c r="BB15" s="241"/>
      <c r="BC15" s="241"/>
      <c r="BD15" s="241"/>
      <c r="BE15" s="241"/>
      <c r="BF15" s="241"/>
      <c r="BG15" s="241"/>
      <c r="BH15" s="241"/>
      <c r="BI15" s="241"/>
      <c r="BJ15" s="241"/>
      <c r="BK15" s="241"/>
      <c r="BL15" s="241"/>
      <c r="BM15" s="241"/>
      <c r="BN15" s="241"/>
      <c r="BO15" s="241"/>
      <c r="BP15" s="241"/>
      <c r="BQ15" s="241"/>
      <c r="BR15" s="241"/>
      <c r="BS15" s="241"/>
      <c r="BT15" s="241"/>
      <c r="BU15" s="241"/>
      <c r="BV15" s="241"/>
      <c r="BW15" s="241"/>
      <c r="BX15" s="241"/>
      <c r="BY15" s="241"/>
      <c r="BZ15" s="241"/>
      <c r="CA15" s="241"/>
      <c r="CB15" s="241"/>
      <c r="CC15" s="241"/>
      <c r="CD15" s="241"/>
      <c r="CE15" s="241"/>
      <c r="CF15" s="241"/>
      <c r="CG15" s="241"/>
    </row>
    <row r="16" spans="1:402" ht="12" customHeight="1" outlineLevel="3">
      <c r="A16" s="227"/>
      <c r="B16" s="227"/>
      <c r="C16" s="227">
        <v>4</v>
      </c>
      <c r="D16" s="235" t="s">
        <v>1772</v>
      </c>
      <c r="E16" s="228"/>
      <c r="F16" s="228"/>
      <c r="G16" s="228"/>
      <c r="H16" s="228" t="s">
        <v>1605</v>
      </c>
      <c r="I16" s="228"/>
      <c r="J16" s="228"/>
      <c r="K16" s="228"/>
      <c r="L16" s="228"/>
      <c r="M16" s="228"/>
      <c r="N16" s="228"/>
      <c r="O16" s="228"/>
      <c r="P16" s="250">
        <v>45705</v>
      </c>
      <c r="Q16" s="250">
        <v>45709</v>
      </c>
      <c r="R16" s="228"/>
      <c r="S16" s="229">
        <v>0.5</v>
      </c>
      <c r="T16" s="229">
        <v>0.5</v>
      </c>
      <c r="U16" s="229">
        <v>5</v>
      </c>
      <c r="V16" s="229">
        <v>5</v>
      </c>
      <c r="W16" s="250"/>
      <c r="X16" s="250"/>
      <c r="Y16" s="230"/>
      <c r="Z16" s="231">
        <v>0</v>
      </c>
      <c r="AA16" s="229">
        <v>0.1</v>
      </c>
      <c r="AB16" s="228" t="s">
        <v>1883</v>
      </c>
      <c r="AC16" s="191"/>
      <c r="AD16" s="234">
        <v>1</v>
      </c>
      <c r="AE16" s="253">
        <v>1</v>
      </c>
      <c r="AF16" s="240" t="str">
        <f>"      " &amp; TEXT(AE16,"#0.00%") &amp; " " &amp; "위험관리 협의/확정" &amp; "(오승헌님)" &amp; " " &amp; IF(P16="","",TEXT(P16,"M/D-")) &amp; IF(Q16="","",TEXT(Q16,"M/D")) &amp; " "</f>
        <v xml:space="preserve">      100.00% 위험관리 협의/확정(오승헌님) 2/17-2/21 </v>
      </c>
      <c r="AG16" s="241"/>
      <c r="AH16" s="241"/>
      <c r="AI16" s="241"/>
      <c r="AJ16" s="241"/>
      <c r="AK16" s="241"/>
      <c r="AL16" s="241"/>
      <c r="AM16" s="241"/>
      <c r="AN16" s="241"/>
      <c r="AO16" s="241"/>
      <c r="AP16" s="241"/>
      <c r="AQ16" s="241"/>
      <c r="AR16" s="241"/>
      <c r="AS16" s="241"/>
      <c r="AT16" s="241"/>
      <c r="AU16" s="241"/>
      <c r="AV16" s="241"/>
      <c r="AW16" s="241"/>
      <c r="AX16" s="241"/>
      <c r="AY16" s="241"/>
      <c r="AZ16" s="241"/>
      <c r="BA16" s="241"/>
      <c r="BB16" s="241"/>
      <c r="BC16" s="241"/>
      <c r="BD16" s="241"/>
      <c r="BE16" s="241"/>
      <c r="BF16" s="241"/>
      <c r="BG16" s="241"/>
      <c r="BH16" s="241"/>
      <c r="BI16" s="241"/>
      <c r="BJ16" s="241"/>
      <c r="BK16" s="241"/>
      <c r="BL16" s="241"/>
      <c r="BM16" s="241"/>
      <c r="BN16" s="241"/>
      <c r="BO16" s="241"/>
      <c r="BP16" s="241"/>
      <c r="BQ16" s="241"/>
      <c r="BR16" s="241"/>
      <c r="BS16" s="241"/>
      <c r="BT16" s="241"/>
      <c r="BU16" s="241"/>
      <c r="BV16" s="241"/>
      <c r="BW16" s="241"/>
      <c r="BX16" s="241"/>
      <c r="BY16" s="241"/>
      <c r="BZ16" s="241"/>
      <c r="CA16" s="241"/>
      <c r="CB16" s="241"/>
      <c r="CC16" s="241"/>
      <c r="CD16" s="241"/>
      <c r="CE16" s="241"/>
      <c r="CF16" s="241"/>
      <c r="CG16" s="241"/>
    </row>
    <row r="17" spans="1:85" ht="12" customHeight="1" outlineLevel="1">
      <c r="A17" s="227"/>
      <c r="B17" s="227" t="s">
        <v>1766</v>
      </c>
      <c r="C17" s="227">
        <v>2</v>
      </c>
      <c r="D17" s="235" t="s">
        <v>1456</v>
      </c>
      <c r="E17" s="228"/>
      <c r="F17" s="228" t="s">
        <v>1470</v>
      </c>
      <c r="G17" s="228"/>
      <c r="H17" s="228"/>
      <c r="I17" s="228"/>
      <c r="J17" s="228"/>
      <c r="K17" s="228"/>
      <c r="L17" s="228"/>
      <c r="M17" s="228"/>
      <c r="N17" s="228"/>
      <c r="O17" s="228"/>
      <c r="P17" s="250">
        <v>45715</v>
      </c>
      <c r="Q17" s="250">
        <v>46058</v>
      </c>
      <c r="R17" s="228"/>
      <c r="S17" s="229">
        <v>47.4</v>
      </c>
      <c r="T17" s="229">
        <v>1.2</v>
      </c>
      <c r="U17" s="229">
        <v>234</v>
      </c>
      <c r="V17" s="229">
        <v>5</v>
      </c>
      <c r="W17" s="250"/>
      <c r="X17" s="250"/>
      <c r="Y17" s="230">
        <v>0</v>
      </c>
      <c r="Z17" s="231">
        <v>0</v>
      </c>
      <c r="AA17" s="229"/>
      <c r="AB17" s="228"/>
      <c r="AC17" s="191"/>
      <c r="AD17" s="234">
        <v>2.5316455696202531E-2</v>
      </c>
      <c r="AE17" s="243">
        <v>2.3206751054852322E-2</v>
      </c>
      <c r="AF17" s="240"/>
      <c r="AG17" s="241"/>
      <c r="AH17" s="241" t="str">
        <f>"     " &amp; TEXT(AE17,"#0.00%") &amp; " "</f>
        <v xml:space="preserve">     2.32% </v>
      </c>
      <c r="AI17" s="241"/>
      <c r="AJ17" s="241"/>
      <c r="AK17" s="241"/>
      <c r="AL17" s="241"/>
      <c r="AM17" s="241"/>
      <c r="AN17" s="241"/>
      <c r="AO17" s="241"/>
      <c r="AP17" s="241"/>
      <c r="AQ17" s="241"/>
      <c r="AR17" s="241"/>
      <c r="AS17" s="241"/>
      <c r="AT17" s="241"/>
      <c r="AU17" s="241"/>
      <c r="AV17" s="241"/>
      <c r="AW17" s="241"/>
      <c r="AX17" s="241"/>
      <c r="AY17" s="241"/>
      <c r="AZ17" s="241"/>
      <c r="BA17" s="241"/>
      <c r="BB17" s="241"/>
      <c r="BC17" s="241"/>
      <c r="BD17" s="241"/>
      <c r="BE17" s="241"/>
      <c r="BF17" s="241"/>
      <c r="BG17" s="241"/>
      <c r="BH17" s="241"/>
      <c r="BI17" s="241"/>
      <c r="BJ17" s="241"/>
      <c r="BK17" s="241"/>
      <c r="BL17" s="241"/>
      <c r="BM17" s="241"/>
      <c r="BN17" s="241"/>
      <c r="BO17" s="241"/>
      <c r="BP17" s="241"/>
      <c r="BQ17" s="241"/>
      <c r="BR17" s="241"/>
      <c r="BS17" s="241"/>
      <c r="BT17" s="241"/>
      <c r="BU17" s="241"/>
      <c r="BV17" s="241"/>
      <c r="BW17" s="241"/>
      <c r="BX17" s="241"/>
      <c r="BY17" s="241"/>
      <c r="BZ17" s="241"/>
      <c r="CA17" s="241"/>
      <c r="CB17" s="241"/>
      <c r="CC17" s="241"/>
      <c r="CD17" s="241" t="str">
        <f>"     " &amp; "프로젝트 수행 및 통제" &amp; " " &amp; IF(P17="","",TEXT(P17,"M/D-")) &amp; IF(Q17="","",TEXT(Q17,"M/D")) &amp; " "</f>
        <v xml:space="preserve">     프로젝트 수행 및 통제 2/27-2/5 </v>
      </c>
      <c r="CE17" s="241"/>
      <c r="CF17" s="241"/>
      <c r="CG17" s="241"/>
    </row>
    <row r="18" spans="1:85" ht="12" customHeight="1" outlineLevel="2">
      <c r="A18" s="227"/>
      <c r="B18" s="227" t="s">
        <v>1766</v>
      </c>
      <c r="C18" s="227">
        <v>3</v>
      </c>
      <c r="D18" s="235" t="s">
        <v>1450</v>
      </c>
      <c r="E18" s="228"/>
      <c r="F18" s="228"/>
      <c r="G18" s="228" t="s">
        <v>1606</v>
      </c>
      <c r="H18" s="228"/>
      <c r="I18" s="228"/>
      <c r="J18" s="228"/>
      <c r="K18" s="228"/>
      <c r="L18" s="228"/>
      <c r="M18" s="228"/>
      <c r="N18" s="228"/>
      <c r="O18" s="228"/>
      <c r="P18" s="250">
        <v>45721</v>
      </c>
      <c r="Q18" s="250">
        <v>46057</v>
      </c>
      <c r="R18" s="228"/>
      <c r="S18" s="229">
        <v>2</v>
      </c>
      <c r="T18" s="229">
        <v>1</v>
      </c>
      <c r="U18" s="229">
        <v>230</v>
      </c>
      <c r="V18" s="229">
        <v>2</v>
      </c>
      <c r="W18" s="250"/>
      <c r="X18" s="250"/>
      <c r="Y18" s="230">
        <v>0</v>
      </c>
      <c r="Z18" s="231">
        <v>0</v>
      </c>
      <c r="AA18" s="229"/>
      <c r="AB18" s="228"/>
      <c r="AC18" s="191"/>
      <c r="AD18" s="234">
        <v>0.5</v>
      </c>
      <c r="AE18" s="254">
        <v>0.5</v>
      </c>
      <c r="AF18" s="240"/>
      <c r="AG18" s="241"/>
      <c r="AH18" s="241"/>
      <c r="AI18" s="241"/>
      <c r="AJ18" s="241"/>
      <c r="AK18" s="241"/>
      <c r="AL18" s="241"/>
      <c r="AM18" s="241"/>
      <c r="AN18" s="241"/>
      <c r="AO18" s="241"/>
      <c r="AP18" s="241"/>
      <c r="AQ18" s="241"/>
      <c r="AR18" s="241"/>
      <c r="AS18" s="241"/>
      <c r="AT18" s="241"/>
      <c r="AU18" s="241"/>
      <c r="AV18" s="241"/>
      <c r="AW18" s="241"/>
      <c r="AX18" s="241"/>
      <c r="AY18" s="241"/>
      <c r="AZ18" s="241"/>
      <c r="BA18" s="241"/>
      <c r="BB18" s="241"/>
      <c r="BC18" s="241"/>
      <c r="BD18" s="241"/>
      <c r="BE18" s="241"/>
      <c r="BF18" s="241" t="str">
        <f>"    " &amp; TEXT(AE18,"#0.00%") &amp; " "</f>
        <v xml:space="preserve">    50.00% </v>
      </c>
      <c r="BG18" s="241"/>
      <c r="BH18" s="241"/>
      <c r="BI18" s="241"/>
      <c r="BJ18" s="241"/>
      <c r="BK18" s="241"/>
      <c r="BL18" s="241"/>
      <c r="BM18" s="241"/>
      <c r="BN18" s="241"/>
      <c r="BO18" s="241"/>
      <c r="BP18" s="241"/>
      <c r="BQ18" s="241"/>
      <c r="BR18" s="241"/>
      <c r="BS18" s="241"/>
      <c r="BT18" s="241"/>
      <c r="BU18" s="241"/>
      <c r="BV18" s="241"/>
      <c r="BW18" s="241"/>
      <c r="BX18" s="241"/>
      <c r="BY18" s="241"/>
      <c r="BZ18" s="241"/>
      <c r="CA18" s="241"/>
      <c r="CB18" s="241"/>
      <c r="CC18" s="241"/>
      <c r="CD18" s="241" t="str">
        <f>"    " &amp; "정기보고" &amp; " " &amp; IF(P18="","",TEXT(P18,"M/D-")) &amp; IF(Q18="","",TEXT(Q18,"M/D")) &amp; " "</f>
        <v xml:space="preserve">    정기보고 3/5-2/4 </v>
      </c>
      <c r="CE18" s="241"/>
      <c r="CF18" s="241"/>
      <c r="CG18" s="241"/>
    </row>
    <row r="19" spans="1:85" ht="12" customHeight="1" outlineLevel="3">
      <c r="A19" s="227"/>
      <c r="B19" s="227"/>
      <c r="C19" s="227">
        <v>4</v>
      </c>
      <c r="D19" s="235" t="s">
        <v>1773</v>
      </c>
      <c r="E19" s="228"/>
      <c r="F19" s="228"/>
      <c r="G19" s="228"/>
      <c r="H19" s="228" t="s">
        <v>1469</v>
      </c>
      <c r="I19" s="228"/>
      <c r="J19" s="228"/>
      <c r="K19" s="228"/>
      <c r="L19" s="228"/>
      <c r="M19" s="228"/>
      <c r="N19" s="228"/>
      <c r="O19" s="228"/>
      <c r="P19" s="250">
        <v>45721</v>
      </c>
      <c r="Q19" s="250">
        <v>45721</v>
      </c>
      <c r="R19" s="228"/>
      <c r="S19" s="229">
        <v>1</v>
      </c>
      <c r="T19" s="229">
        <v>1</v>
      </c>
      <c r="U19" s="229">
        <v>1</v>
      </c>
      <c r="V19" s="229">
        <v>1</v>
      </c>
      <c r="W19" s="250"/>
      <c r="X19" s="250"/>
      <c r="Y19" s="230"/>
      <c r="Z19" s="231">
        <v>0</v>
      </c>
      <c r="AA19" s="229">
        <v>1</v>
      </c>
      <c r="AB19" s="228" t="s">
        <v>1883</v>
      </c>
      <c r="AC19" s="191" t="s">
        <v>1884</v>
      </c>
      <c r="AD19" s="234">
        <v>1</v>
      </c>
      <c r="AE19" s="253">
        <v>1</v>
      </c>
      <c r="AF19" s="240"/>
      <c r="AG19" s="241"/>
      <c r="AH19" s="241" t="str">
        <f>"    " &amp; TEXT(AE19,"#0.00%") &amp; " " &amp; "착수보고(Kick off)" &amp; "(오승헌님)" &amp; " " &amp; IF(P19="","",TEXT(P19,"M/D-")) &amp; IF(Q19="","",TEXT(Q19,"M/D")) &amp; " "</f>
        <v xml:space="preserve">    100.00% 착수보고(Kick off)(오승헌님) 3/5-3/5 </v>
      </c>
      <c r="AI19" s="241"/>
      <c r="AJ19" s="241"/>
      <c r="AK19" s="241"/>
      <c r="AL19" s="241"/>
      <c r="AM19" s="241"/>
      <c r="AN19" s="241"/>
      <c r="AO19" s="241"/>
      <c r="AP19" s="241"/>
      <c r="AQ19" s="241"/>
      <c r="AR19" s="241"/>
      <c r="AS19" s="241"/>
      <c r="AT19" s="241"/>
      <c r="AU19" s="241"/>
      <c r="AV19" s="241"/>
      <c r="AW19" s="241"/>
      <c r="AX19" s="241"/>
      <c r="AY19" s="241"/>
      <c r="AZ19" s="241"/>
      <c r="BA19" s="241"/>
      <c r="BB19" s="241"/>
      <c r="BC19" s="241"/>
      <c r="BD19" s="241"/>
      <c r="BE19" s="241"/>
      <c r="BF19" s="241"/>
      <c r="BG19" s="241"/>
      <c r="BH19" s="241"/>
      <c r="BI19" s="241"/>
      <c r="BJ19" s="241"/>
      <c r="BK19" s="241"/>
      <c r="BL19" s="241"/>
      <c r="BM19" s="241"/>
      <c r="BN19" s="241"/>
      <c r="BO19" s="241"/>
      <c r="BP19" s="241"/>
      <c r="BQ19" s="241"/>
      <c r="BR19" s="241"/>
      <c r="BS19" s="241"/>
      <c r="BT19" s="241"/>
      <c r="BU19" s="241"/>
      <c r="BV19" s="241"/>
      <c r="BW19" s="241"/>
      <c r="BX19" s="241"/>
      <c r="BY19" s="241"/>
      <c r="BZ19" s="241"/>
      <c r="CA19" s="241"/>
      <c r="CB19" s="241"/>
      <c r="CC19" s="241"/>
      <c r="CD19" s="241"/>
      <c r="CE19" s="241"/>
      <c r="CF19" s="241"/>
      <c r="CG19" s="241"/>
    </row>
    <row r="20" spans="1:85" ht="12" customHeight="1" outlineLevel="3">
      <c r="A20" s="227">
        <v>1</v>
      </c>
      <c r="B20" s="227"/>
      <c r="C20" s="227">
        <v>4</v>
      </c>
      <c r="D20" s="235" t="s">
        <v>1774</v>
      </c>
      <c r="E20" s="228"/>
      <c r="F20" s="228"/>
      <c r="G20" s="228"/>
      <c r="H20" s="228" t="s">
        <v>1476</v>
      </c>
      <c r="I20" s="228"/>
      <c r="J20" s="228"/>
      <c r="K20" s="228"/>
      <c r="L20" s="228"/>
      <c r="M20" s="228"/>
      <c r="N20" s="228"/>
      <c r="O20" s="228"/>
      <c r="P20" s="250">
        <v>45853</v>
      </c>
      <c r="Q20" s="250">
        <v>45853</v>
      </c>
      <c r="R20" s="228"/>
      <c r="S20" s="229">
        <v>0</v>
      </c>
      <c r="T20" s="229">
        <v>0</v>
      </c>
      <c r="U20" s="229">
        <v>1</v>
      </c>
      <c r="V20" s="229">
        <v>0</v>
      </c>
      <c r="W20" s="250"/>
      <c r="X20" s="250"/>
      <c r="Y20" s="230"/>
      <c r="Z20" s="231">
        <v>0</v>
      </c>
      <c r="AA20" s="229">
        <v>1</v>
      </c>
      <c r="AB20" s="228" t="s">
        <v>1883</v>
      </c>
      <c r="AC20" s="191" t="s">
        <v>1885</v>
      </c>
      <c r="AD20" s="234">
        <v>0</v>
      </c>
      <c r="AE20" s="253">
        <v>0</v>
      </c>
      <c r="AF20" s="240"/>
      <c r="AG20" s="241"/>
      <c r="AH20" s="241"/>
      <c r="AI20" s="241"/>
      <c r="AJ20" s="241"/>
      <c r="AK20" s="241"/>
      <c r="AL20" s="241"/>
      <c r="AM20" s="241"/>
      <c r="AN20" s="241"/>
      <c r="AO20" s="241"/>
      <c r="AP20" s="241"/>
      <c r="AQ20" s="241"/>
      <c r="AR20" s="241"/>
      <c r="AS20" s="241"/>
      <c r="AT20" s="241"/>
      <c r="AU20" s="241"/>
      <c r="AV20" s="241"/>
      <c r="AW20" s="241"/>
      <c r="AX20" s="241"/>
      <c r="AY20" s="241"/>
      <c r="AZ20" s="241"/>
      <c r="BA20" s="241" t="str">
        <f>"      " &amp; TEXT(AE20,"#0.00%") &amp; " " &amp; "중간보고" &amp; "(오승헌님)" &amp; " " &amp; IF(P20="","",TEXT(P20,"M/D-")) &amp; IF(Q20="","",TEXT(Q20,"M/D")) &amp; " "</f>
        <v xml:space="preserve">      0.00% 중간보고(오승헌님) 7/15-7/15 </v>
      </c>
      <c r="BB20" s="241"/>
      <c r="BC20" s="241"/>
      <c r="BD20" s="241"/>
      <c r="BE20" s="241"/>
      <c r="BF20" s="241"/>
      <c r="BG20" s="241"/>
      <c r="BH20" s="241"/>
      <c r="BI20" s="241"/>
      <c r="BJ20" s="241"/>
      <c r="BK20" s="241"/>
      <c r="BL20" s="241"/>
      <c r="BM20" s="241"/>
      <c r="BN20" s="241"/>
      <c r="BO20" s="241"/>
      <c r="BP20" s="241"/>
      <c r="BQ20" s="241"/>
      <c r="BR20" s="241"/>
      <c r="BS20" s="241"/>
      <c r="BT20" s="241"/>
      <c r="BU20" s="241"/>
      <c r="BV20" s="241"/>
      <c r="BW20" s="241"/>
      <c r="BX20" s="241"/>
      <c r="BY20" s="241"/>
      <c r="BZ20" s="241"/>
      <c r="CA20" s="241"/>
      <c r="CB20" s="241"/>
      <c r="CC20" s="241"/>
      <c r="CD20" s="241"/>
      <c r="CE20" s="241"/>
      <c r="CF20" s="241"/>
      <c r="CG20" s="241"/>
    </row>
    <row r="21" spans="1:85" ht="12" customHeight="1" outlineLevel="3">
      <c r="A21" s="227"/>
      <c r="B21" s="227"/>
      <c r="C21" s="227">
        <v>4</v>
      </c>
      <c r="D21" s="235" t="s">
        <v>1775</v>
      </c>
      <c r="E21" s="228"/>
      <c r="F21" s="228"/>
      <c r="G21" s="228"/>
      <c r="H21" s="228" t="s">
        <v>1607</v>
      </c>
      <c r="I21" s="228"/>
      <c r="J21" s="228"/>
      <c r="K21" s="228"/>
      <c r="L21" s="228"/>
      <c r="M21" s="228"/>
      <c r="N21" s="228"/>
      <c r="O21" s="228"/>
      <c r="P21" s="250">
        <v>46057</v>
      </c>
      <c r="Q21" s="250">
        <v>46057</v>
      </c>
      <c r="R21" s="228"/>
      <c r="S21" s="229">
        <v>1</v>
      </c>
      <c r="T21" s="229">
        <v>0</v>
      </c>
      <c r="U21" s="229">
        <v>1</v>
      </c>
      <c r="V21" s="229">
        <v>0</v>
      </c>
      <c r="W21" s="250"/>
      <c r="X21" s="250"/>
      <c r="Y21" s="230"/>
      <c r="Z21" s="231">
        <v>0</v>
      </c>
      <c r="AA21" s="229">
        <v>1</v>
      </c>
      <c r="AB21" s="228" t="s">
        <v>1883</v>
      </c>
      <c r="AC21" s="191" t="s">
        <v>1886</v>
      </c>
      <c r="AD21" s="234">
        <v>0</v>
      </c>
      <c r="AE21" s="253">
        <v>0</v>
      </c>
      <c r="AF21" s="240"/>
      <c r="AG21" s="241"/>
      <c r="AH21" s="241"/>
      <c r="AI21" s="241"/>
      <c r="AJ21" s="241"/>
      <c r="AK21" s="241"/>
      <c r="AL21" s="241"/>
      <c r="AM21" s="241"/>
      <c r="AN21" s="241"/>
      <c r="AO21" s="241"/>
      <c r="AP21" s="241"/>
      <c r="AQ21" s="241"/>
      <c r="AR21" s="241"/>
      <c r="AS21" s="241"/>
      <c r="AT21" s="241"/>
      <c r="AU21" s="241"/>
      <c r="AV21" s="241"/>
      <c r="AW21" s="241"/>
      <c r="AX21" s="241"/>
      <c r="AY21" s="241"/>
      <c r="AZ21" s="241"/>
      <c r="BA21" s="241"/>
      <c r="BB21" s="241"/>
      <c r="BC21" s="241"/>
      <c r="BD21" s="241"/>
      <c r="BE21" s="241"/>
      <c r="BF21" s="241"/>
      <c r="BG21" s="241"/>
      <c r="BH21" s="241"/>
      <c r="BI21" s="241"/>
      <c r="BJ21" s="241"/>
      <c r="BK21" s="241"/>
      <c r="BL21" s="241"/>
      <c r="BM21" s="241"/>
      <c r="BN21" s="241"/>
      <c r="BO21" s="241"/>
      <c r="BP21" s="241"/>
      <c r="BQ21" s="241"/>
      <c r="BR21" s="241"/>
      <c r="BS21" s="241"/>
      <c r="BT21" s="241"/>
      <c r="BU21" s="241"/>
      <c r="BV21" s="241"/>
      <c r="BW21" s="241"/>
      <c r="BX21" s="241"/>
      <c r="BY21" s="241"/>
      <c r="BZ21" s="241"/>
      <c r="CA21" s="241"/>
      <c r="CB21" s="241"/>
      <c r="CC21" s="241"/>
      <c r="CD21" s="241" t="str">
        <f>"   " &amp; TEXT(AE21,"#0.00%") &amp; " " &amp; "완료보고" &amp; "(오승헌님)" &amp; " " &amp; IF(P21="","",TEXT(P21,"M/D-")) &amp; IF(Q21="","",TEXT(Q21,"M/D")) &amp; " "</f>
        <v xml:space="preserve">   0.00% 완료보고(오승헌님) 2/4-2/4 </v>
      </c>
      <c r="CE21" s="241"/>
      <c r="CF21" s="241"/>
      <c r="CG21" s="241"/>
    </row>
    <row r="22" spans="1:85" ht="12" customHeight="1" outlineLevel="2">
      <c r="A22" s="227"/>
      <c r="B22" s="227" t="s">
        <v>1766</v>
      </c>
      <c r="C22" s="227">
        <v>3</v>
      </c>
      <c r="D22" s="235" t="s">
        <v>1451</v>
      </c>
      <c r="E22" s="228"/>
      <c r="F22" s="228"/>
      <c r="G22" s="228" t="s">
        <v>1608</v>
      </c>
      <c r="H22" s="228"/>
      <c r="I22" s="228"/>
      <c r="J22" s="228"/>
      <c r="K22" s="228"/>
      <c r="L22" s="228"/>
      <c r="M22" s="228"/>
      <c r="N22" s="228"/>
      <c r="O22" s="228"/>
      <c r="P22" s="250">
        <v>45715</v>
      </c>
      <c r="Q22" s="250">
        <v>46058</v>
      </c>
      <c r="R22" s="228"/>
      <c r="S22" s="229">
        <v>4.8999999999999986</v>
      </c>
      <c r="T22" s="229">
        <v>0.2</v>
      </c>
      <c r="U22" s="229">
        <v>234</v>
      </c>
      <c r="V22" s="229">
        <v>5</v>
      </c>
      <c r="W22" s="250"/>
      <c r="X22" s="250"/>
      <c r="Y22" s="230">
        <v>0</v>
      </c>
      <c r="Z22" s="231">
        <v>0</v>
      </c>
      <c r="AA22" s="229"/>
      <c r="AB22" s="228"/>
      <c r="AC22" s="191"/>
      <c r="AD22" s="234">
        <v>4.0816326530612262E-2</v>
      </c>
      <c r="AE22" s="243">
        <v>2.0408163265306131E-2</v>
      </c>
      <c r="AF22" s="240"/>
      <c r="AG22" s="241"/>
      <c r="AH22" s="241" t="str">
        <f>"    " &amp; TEXT(AE22,"#0.00%") &amp; " "</f>
        <v xml:space="preserve">    2.04% </v>
      </c>
      <c r="AI22" s="241"/>
      <c r="AJ22" s="241"/>
      <c r="AK22" s="241"/>
      <c r="AL22" s="241"/>
      <c r="AM22" s="241"/>
      <c r="AN22" s="241"/>
      <c r="AO22" s="241"/>
      <c r="AP22" s="241"/>
      <c r="AQ22" s="241"/>
      <c r="AR22" s="241"/>
      <c r="AS22" s="241"/>
      <c r="AT22" s="241"/>
      <c r="AU22" s="241"/>
      <c r="AV22" s="241"/>
      <c r="AW22" s="241"/>
      <c r="AX22" s="241"/>
      <c r="AY22" s="241"/>
      <c r="AZ22" s="241"/>
      <c r="BA22" s="241"/>
      <c r="BB22" s="241"/>
      <c r="BC22" s="241"/>
      <c r="BD22" s="241"/>
      <c r="BE22" s="241"/>
      <c r="BF22" s="241"/>
      <c r="BG22" s="241"/>
      <c r="BH22" s="241"/>
      <c r="BI22" s="241"/>
      <c r="BJ22" s="241"/>
      <c r="BK22" s="241"/>
      <c r="BL22" s="241"/>
      <c r="BM22" s="241"/>
      <c r="BN22" s="241"/>
      <c r="BO22" s="241"/>
      <c r="BP22" s="241"/>
      <c r="BQ22" s="241"/>
      <c r="BR22" s="241"/>
      <c r="BS22" s="241"/>
      <c r="BT22" s="241"/>
      <c r="BU22" s="241"/>
      <c r="BV22" s="241"/>
      <c r="BW22" s="241"/>
      <c r="BX22" s="241"/>
      <c r="BY22" s="241"/>
      <c r="BZ22" s="241"/>
      <c r="CA22" s="241"/>
      <c r="CB22" s="241"/>
      <c r="CC22" s="241"/>
      <c r="CD22" s="241" t="str">
        <f>"     " &amp; "주간보고" &amp; " " &amp; IF(P22="","",TEXT(P22,"M/D-")) &amp; IF(Q22="","",TEXT(Q22,"M/D")) &amp; " "</f>
        <v xml:space="preserve">     주간보고 2/27-2/5 </v>
      </c>
      <c r="CE22" s="241"/>
      <c r="CF22" s="241"/>
      <c r="CG22" s="241"/>
    </row>
    <row r="23" spans="1:85" ht="12" customHeight="1" outlineLevel="3">
      <c r="A23" s="227"/>
      <c r="B23" s="227"/>
      <c r="C23" s="227">
        <v>4</v>
      </c>
      <c r="D23" s="235" t="s">
        <v>1776</v>
      </c>
      <c r="E23" s="228"/>
      <c r="F23" s="228"/>
      <c r="G23" s="228"/>
      <c r="H23" s="228" t="s">
        <v>1609</v>
      </c>
      <c r="I23" s="228"/>
      <c r="J23" s="228"/>
      <c r="K23" s="228"/>
      <c r="L23" s="228"/>
      <c r="M23" s="228"/>
      <c r="N23" s="228"/>
      <c r="O23" s="228"/>
      <c r="P23" s="250">
        <v>45715</v>
      </c>
      <c r="Q23" s="250">
        <v>45715</v>
      </c>
      <c r="R23" s="228"/>
      <c r="S23" s="229">
        <v>0.1</v>
      </c>
      <c r="T23" s="229">
        <v>0.1</v>
      </c>
      <c r="U23" s="229">
        <v>1</v>
      </c>
      <c r="V23" s="229">
        <v>1</v>
      </c>
      <c r="W23" s="250"/>
      <c r="X23" s="250"/>
      <c r="Y23" s="230"/>
      <c r="Z23" s="231">
        <v>0</v>
      </c>
      <c r="AA23" s="229">
        <v>0.1</v>
      </c>
      <c r="AB23" s="228" t="s">
        <v>1883</v>
      </c>
      <c r="AC23" s="191" t="s">
        <v>1887</v>
      </c>
      <c r="AD23" s="234">
        <v>1</v>
      </c>
      <c r="AE23" s="253">
        <v>1</v>
      </c>
      <c r="AF23" s="240"/>
      <c r="AG23" s="241" t="str">
        <f>"     " &amp; TEXT(AE23,"#0.00%") &amp; " " &amp; "1주차 주간보고" &amp; "(오승헌님)" &amp; " " &amp; IF(P23="","",TEXT(P23,"M/D-")) &amp; IF(Q23="","",TEXT(Q23,"M/D")) &amp; " "</f>
        <v xml:space="preserve">     100.00% 1주차 주간보고(오승헌님) 2/27-2/27 </v>
      </c>
      <c r="AH23" s="241"/>
      <c r="AI23" s="241"/>
      <c r="AJ23" s="241"/>
      <c r="AK23" s="241"/>
      <c r="AL23" s="241"/>
      <c r="AM23" s="241"/>
      <c r="AN23" s="241"/>
      <c r="AO23" s="241"/>
      <c r="AP23" s="241"/>
      <c r="AQ23" s="241"/>
      <c r="AR23" s="241"/>
      <c r="AS23" s="241"/>
      <c r="AT23" s="241"/>
      <c r="AU23" s="241"/>
      <c r="AV23" s="241"/>
      <c r="AW23" s="241"/>
      <c r="AX23" s="241"/>
      <c r="AY23" s="241"/>
      <c r="AZ23" s="241"/>
      <c r="BA23" s="241"/>
      <c r="BB23" s="241"/>
      <c r="BC23" s="241"/>
      <c r="BD23" s="241"/>
      <c r="BE23" s="241"/>
      <c r="BF23" s="241"/>
      <c r="BG23" s="241"/>
      <c r="BH23" s="241"/>
      <c r="BI23" s="241"/>
      <c r="BJ23" s="241"/>
      <c r="BK23" s="241"/>
      <c r="BL23" s="241"/>
      <c r="BM23" s="241"/>
      <c r="BN23" s="241"/>
      <c r="BO23" s="241"/>
      <c r="BP23" s="241"/>
      <c r="BQ23" s="241"/>
      <c r="BR23" s="241"/>
      <c r="BS23" s="241"/>
      <c r="BT23" s="241"/>
      <c r="BU23" s="241"/>
      <c r="BV23" s="241"/>
      <c r="BW23" s="241"/>
      <c r="BX23" s="241"/>
      <c r="BY23" s="241"/>
      <c r="BZ23" s="241"/>
      <c r="CA23" s="241"/>
      <c r="CB23" s="241"/>
      <c r="CC23" s="241"/>
      <c r="CD23" s="241"/>
      <c r="CE23" s="241"/>
      <c r="CF23" s="241"/>
      <c r="CG23" s="241"/>
    </row>
    <row r="24" spans="1:85" ht="12" customHeight="1" outlineLevel="3">
      <c r="A24" s="227"/>
      <c r="B24" s="227"/>
      <c r="C24" s="227">
        <v>4</v>
      </c>
      <c r="D24" s="235" t="s">
        <v>1777</v>
      </c>
      <c r="E24" s="228"/>
      <c r="F24" s="228"/>
      <c r="G24" s="228"/>
      <c r="H24" s="228" t="s">
        <v>1610</v>
      </c>
      <c r="I24" s="228"/>
      <c r="J24" s="228"/>
      <c r="K24" s="228"/>
      <c r="L24" s="228"/>
      <c r="M24" s="228"/>
      <c r="N24" s="228"/>
      <c r="O24" s="228"/>
      <c r="P24" s="250">
        <v>45722</v>
      </c>
      <c r="Q24" s="250">
        <v>45722</v>
      </c>
      <c r="R24" s="228"/>
      <c r="S24" s="229">
        <v>0.1</v>
      </c>
      <c r="T24" s="229">
        <v>0.1</v>
      </c>
      <c r="U24" s="229">
        <v>1</v>
      </c>
      <c r="V24" s="229">
        <v>1</v>
      </c>
      <c r="W24" s="250"/>
      <c r="X24" s="250"/>
      <c r="Y24" s="230"/>
      <c r="Z24" s="231">
        <v>0</v>
      </c>
      <c r="AA24" s="229">
        <v>0.1</v>
      </c>
      <c r="AB24" s="228" t="s">
        <v>1883</v>
      </c>
      <c r="AC24" s="191" t="s">
        <v>1887</v>
      </c>
      <c r="AD24" s="234">
        <v>1</v>
      </c>
      <c r="AE24" s="242">
        <v>0</v>
      </c>
      <c r="AF24" s="240"/>
      <c r="AG24" s="241"/>
      <c r="AH24" s="241" t="str">
        <f>"    " &amp; TEXT(AE24,"#0.00%") &amp; " " &amp; "2주차 주간보고" &amp; "(오승헌님)" &amp; " " &amp; IF(P24="","",TEXT(P24,"M/D-")) &amp; IF(Q24="","",TEXT(Q24,"M/D")) &amp; " "</f>
        <v xml:space="preserve">    0.00% 2주차 주간보고(오승헌님) 3/6-3/6 </v>
      </c>
      <c r="AI24" s="241"/>
      <c r="AJ24" s="241"/>
      <c r="AK24" s="241"/>
      <c r="AL24" s="241"/>
      <c r="AM24" s="241"/>
      <c r="AN24" s="241"/>
      <c r="AO24" s="241"/>
      <c r="AP24" s="241"/>
      <c r="AQ24" s="241"/>
      <c r="AR24" s="241"/>
      <c r="AS24" s="241"/>
      <c r="AT24" s="241"/>
      <c r="AU24" s="241"/>
      <c r="AV24" s="241"/>
      <c r="AW24" s="241"/>
      <c r="AX24" s="241"/>
      <c r="AY24" s="241"/>
      <c r="AZ24" s="241"/>
      <c r="BA24" s="241"/>
      <c r="BB24" s="241"/>
      <c r="BC24" s="241"/>
      <c r="BD24" s="241"/>
      <c r="BE24" s="241"/>
      <c r="BF24" s="241"/>
      <c r="BG24" s="241"/>
      <c r="BH24" s="241"/>
      <c r="BI24" s="241"/>
      <c r="BJ24" s="241"/>
      <c r="BK24" s="241"/>
      <c r="BL24" s="241"/>
      <c r="BM24" s="241"/>
      <c r="BN24" s="241"/>
      <c r="BO24" s="241"/>
      <c r="BP24" s="241"/>
      <c r="BQ24" s="241"/>
      <c r="BR24" s="241"/>
      <c r="BS24" s="241"/>
      <c r="BT24" s="241"/>
      <c r="BU24" s="241"/>
      <c r="BV24" s="241"/>
      <c r="BW24" s="241"/>
      <c r="BX24" s="241"/>
      <c r="BY24" s="241"/>
      <c r="BZ24" s="241"/>
      <c r="CA24" s="241"/>
      <c r="CB24" s="241"/>
      <c r="CC24" s="241"/>
      <c r="CD24" s="241"/>
      <c r="CE24" s="241"/>
      <c r="CF24" s="241"/>
      <c r="CG24" s="241"/>
    </row>
    <row r="25" spans="1:85" ht="12" customHeight="1" outlineLevel="3">
      <c r="A25" s="227"/>
      <c r="B25" s="227"/>
      <c r="C25" s="227">
        <v>4</v>
      </c>
      <c r="D25" s="235" t="s">
        <v>1778</v>
      </c>
      <c r="E25" s="228"/>
      <c r="F25" s="228"/>
      <c r="G25" s="228"/>
      <c r="H25" s="228" t="s">
        <v>1611</v>
      </c>
      <c r="I25" s="228"/>
      <c r="J25" s="228"/>
      <c r="K25" s="228"/>
      <c r="L25" s="228"/>
      <c r="M25" s="228"/>
      <c r="N25" s="228"/>
      <c r="O25" s="228"/>
      <c r="P25" s="250">
        <v>45729</v>
      </c>
      <c r="Q25" s="250">
        <v>45729</v>
      </c>
      <c r="R25" s="228"/>
      <c r="S25" s="229">
        <v>0.1</v>
      </c>
      <c r="T25" s="229">
        <v>0</v>
      </c>
      <c r="U25" s="229">
        <v>1</v>
      </c>
      <c r="V25" s="229">
        <v>0</v>
      </c>
      <c r="W25" s="250"/>
      <c r="X25" s="250"/>
      <c r="Y25" s="230"/>
      <c r="Z25" s="231">
        <v>0</v>
      </c>
      <c r="AA25" s="229">
        <v>0.1</v>
      </c>
      <c r="AB25" s="228" t="s">
        <v>1883</v>
      </c>
      <c r="AC25" s="191" t="s">
        <v>1887</v>
      </c>
      <c r="AD25" s="234">
        <v>0</v>
      </c>
      <c r="AE25" s="253">
        <v>0</v>
      </c>
      <c r="AF25" s="240"/>
      <c r="AG25" s="241"/>
      <c r="AH25" s="241"/>
      <c r="AI25" s="241" t="str">
        <f>"    " &amp; TEXT(AE25,"#0.00%") &amp; " " &amp; "3주차 주간보고" &amp; "(오승헌님)" &amp; " " &amp; IF(P25="","",TEXT(P25,"M/D-")) &amp; IF(Q25="","",TEXT(Q25,"M/D")) &amp; " "</f>
        <v xml:space="preserve">    0.00% 3주차 주간보고(오승헌님) 3/13-3/13 </v>
      </c>
      <c r="AJ25" s="241"/>
      <c r="AK25" s="241"/>
      <c r="AL25" s="241"/>
      <c r="AM25" s="241"/>
      <c r="AN25" s="241"/>
      <c r="AO25" s="241"/>
      <c r="AP25" s="241"/>
      <c r="AQ25" s="241"/>
      <c r="AR25" s="241"/>
      <c r="AS25" s="241"/>
      <c r="AT25" s="241"/>
      <c r="AU25" s="241"/>
      <c r="AV25" s="241"/>
      <c r="AW25" s="241"/>
      <c r="AX25" s="241"/>
      <c r="AY25" s="241"/>
      <c r="AZ25" s="241"/>
      <c r="BA25" s="241"/>
      <c r="BB25" s="241"/>
      <c r="BC25" s="241"/>
      <c r="BD25" s="241"/>
      <c r="BE25" s="241"/>
      <c r="BF25" s="241"/>
      <c r="BG25" s="241"/>
      <c r="BH25" s="241"/>
      <c r="BI25" s="241"/>
      <c r="BJ25" s="241"/>
      <c r="BK25" s="241"/>
      <c r="BL25" s="241"/>
      <c r="BM25" s="241"/>
      <c r="BN25" s="241"/>
      <c r="BO25" s="241"/>
      <c r="BP25" s="241"/>
      <c r="BQ25" s="241"/>
      <c r="BR25" s="241"/>
      <c r="BS25" s="241"/>
      <c r="BT25" s="241"/>
      <c r="BU25" s="241"/>
      <c r="BV25" s="241"/>
      <c r="BW25" s="241"/>
      <c r="BX25" s="241"/>
      <c r="BY25" s="241"/>
      <c r="BZ25" s="241"/>
      <c r="CA25" s="241"/>
      <c r="CB25" s="241"/>
      <c r="CC25" s="241"/>
      <c r="CD25" s="241"/>
      <c r="CE25" s="241"/>
      <c r="CF25" s="241"/>
      <c r="CG25" s="241"/>
    </row>
    <row r="26" spans="1:85" ht="12" customHeight="1" outlineLevel="3">
      <c r="A26" s="227"/>
      <c r="B26" s="227"/>
      <c r="C26" s="227">
        <v>4</v>
      </c>
      <c r="D26" s="235" t="s">
        <v>1779</v>
      </c>
      <c r="E26" s="228"/>
      <c r="F26" s="228"/>
      <c r="G26" s="228"/>
      <c r="H26" s="228" t="s">
        <v>1612</v>
      </c>
      <c r="I26" s="228"/>
      <c r="J26" s="228"/>
      <c r="K26" s="228"/>
      <c r="L26" s="228"/>
      <c r="M26" s="228"/>
      <c r="N26" s="228"/>
      <c r="O26" s="228"/>
      <c r="P26" s="250">
        <v>45736</v>
      </c>
      <c r="Q26" s="250">
        <v>45736</v>
      </c>
      <c r="R26" s="228"/>
      <c r="S26" s="229">
        <v>0.1</v>
      </c>
      <c r="T26" s="229">
        <v>0</v>
      </c>
      <c r="U26" s="229">
        <v>1</v>
      </c>
      <c r="V26" s="229">
        <v>0</v>
      </c>
      <c r="W26" s="250"/>
      <c r="X26" s="250"/>
      <c r="Y26" s="230"/>
      <c r="Z26" s="231">
        <v>0</v>
      </c>
      <c r="AA26" s="229">
        <v>0.1</v>
      </c>
      <c r="AB26" s="228" t="s">
        <v>1883</v>
      </c>
      <c r="AC26" s="191" t="s">
        <v>1887</v>
      </c>
      <c r="AD26" s="234">
        <v>0</v>
      </c>
      <c r="AE26" s="253">
        <v>0</v>
      </c>
      <c r="AF26" s="240"/>
      <c r="AG26" s="241"/>
      <c r="AH26" s="241"/>
      <c r="AI26" s="241"/>
      <c r="AJ26" s="241" t="str">
        <f>"    " &amp; TEXT(AE26,"#0.00%") &amp; " " &amp; "4주차 주간보고" &amp; "(오승헌님)" &amp; " " &amp; IF(P26="","",TEXT(P26,"M/D-")) &amp; IF(Q26="","",TEXT(Q26,"M/D")) &amp; " "</f>
        <v xml:space="preserve">    0.00% 4주차 주간보고(오승헌님) 3/20-3/20 </v>
      </c>
      <c r="AK26" s="241"/>
      <c r="AL26" s="241"/>
      <c r="AM26" s="241"/>
      <c r="AN26" s="241"/>
      <c r="AO26" s="241"/>
      <c r="AP26" s="241"/>
      <c r="AQ26" s="241"/>
      <c r="AR26" s="241"/>
      <c r="AS26" s="241"/>
      <c r="AT26" s="241"/>
      <c r="AU26" s="241"/>
      <c r="AV26" s="241"/>
      <c r="AW26" s="241"/>
      <c r="AX26" s="241"/>
      <c r="AY26" s="241"/>
      <c r="AZ26" s="241"/>
      <c r="BA26" s="241"/>
      <c r="BB26" s="241"/>
      <c r="BC26" s="241"/>
      <c r="BD26" s="241"/>
      <c r="BE26" s="241"/>
      <c r="BF26" s="241"/>
      <c r="BG26" s="241"/>
      <c r="BH26" s="241"/>
      <c r="BI26" s="241"/>
      <c r="BJ26" s="241"/>
      <c r="BK26" s="241"/>
      <c r="BL26" s="241"/>
      <c r="BM26" s="241"/>
      <c r="BN26" s="241"/>
      <c r="BO26" s="241"/>
      <c r="BP26" s="241"/>
      <c r="BQ26" s="241"/>
      <c r="BR26" s="241"/>
      <c r="BS26" s="241"/>
      <c r="BT26" s="241"/>
      <c r="BU26" s="241"/>
      <c r="BV26" s="241"/>
      <c r="BW26" s="241"/>
      <c r="BX26" s="241"/>
      <c r="BY26" s="241"/>
      <c r="BZ26" s="241"/>
      <c r="CA26" s="241"/>
      <c r="CB26" s="241"/>
      <c r="CC26" s="241"/>
      <c r="CD26" s="241"/>
      <c r="CE26" s="241"/>
      <c r="CF26" s="241"/>
      <c r="CG26" s="241"/>
    </row>
    <row r="27" spans="1:85" ht="12" customHeight="1" outlineLevel="3">
      <c r="A27" s="227"/>
      <c r="B27" s="227"/>
      <c r="C27" s="227">
        <v>4</v>
      </c>
      <c r="D27" s="235" t="s">
        <v>1780</v>
      </c>
      <c r="E27" s="228"/>
      <c r="F27" s="228"/>
      <c r="G27" s="228"/>
      <c r="H27" s="228" t="s">
        <v>1613</v>
      </c>
      <c r="I27" s="228"/>
      <c r="J27" s="228"/>
      <c r="K27" s="228"/>
      <c r="L27" s="228"/>
      <c r="M27" s="228"/>
      <c r="N27" s="228"/>
      <c r="O27" s="228"/>
      <c r="P27" s="250">
        <v>45743</v>
      </c>
      <c r="Q27" s="250">
        <v>45743</v>
      </c>
      <c r="R27" s="228"/>
      <c r="S27" s="229">
        <v>0.1</v>
      </c>
      <c r="T27" s="229">
        <v>0</v>
      </c>
      <c r="U27" s="229">
        <v>1</v>
      </c>
      <c r="V27" s="229">
        <v>0</v>
      </c>
      <c r="W27" s="250"/>
      <c r="X27" s="250"/>
      <c r="Y27" s="230"/>
      <c r="Z27" s="231">
        <v>0</v>
      </c>
      <c r="AA27" s="229">
        <v>0.1</v>
      </c>
      <c r="AB27" s="228" t="s">
        <v>1883</v>
      </c>
      <c r="AC27" s="191" t="s">
        <v>1887</v>
      </c>
      <c r="AD27" s="234">
        <v>0</v>
      </c>
      <c r="AE27" s="253">
        <v>0</v>
      </c>
      <c r="AF27" s="240"/>
      <c r="AG27" s="241"/>
      <c r="AH27" s="241"/>
      <c r="AI27" s="241"/>
      <c r="AJ27" s="241"/>
      <c r="AK27" s="241" t="str">
        <f>"    " &amp; TEXT(AE27,"#0.00%") &amp; " " &amp; "5주차 주간보고" &amp; "(오승헌님)" &amp; " " &amp; IF(P27="","",TEXT(P27,"M/D-")) &amp; IF(Q27="","",TEXT(Q27,"M/D")) &amp; " "</f>
        <v xml:space="preserve">    0.00% 5주차 주간보고(오승헌님) 3/27-3/27 </v>
      </c>
      <c r="AL27" s="241"/>
      <c r="AM27" s="241"/>
      <c r="AN27" s="241"/>
      <c r="AO27" s="241"/>
      <c r="AP27" s="241"/>
      <c r="AQ27" s="241"/>
      <c r="AR27" s="241"/>
      <c r="AS27" s="241"/>
      <c r="AT27" s="241"/>
      <c r="AU27" s="241"/>
      <c r="AV27" s="241"/>
      <c r="AW27" s="241"/>
      <c r="AX27" s="241"/>
      <c r="AY27" s="241"/>
      <c r="AZ27" s="241"/>
      <c r="BA27" s="241"/>
      <c r="BB27" s="241"/>
      <c r="BC27" s="241"/>
      <c r="BD27" s="241"/>
      <c r="BE27" s="241"/>
      <c r="BF27" s="241"/>
      <c r="BG27" s="241"/>
      <c r="BH27" s="241"/>
      <c r="BI27" s="241"/>
      <c r="BJ27" s="241"/>
      <c r="BK27" s="241"/>
      <c r="BL27" s="241"/>
      <c r="BM27" s="241"/>
      <c r="BN27" s="241"/>
      <c r="BO27" s="241"/>
      <c r="BP27" s="241"/>
      <c r="BQ27" s="241"/>
      <c r="BR27" s="241"/>
      <c r="BS27" s="241"/>
      <c r="BT27" s="241"/>
      <c r="BU27" s="241"/>
      <c r="BV27" s="241"/>
      <c r="BW27" s="241"/>
      <c r="BX27" s="241"/>
      <c r="BY27" s="241"/>
      <c r="BZ27" s="241"/>
      <c r="CA27" s="241"/>
      <c r="CB27" s="241"/>
      <c r="CC27" s="241"/>
      <c r="CD27" s="241"/>
      <c r="CE27" s="241"/>
      <c r="CF27" s="241"/>
      <c r="CG27" s="241"/>
    </row>
    <row r="28" spans="1:85" ht="12" customHeight="1" outlineLevel="3">
      <c r="A28" s="227"/>
      <c r="B28" s="227"/>
      <c r="C28" s="227">
        <v>4</v>
      </c>
      <c r="D28" s="235" t="s">
        <v>1781</v>
      </c>
      <c r="E28" s="228"/>
      <c r="F28" s="228"/>
      <c r="G28" s="228"/>
      <c r="H28" s="228" t="s">
        <v>1614</v>
      </c>
      <c r="I28" s="228"/>
      <c r="J28" s="228"/>
      <c r="K28" s="228"/>
      <c r="L28" s="228"/>
      <c r="M28" s="228"/>
      <c r="N28" s="228"/>
      <c r="O28" s="228"/>
      <c r="P28" s="250">
        <v>45750</v>
      </c>
      <c r="Q28" s="250">
        <v>45750</v>
      </c>
      <c r="R28" s="228"/>
      <c r="S28" s="229">
        <v>0.1</v>
      </c>
      <c r="T28" s="229">
        <v>0</v>
      </c>
      <c r="U28" s="229">
        <v>1</v>
      </c>
      <c r="V28" s="229">
        <v>0</v>
      </c>
      <c r="W28" s="250"/>
      <c r="X28" s="250"/>
      <c r="Y28" s="230"/>
      <c r="Z28" s="231">
        <v>0</v>
      </c>
      <c r="AA28" s="229">
        <v>0.1</v>
      </c>
      <c r="AB28" s="228" t="s">
        <v>1883</v>
      </c>
      <c r="AC28" s="191" t="s">
        <v>1887</v>
      </c>
      <c r="AD28" s="234">
        <v>0</v>
      </c>
      <c r="AE28" s="253">
        <v>0</v>
      </c>
      <c r="AF28" s="240"/>
      <c r="AG28" s="241"/>
      <c r="AH28" s="241"/>
      <c r="AI28" s="241"/>
      <c r="AJ28" s="241"/>
      <c r="AK28" s="241"/>
      <c r="AL28" s="241" t="str">
        <f>"    " &amp; TEXT(AE28,"#0.00%") &amp; " " &amp; "6주차 주간보고" &amp; "(오승헌님)" &amp; " " &amp; IF(P28="","",TEXT(P28,"M/D-")) &amp; IF(Q28="","",TEXT(Q28,"M/D")) &amp; " "</f>
        <v xml:space="preserve">    0.00% 6주차 주간보고(오승헌님) 4/3-4/3 </v>
      </c>
      <c r="AM28" s="241"/>
      <c r="AN28" s="241"/>
      <c r="AO28" s="241"/>
      <c r="AP28" s="241"/>
      <c r="AQ28" s="241"/>
      <c r="AR28" s="241"/>
      <c r="AS28" s="241"/>
      <c r="AT28" s="241"/>
      <c r="AU28" s="241"/>
      <c r="AV28" s="241"/>
      <c r="AW28" s="241"/>
      <c r="AX28" s="241"/>
      <c r="AY28" s="241"/>
      <c r="AZ28" s="241"/>
      <c r="BA28" s="241"/>
      <c r="BB28" s="241"/>
      <c r="BC28" s="241"/>
      <c r="BD28" s="241"/>
      <c r="BE28" s="241"/>
      <c r="BF28" s="241"/>
      <c r="BG28" s="241"/>
      <c r="BH28" s="241"/>
      <c r="BI28" s="241"/>
      <c r="BJ28" s="241"/>
      <c r="BK28" s="241"/>
      <c r="BL28" s="241"/>
      <c r="BM28" s="241"/>
      <c r="BN28" s="241"/>
      <c r="BO28" s="241"/>
      <c r="BP28" s="241"/>
      <c r="BQ28" s="241"/>
      <c r="BR28" s="241"/>
      <c r="BS28" s="241"/>
      <c r="BT28" s="241"/>
      <c r="BU28" s="241"/>
      <c r="BV28" s="241"/>
      <c r="BW28" s="241"/>
      <c r="BX28" s="241"/>
      <c r="BY28" s="241"/>
      <c r="BZ28" s="241"/>
      <c r="CA28" s="241"/>
      <c r="CB28" s="241"/>
      <c r="CC28" s="241"/>
      <c r="CD28" s="241"/>
      <c r="CE28" s="241"/>
      <c r="CF28" s="241"/>
      <c r="CG28" s="241"/>
    </row>
    <row r="29" spans="1:85" ht="12" customHeight="1" outlineLevel="3">
      <c r="A29" s="227"/>
      <c r="B29" s="227"/>
      <c r="C29" s="227">
        <v>4</v>
      </c>
      <c r="D29" s="235" t="s">
        <v>1782</v>
      </c>
      <c r="E29" s="228"/>
      <c r="F29" s="228"/>
      <c r="G29" s="228"/>
      <c r="H29" s="228" t="s">
        <v>1615</v>
      </c>
      <c r="I29" s="228"/>
      <c r="J29" s="228"/>
      <c r="K29" s="228"/>
      <c r="L29" s="228"/>
      <c r="M29" s="228"/>
      <c r="N29" s="228"/>
      <c r="O29" s="228"/>
      <c r="P29" s="250">
        <v>45757</v>
      </c>
      <c r="Q29" s="250">
        <v>45757</v>
      </c>
      <c r="R29" s="228"/>
      <c r="S29" s="229">
        <v>0.1</v>
      </c>
      <c r="T29" s="229">
        <v>0</v>
      </c>
      <c r="U29" s="229">
        <v>1</v>
      </c>
      <c r="V29" s="229">
        <v>0</v>
      </c>
      <c r="W29" s="250"/>
      <c r="X29" s="250"/>
      <c r="Y29" s="230"/>
      <c r="Z29" s="231">
        <v>0</v>
      </c>
      <c r="AA29" s="229">
        <v>0.1</v>
      </c>
      <c r="AB29" s="228" t="s">
        <v>1883</v>
      </c>
      <c r="AC29" s="191" t="s">
        <v>1887</v>
      </c>
      <c r="AD29" s="234">
        <v>0</v>
      </c>
      <c r="AE29" s="253">
        <v>0</v>
      </c>
      <c r="AF29" s="240"/>
      <c r="AG29" s="241"/>
      <c r="AH29" s="241"/>
      <c r="AI29" s="241"/>
      <c r="AJ29" s="241"/>
      <c r="AK29" s="241"/>
      <c r="AL29" s="241"/>
      <c r="AM29" s="241" t="str">
        <f>"    " &amp; TEXT(AE29,"#0.00%") &amp; " " &amp; "7주차 주간보고" &amp; "(오승헌님)" &amp; " " &amp; IF(P29="","",TEXT(P29,"M/D-")) &amp; IF(Q29="","",TEXT(Q29,"M/D")) &amp; " "</f>
        <v xml:space="preserve">    0.00% 7주차 주간보고(오승헌님) 4/10-4/10 </v>
      </c>
      <c r="AN29" s="241"/>
      <c r="AO29" s="241"/>
      <c r="AP29" s="241"/>
      <c r="AQ29" s="241"/>
      <c r="AR29" s="241"/>
      <c r="AS29" s="241"/>
      <c r="AT29" s="241"/>
      <c r="AU29" s="241"/>
      <c r="AV29" s="241"/>
      <c r="AW29" s="241"/>
      <c r="AX29" s="241"/>
      <c r="AY29" s="241"/>
      <c r="AZ29" s="241"/>
      <c r="BA29" s="241"/>
      <c r="BB29" s="241"/>
      <c r="BC29" s="241"/>
      <c r="BD29" s="241"/>
      <c r="BE29" s="241"/>
      <c r="BF29" s="241"/>
      <c r="BG29" s="241"/>
      <c r="BH29" s="241"/>
      <c r="BI29" s="241"/>
      <c r="BJ29" s="241"/>
      <c r="BK29" s="241"/>
      <c r="BL29" s="241"/>
      <c r="BM29" s="241"/>
      <c r="BN29" s="241"/>
      <c r="BO29" s="241"/>
      <c r="BP29" s="241"/>
      <c r="BQ29" s="241"/>
      <c r="BR29" s="241"/>
      <c r="BS29" s="241"/>
      <c r="BT29" s="241"/>
      <c r="BU29" s="241"/>
      <c r="BV29" s="241"/>
      <c r="BW29" s="241"/>
      <c r="BX29" s="241"/>
      <c r="BY29" s="241"/>
      <c r="BZ29" s="241"/>
      <c r="CA29" s="241"/>
      <c r="CB29" s="241"/>
      <c r="CC29" s="241"/>
      <c r="CD29" s="241"/>
      <c r="CE29" s="241"/>
      <c r="CF29" s="241"/>
      <c r="CG29" s="241"/>
    </row>
    <row r="30" spans="1:85" ht="12" customHeight="1" outlineLevel="3">
      <c r="A30" s="227"/>
      <c r="B30" s="227"/>
      <c r="C30" s="227">
        <v>4</v>
      </c>
      <c r="D30" s="235" t="s">
        <v>1783</v>
      </c>
      <c r="E30" s="228"/>
      <c r="F30" s="228"/>
      <c r="G30" s="228"/>
      <c r="H30" s="228" t="s">
        <v>1616</v>
      </c>
      <c r="I30" s="228"/>
      <c r="J30" s="228"/>
      <c r="K30" s="228"/>
      <c r="L30" s="228"/>
      <c r="M30" s="228"/>
      <c r="N30" s="228"/>
      <c r="O30" s="228"/>
      <c r="P30" s="250">
        <v>45764</v>
      </c>
      <c r="Q30" s="250">
        <v>45764</v>
      </c>
      <c r="R30" s="228"/>
      <c r="S30" s="229">
        <v>0.1</v>
      </c>
      <c r="T30" s="229">
        <v>0</v>
      </c>
      <c r="U30" s="229">
        <v>1</v>
      </c>
      <c r="V30" s="229">
        <v>0</v>
      </c>
      <c r="W30" s="250"/>
      <c r="X30" s="250"/>
      <c r="Y30" s="230"/>
      <c r="Z30" s="231">
        <v>0</v>
      </c>
      <c r="AA30" s="229">
        <v>0.1</v>
      </c>
      <c r="AB30" s="228" t="s">
        <v>1883</v>
      </c>
      <c r="AC30" s="191" t="s">
        <v>1887</v>
      </c>
      <c r="AD30" s="234">
        <v>0</v>
      </c>
      <c r="AE30" s="253">
        <v>0</v>
      </c>
      <c r="AF30" s="240"/>
      <c r="AG30" s="241"/>
      <c r="AH30" s="241"/>
      <c r="AI30" s="241"/>
      <c r="AJ30" s="241"/>
      <c r="AK30" s="241"/>
      <c r="AL30" s="241"/>
      <c r="AM30" s="241"/>
      <c r="AN30" s="241" t="str">
        <f>"    " &amp; TEXT(AE30,"#0.00%") &amp; " " &amp; "8주차 주간보고" &amp; "(오승헌님)" &amp; " " &amp; IF(P30="","",TEXT(P30,"M/D-")) &amp; IF(Q30="","",TEXT(Q30,"M/D")) &amp; " "</f>
        <v xml:space="preserve">    0.00% 8주차 주간보고(오승헌님) 4/17-4/17 </v>
      </c>
      <c r="AO30" s="241"/>
      <c r="AP30" s="241"/>
      <c r="AQ30" s="241"/>
      <c r="AR30" s="241"/>
      <c r="AS30" s="241"/>
      <c r="AT30" s="241"/>
      <c r="AU30" s="241"/>
      <c r="AV30" s="241"/>
      <c r="AW30" s="241"/>
      <c r="AX30" s="241"/>
      <c r="AY30" s="241"/>
      <c r="AZ30" s="241"/>
      <c r="BA30" s="241"/>
      <c r="BB30" s="241"/>
      <c r="BC30" s="241"/>
      <c r="BD30" s="241"/>
      <c r="BE30" s="241"/>
      <c r="BF30" s="241"/>
      <c r="BG30" s="241"/>
      <c r="BH30" s="241"/>
      <c r="BI30" s="241"/>
      <c r="BJ30" s="241"/>
      <c r="BK30" s="241"/>
      <c r="BL30" s="241"/>
      <c r="BM30" s="241"/>
      <c r="BN30" s="241"/>
      <c r="BO30" s="241"/>
      <c r="BP30" s="241"/>
      <c r="BQ30" s="241"/>
      <c r="BR30" s="241"/>
      <c r="BS30" s="241"/>
      <c r="BT30" s="241"/>
      <c r="BU30" s="241"/>
      <c r="BV30" s="241"/>
      <c r="BW30" s="241"/>
      <c r="BX30" s="241"/>
      <c r="BY30" s="241"/>
      <c r="BZ30" s="241"/>
      <c r="CA30" s="241"/>
      <c r="CB30" s="241"/>
      <c r="CC30" s="241"/>
      <c r="CD30" s="241"/>
      <c r="CE30" s="241"/>
      <c r="CF30" s="241"/>
      <c r="CG30" s="241"/>
    </row>
    <row r="31" spans="1:85" ht="12" customHeight="1" outlineLevel="3">
      <c r="A31" s="227"/>
      <c r="B31" s="227"/>
      <c r="C31" s="227">
        <v>4</v>
      </c>
      <c r="D31" s="235" t="s">
        <v>1784</v>
      </c>
      <c r="E31" s="228"/>
      <c r="F31" s="228"/>
      <c r="G31" s="228"/>
      <c r="H31" s="228" t="s">
        <v>1617</v>
      </c>
      <c r="I31" s="228"/>
      <c r="J31" s="228"/>
      <c r="K31" s="228"/>
      <c r="L31" s="228"/>
      <c r="M31" s="228"/>
      <c r="N31" s="228"/>
      <c r="O31" s="228"/>
      <c r="P31" s="250">
        <v>45771</v>
      </c>
      <c r="Q31" s="250">
        <v>45771</v>
      </c>
      <c r="R31" s="228"/>
      <c r="S31" s="229">
        <v>0.1</v>
      </c>
      <c r="T31" s="229">
        <v>0</v>
      </c>
      <c r="U31" s="229">
        <v>1</v>
      </c>
      <c r="V31" s="229">
        <v>0</v>
      </c>
      <c r="W31" s="250"/>
      <c r="X31" s="250"/>
      <c r="Y31" s="230"/>
      <c r="Z31" s="231">
        <v>0</v>
      </c>
      <c r="AA31" s="229">
        <v>0.1</v>
      </c>
      <c r="AB31" s="228" t="s">
        <v>1883</v>
      </c>
      <c r="AC31" s="191" t="s">
        <v>1887</v>
      </c>
      <c r="AD31" s="234">
        <v>0</v>
      </c>
      <c r="AE31" s="253">
        <v>0</v>
      </c>
      <c r="AF31" s="240"/>
      <c r="AG31" s="241"/>
      <c r="AH31" s="241"/>
      <c r="AI31" s="241"/>
      <c r="AJ31" s="241"/>
      <c r="AK31" s="241"/>
      <c r="AL31" s="241"/>
      <c r="AM31" s="241"/>
      <c r="AN31" s="241"/>
      <c r="AO31" s="241" t="str">
        <f>"    " &amp; TEXT(AE31,"#0.00%") &amp; " " &amp; "9주차 주간보고" &amp; "(오승헌님)" &amp; " " &amp; IF(P31="","",TEXT(P31,"M/D-")) &amp; IF(Q31="","",TEXT(Q31,"M/D")) &amp; " "</f>
        <v xml:space="preserve">    0.00% 9주차 주간보고(오승헌님) 4/24-4/24 </v>
      </c>
      <c r="AP31" s="241"/>
      <c r="AQ31" s="241"/>
      <c r="AR31" s="241"/>
      <c r="AS31" s="241"/>
      <c r="AT31" s="241"/>
      <c r="AU31" s="241"/>
      <c r="AV31" s="241"/>
      <c r="AW31" s="241"/>
      <c r="AX31" s="241"/>
      <c r="AY31" s="241"/>
      <c r="AZ31" s="241"/>
      <c r="BA31" s="241"/>
      <c r="BB31" s="241"/>
      <c r="BC31" s="241"/>
      <c r="BD31" s="241"/>
      <c r="BE31" s="241"/>
      <c r="BF31" s="241"/>
      <c r="BG31" s="241"/>
      <c r="BH31" s="241"/>
      <c r="BI31" s="241"/>
      <c r="BJ31" s="241"/>
      <c r="BK31" s="241"/>
      <c r="BL31" s="241"/>
      <c r="BM31" s="241"/>
      <c r="BN31" s="241"/>
      <c r="BO31" s="241"/>
      <c r="BP31" s="241"/>
      <c r="BQ31" s="241"/>
      <c r="BR31" s="241"/>
      <c r="BS31" s="241"/>
      <c r="BT31" s="241"/>
      <c r="BU31" s="241"/>
      <c r="BV31" s="241"/>
      <c r="BW31" s="241"/>
      <c r="BX31" s="241"/>
      <c r="BY31" s="241"/>
      <c r="BZ31" s="241"/>
      <c r="CA31" s="241"/>
      <c r="CB31" s="241"/>
      <c r="CC31" s="241"/>
      <c r="CD31" s="241"/>
      <c r="CE31" s="241"/>
      <c r="CF31" s="241"/>
      <c r="CG31" s="241"/>
    </row>
    <row r="32" spans="1:85" ht="12" customHeight="1" outlineLevel="3">
      <c r="A32" s="227"/>
      <c r="B32" s="227"/>
      <c r="C32" s="227">
        <v>4</v>
      </c>
      <c r="D32" s="235" t="s">
        <v>1785</v>
      </c>
      <c r="E32" s="228"/>
      <c r="F32" s="228"/>
      <c r="G32" s="228"/>
      <c r="H32" s="228" t="s">
        <v>1618</v>
      </c>
      <c r="I32" s="228"/>
      <c r="J32" s="228"/>
      <c r="K32" s="228"/>
      <c r="L32" s="228"/>
      <c r="M32" s="228"/>
      <c r="N32" s="228"/>
      <c r="O32" s="228"/>
      <c r="P32" s="250">
        <v>45779</v>
      </c>
      <c r="Q32" s="250">
        <v>45779</v>
      </c>
      <c r="R32" s="228"/>
      <c r="S32" s="229">
        <v>0.1</v>
      </c>
      <c r="T32" s="229">
        <v>0</v>
      </c>
      <c r="U32" s="229">
        <v>1</v>
      </c>
      <c r="V32" s="229">
        <v>0</v>
      </c>
      <c r="W32" s="250"/>
      <c r="X32" s="250"/>
      <c r="Y32" s="230"/>
      <c r="Z32" s="231">
        <v>0</v>
      </c>
      <c r="AA32" s="229">
        <v>0.1</v>
      </c>
      <c r="AB32" s="228" t="s">
        <v>1883</v>
      </c>
      <c r="AC32" s="191" t="s">
        <v>1887</v>
      </c>
      <c r="AD32" s="234">
        <v>0</v>
      </c>
      <c r="AE32" s="253">
        <v>0</v>
      </c>
      <c r="AF32" s="240"/>
      <c r="AG32" s="241"/>
      <c r="AH32" s="241"/>
      <c r="AI32" s="241"/>
      <c r="AJ32" s="241"/>
      <c r="AK32" s="241"/>
      <c r="AL32" s="241"/>
      <c r="AM32" s="241"/>
      <c r="AN32" s="241"/>
      <c r="AO32" s="241"/>
      <c r="AP32" s="241" t="str">
        <f>"     " &amp; TEXT(AE32,"#0.00%") &amp; " " &amp; "10주차 주간보고" &amp; "(오승헌님)" &amp; " " &amp; IF(P32="","",TEXT(P32,"M/D-")) &amp; IF(Q32="","",TEXT(Q32,"M/D")) &amp; " "</f>
        <v xml:space="preserve">     0.00% 10주차 주간보고(오승헌님) 5/2-5/2 </v>
      </c>
      <c r="AQ32" s="241"/>
      <c r="AR32" s="241"/>
      <c r="AS32" s="241"/>
      <c r="AT32" s="241"/>
      <c r="AU32" s="241"/>
      <c r="AV32" s="241"/>
      <c r="AW32" s="241"/>
      <c r="AX32" s="241"/>
      <c r="AY32" s="241"/>
      <c r="AZ32" s="241"/>
      <c r="BA32" s="241"/>
      <c r="BB32" s="241"/>
      <c r="BC32" s="241"/>
      <c r="BD32" s="241"/>
      <c r="BE32" s="241"/>
      <c r="BF32" s="241"/>
      <c r="BG32" s="241"/>
      <c r="BH32" s="241"/>
      <c r="BI32" s="241"/>
      <c r="BJ32" s="241"/>
      <c r="BK32" s="241"/>
      <c r="BL32" s="241"/>
      <c r="BM32" s="241"/>
      <c r="BN32" s="241"/>
      <c r="BO32" s="241"/>
      <c r="BP32" s="241"/>
      <c r="BQ32" s="241"/>
      <c r="BR32" s="241"/>
      <c r="BS32" s="241"/>
      <c r="BT32" s="241"/>
      <c r="BU32" s="241"/>
      <c r="BV32" s="241"/>
      <c r="BW32" s="241"/>
      <c r="BX32" s="241"/>
      <c r="BY32" s="241"/>
      <c r="BZ32" s="241"/>
      <c r="CA32" s="241"/>
      <c r="CB32" s="241"/>
      <c r="CC32" s="241"/>
      <c r="CD32" s="241"/>
      <c r="CE32" s="241"/>
      <c r="CF32" s="241"/>
      <c r="CG32" s="241"/>
    </row>
    <row r="33" spans="1:85" ht="12" customHeight="1" outlineLevel="3">
      <c r="A33" s="227"/>
      <c r="B33" s="227"/>
      <c r="C33" s="227">
        <v>4</v>
      </c>
      <c r="D33" s="235" t="s">
        <v>1786</v>
      </c>
      <c r="E33" s="228"/>
      <c r="F33" s="228"/>
      <c r="G33" s="228"/>
      <c r="H33" s="228" t="s">
        <v>1619</v>
      </c>
      <c r="I33" s="228"/>
      <c r="J33" s="228"/>
      <c r="K33" s="228"/>
      <c r="L33" s="228"/>
      <c r="M33" s="228"/>
      <c r="N33" s="228"/>
      <c r="O33" s="228"/>
      <c r="P33" s="250">
        <v>45785</v>
      </c>
      <c r="Q33" s="250">
        <v>45785</v>
      </c>
      <c r="R33" s="228"/>
      <c r="S33" s="229">
        <v>0.1</v>
      </c>
      <c r="T33" s="229">
        <v>0</v>
      </c>
      <c r="U33" s="229">
        <v>1</v>
      </c>
      <c r="V33" s="229">
        <v>0</v>
      </c>
      <c r="W33" s="250"/>
      <c r="X33" s="250"/>
      <c r="Y33" s="230"/>
      <c r="Z33" s="231">
        <v>0</v>
      </c>
      <c r="AA33" s="229">
        <v>0.1</v>
      </c>
      <c r="AB33" s="228" t="s">
        <v>1883</v>
      </c>
      <c r="AC33" s="191" t="s">
        <v>1887</v>
      </c>
      <c r="AD33" s="234">
        <v>0</v>
      </c>
      <c r="AE33" s="253">
        <v>0</v>
      </c>
      <c r="AF33" s="240"/>
      <c r="AG33" s="241"/>
      <c r="AH33" s="241"/>
      <c r="AI33" s="241"/>
      <c r="AJ33" s="241"/>
      <c r="AK33" s="241"/>
      <c r="AL33" s="241"/>
      <c r="AM33" s="241"/>
      <c r="AN33" s="241"/>
      <c r="AO33" s="241"/>
      <c r="AP33" s="241"/>
      <c r="AQ33" s="241" t="str">
        <f>"    " &amp; TEXT(AE33,"#0.00%") &amp; " " &amp; "11주차 주간보고" &amp; "(오승헌님)" &amp; " " &amp; IF(P33="","",TEXT(P33,"M/D-")) &amp; IF(Q33="","",TEXT(Q33,"M/D")) &amp; " "</f>
        <v xml:space="preserve">    0.00% 11주차 주간보고(오승헌님) 5/8-5/8 </v>
      </c>
      <c r="AR33" s="241"/>
      <c r="AS33" s="241"/>
      <c r="AT33" s="241"/>
      <c r="AU33" s="241"/>
      <c r="AV33" s="241"/>
      <c r="AW33" s="241"/>
      <c r="AX33" s="241"/>
      <c r="AY33" s="241"/>
      <c r="AZ33" s="241"/>
      <c r="BA33" s="241"/>
      <c r="BB33" s="241"/>
      <c r="BC33" s="241"/>
      <c r="BD33" s="241"/>
      <c r="BE33" s="241"/>
      <c r="BF33" s="241"/>
      <c r="BG33" s="241"/>
      <c r="BH33" s="241"/>
      <c r="BI33" s="241"/>
      <c r="BJ33" s="241"/>
      <c r="BK33" s="241"/>
      <c r="BL33" s="241"/>
      <c r="BM33" s="241"/>
      <c r="BN33" s="241"/>
      <c r="BO33" s="241"/>
      <c r="BP33" s="241"/>
      <c r="BQ33" s="241"/>
      <c r="BR33" s="241"/>
      <c r="BS33" s="241"/>
      <c r="BT33" s="241"/>
      <c r="BU33" s="241"/>
      <c r="BV33" s="241"/>
      <c r="BW33" s="241"/>
      <c r="BX33" s="241"/>
      <c r="BY33" s="241"/>
      <c r="BZ33" s="241"/>
      <c r="CA33" s="241"/>
      <c r="CB33" s="241"/>
      <c r="CC33" s="241"/>
      <c r="CD33" s="241"/>
      <c r="CE33" s="241"/>
      <c r="CF33" s="241"/>
      <c r="CG33" s="241"/>
    </row>
    <row r="34" spans="1:85" ht="12" customHeight="1" outlineLevel="3">
      <c r="A34" s="227"/>
      <c r="B34" s="227"/>
      <c r="C34" s="227">
        <v>4</v>
      </c>
      <c r="D34" s="235" t="s">
        <v>1787</v>
      </c>
      <c r="E34" s="228"/>
      <c r="F34" s="228"/>
      <c r="G34" s="228"/>
      <c r="H34" s="228" t="s">
        <v>1620</v>
      </c>
      <c r="I34" s="228"/>
      <c r="J34" s="228"/>
      <c r="K34" s="228"/>
      <c r="L34" s="228"/>
      <c r="M34" s="228"/>
      <c r="N34" s="228"/>
      <c r="O34" s="228"/>
      <c r="P34" s="250">
        <v>45792</v>
      </c>
      <c r="Q34" s="250">
        <v>45792</v>
      </c>
      <c r="R34" s="228"/>
      <c r="S34" s="229">
        <v>0.1</v>
      </c>
      <c r="T34" s="229">
        <v>0</v>
      </c>
      <c r="U34" s="229">
        <v>1</v>
      </c>
      <c r="V34" s="229">
        <v>0</v>
      </c>
      <c r="W34" s="250"/>
      <c r="X34" s="250"/>
      <c r="Y34" s="230"/>
      <c r="Z34" s="231">
        <v>0</v>
      </c>
      <c r="AA34" s="229">
        <v>0.1</v>
      </c>
      <c r="AB34" s="228" t="s">
        <v>1883</v>
      </c>
      <c r="AC34" s="191" t="s">
        <v>1887</v>
      </c>
      <c r="AD34" s="234">
        <v>0</v>
      </c>
      <c r="AE34" s="253">
        <v>0</v>
      </c>
      <c r="AF34" s="240"/>
      <c r="AG34" s="241"/>
      <c r="AH34" s="241"/>
      <c r="AI34" s="241"/>
      <c r="AJ34" s="241"/>
      <c r="AK34" s="241"/>
      <c r="AL34" s="241"/>
      <c r="AM34" s="241"/>
      <c r="AN34" s="241"/>
      <c r="AO34" s="241"/>
      <c r="AP34" s="241"/>
      <c r="AQ34" s="241"/>
      <c r="AR34" s="241" t="str">
        <f>"    " &amp; TEXT(AE34,"#0.00%") &amp; " " &amp; "12주차 주간보고" &amp; "(오승헌님)" &amp; " " &amp; IF(P34="","",TEXT(P34,"M/D-")) &amp; IF(Q34="","",TEXT(Q34,"M/D")) &amp; " "</f>
        <v xml:space="preserve">    0.00% 12주차 주간보고(오승헌님) 5/15-5/15 </v>
      </c>
      <c r="AS34" s="241"/>
      <c r="AT34" s="241"/>
      <c r="AU34" s="241"/>
      <c r="AV34" s="241"/>
      <c r="AW34" s="241"/>
      <c r="AX34" s="241"/>
      <c r="AY34" s="241"/>
      <c r="AZ34" s="241"/>
      <c r="BA34" s="241"/>
      <c r="BB34" s="241"/>
      <c r="BC34" s="241"/>
      <c r="BD34" s="241"/>
      <c r="BE34" s="241"/>
      <c r="BF34" s="241"/>
      <c r="BG34" s="241"/>
      <c r="BH34" s="241"/>
      <c r="BI34" s="241"/>
      <c r="BJ34" s="241"/>
      <c r="BK34" s="241"/>
      <c r="BL34" s="241"/>
      <c r="BM34" s="241"/>
      <c r="BN34" s="241"/>
      <c r="BO34" s="241"/>
      <c r="BP34" s="241"/>
      <c r="BQ34" s="241"/>
      <c r="BR34" s="241"/>
      <c r="BS34" s="241"/>
      <c r="BT34" s="241"/>
      <c r="BU34" s="241"/>
      <c r="BV34" s="241"/>
      <c r="BW34" s="241"/>
      <c r="BX34" s="241"/>
      <c r="BY34" s="241"/>
      <c r="BZ34" s="241"/>
      <c r="CA34" s="241"/>
      <c r="CB34" s="241"/>
      <c r="CC34" s="241"/>
      <c r="CD34" s="241"/>
      <c r="CE34" s="241"/>
      <c r="CF34" s="241"/>
      <c r="CG34" s="241"/>
    </row>
    <row r="35" spans="1:85" ht="12" customHeight="1" outlineLevel="3">
      <c r="A35" s="227"/>
      <c r="B35" s="227"/>
      <c r="C35" s="227">
        <v>4</v>
      </c>
      <c r="D35" s="235" t="s">
        <v>1788</v>
      </c>
      <c r="E35" s="228"/>
      <c r="F35" s="228"/>
      <c r="G35" s="228"/>
      <c r="H35" s="228" t="s">
        <v>1621</v>
      </c>
      <c r="I35" s="228"/>
      <c r="J35" s="228"/>
      <c r="K35" s="228"/>
      <c r="L35" s="228"/>
      <c r="M35" s="228"/>
      <c r="N35" s="228"/>
      <c r="O35" s="228"/>
      <c r="P35" s="250">
        <v>45799</v>
      </c>
      <c r="Q35" s="250">
        <v>45799</v>
      </c>
      <c r="R35" s="228"/>
      <c r="S35" s="229">
        <v>0.1</v>
      </c>
      <c r="T35" s="229">
        <v>0</v>
      </c>
      <c r="U35" s="229">
        <v>1</v>
      </c>
      <c r="V35" s="229">
        <v>0</v>
      </c>
      <c r="W35" s="250"/>
      <c r="X35" s="250"/>
      <c r="Y35" s="230"/>
      <c r="Z35" s="231">
        <v>0</v>
      </c>
      <c r="AA35" s="229">
        <v>0.1</v>
      </c>
      <c r="AB35" s="228" t="s">
        <v>1883</v>
      </c>
      <c r="AC35" s="191" t="s">
        <v>1887</v>
      </c>
      <c r="AD35" s="234">
        <v>0</v>
      </c>
      <c r="AE35" s="253">
        <v>0</v>
      </c>
      <c r="AF35" s="240"/>
      <c r="AG35" s="241"/>
      <c r="AH35" s="241"/>
      <c r="AI35" s="241"/>
      <c r="AJ35" s="241"/>
      <c r="AK35" s="241"/>
      <c r="AL35" s="241"/>
      <c r="AM35" s="241"/>
      <c r="AN35" s="241"/>
      <c r="AO35" s="241"/>
      <c r="AP35" s="241"/>
      <c r="AQ35" s="241"/>
      <c r="AR35" s="241"/>
      <c r="AS35" s="241" t="str">
        <f>"    " &amp; TEXT(AE35,"#0.00%") &amp; " " &amp; "13주차 주간보고" &amp; "(오승헌님)" &amp; " " &amp; IF(P35="","",TEXT(P35,"M/D-")) &amp; IF(Q35="","",TEXT(Q35,"M/D")) &amp; " "</f>
        <v xml:space="preserve">    0.00% 13주차 주간보고(오승헌님) 5/22-5/22 </v>
      </c>
      <c r="AT35" s="241"/>
      <c r="AU35" s="241"/>
      <c r="AV35" s="241"/>
      <c r="AW35" s="241"/>
      <c r="AX35" s="241"/>
      <c r="AY35" s="241"/>
      <c r="AZ35" s="241"/>
      <c r="BA35" s="241"/>
      <c r="BB35" s="241"/>
      <c r="BC35" s="241"/>
      <c r="BD35" s="241"/>
      <c r="BE35" s="241"/>
      <c r="BF35" s="241"/>
      <c r="BG35" s="241"/>
      <c r="BH35" s="241"/>
      <c r="BI35" s="241"/>
      <c r="BJ35" s="241"/>
      <c r="BK35" s="241"/>
      <c r="BL35" s="241"/>
      <c r="BM35" s="241"/>
      <c r="BN35" s="241"/>
      <c r="BO35" s="241"/>
      <c r="BP35" s="241"/>
      <c r="BQ35" s="241"/>
      <c r="BR35" s="241"/>
      <c r="BS35" s="241"/>
      <c r="BT35" s="241"/>
      <c r="BU35" s="241"/>
      <c r="BV35" s="241"/>
      <c r="BW35" s="241"/>
      <c r="BX35" s="241"/>
      <c r="BY35" s="241"/>
      <c r="BZ35" s="241"/>
      <c r="CA35" s="241"/>
      <c r="CB35" s="241"/>
      <c r="CC35" s="241"/>
      <c r="CD35" s="241"/>
      <c r="CE35" s="241"/>
      <c r="CF35" s="241"/>
      <c r="CG35" s="241"/>
    </row>
    <row r="36" spans="1:85" ht="12" customHeight="1" outlineLevel="3">
      <c r="A36" s="227"/>
      <c r="B36" s="227"/>
      <c r="C36" s="227">
        <v>4</v>
      </c>
      <c r="D36" s="235" t="s">
        <v>1789</v>
      </c>
      <c r="E36" s="228"/>
      <c r="F36" s="228"/>
      <c r="G36" s="228"/>
      <c r="H36" s="228" t="s">
        <v>1622</v>
      </c>
      <c r="I36" s="228"/>
      <c r="J36" s="228"/>
      <c r="K36" s="228"/>
      <c r="L36" s="228"/>
      <c r="M36" s="228"/>
      <c r="N36" s="228"/>
      <c r="O36" s="228"/>
      <c r="P36" s="250">
        <v>45806</v>
      </c>
      <c r="Q36" s="250">
        <v>45806</v>
      </c>
      <c r="R36" s="228"/>
      <c r="S36" s="229">
        <v>0.1</v>
      </c>
      <c r="T36" s="229">
        <v>0</v>
      </c>
      <c r="U36" s="229">
        <v>1</v>
      </c>
      <c r="V36" s="229">
        <v>0</v>
      </c>
      <c r="W36" s="250"/>
      <c r="X36" s="250"/>
      <c r="Y36" s="230"/>
      <c r="Z36" s="231">
        <v>0</v>
      </c>
      <c r="AA36" s="229">
        <v>0.1</v>
      </c>
      <c r="AB36" s="228" t="s">
        <v>1883</v>
      </c>
      <c r="AC36" s="191" t="s">
        <v>1887</v>
      </c>
      <c r="AD36" s="234">
        <v>0</v>
      </c>
      <c r="AE36" s="253">
        <v>0</v>
      </c>
      <c r="AF36" s="240"/>
      <c r="AG36" s="241"/>
      <c r="AH36" s="241"/>
      <c r="AI36" s="241"/>
      <c r="AJ36" s="241"/>
      <c r="AK36" s="241"/>
      <c r="AL36" s="241"/>
      <c r="AM36" s="241"/>
      <c r="AN36" s="241"/>
      <c r="AO36" s="241"/>
      <c r="AP36" s="241"/>
      <c r="AQ36" s="241"/>
      <c r="AR36" s="241"/>
      <c r="AS36" s="241"/>
      <c r="AT36" s="241" t="str">
        <f>"    " &amp; TEXT(AE36,"#0.00%") &amp; " " &amp; "14주차 주간보고" &amp; "(오승헌님)" &amp; " " &amp; IF(P36="","",TEXT(P36,"M/D-")) &amp; IF(Q36="","",TEXT(Q36,"M/D")) &amp; " "</f>
        <v xml:space="preserve">    0.00% 14주차 주간보고(오승헌님) 5/29-5/29 </v>
      </c>
      <c r="AU36" s="241"/>
      <c r="AV36" s="241"/>
      <c r="AW36" s="241"/>
      <c r="AX36" s="241"/>
      <c r="AY36" s="241"/>
      <c r="AZ36" s="241"/>
      <c r="BA36" s="241"/>
      <c r="BB36" s="241"/>
      <c r="BC36" s="241"/>
      <c r="BD36" s="241"/>
      <c r="BE36" s="241"/>
      <c r="BF36" s="241"/>
      <c r="BG36" s="241"/>
      <c r="BH36" s="241"/>
      <c r="BI36" s="241"/>
      <c r="BJ36" s="241"/>
      <c r="BK36" s="241"/>
      <c r="BL36" s="241"/>
      <c r="BM36" s="241"/>
      <c r="BN36" s="241"/>
      <c r="BO36" s="241"/>
      <c r="BP36" s="241"/>
      <c r="BQ36" s="241"/>
      <c r="BR36" s="241"/>
      <c r="BS36" s="241"/>
      <c r="BT36" s="241"/>
      <c r="BU36" s="241"/>
      <c r="BV36" s="241"/>
      <c r="BW36" s="241"/>
      <c r="BX36" s="241"/>
      <c r="BY36" s="241"/>
      <c r="BZ36" s="241"/>
      <c r="CA36" s="241"/>
      <c r="CB36" s="241"/>
      <c r="CC36" s="241"/>
      <c r="CD36" s="241"/>
      <c r="CE36" s="241"/>
      <c r="CF36" s="241"/>
      <c r="CG36" s="241"/>
    </row>
    <row r="37" spans="1:85" ht="12" customHeight="1" outlineLevel="3">
      <c r="A37" s="227"/>
      <c r="B37" s="227"/>
      <c r="C37" s="227">
        <v>4</v>
      </c>
      <c r="D37" s="235" t="s">
        <v>1790</v>
      </c>
      <c r="E37" s="228"/>
      <c r="F37" s="228"/>
      <c r="G37" s="228"/>
      <c r="H37" s="228" t="s">
        <v>1623</v>
      </c>
      <c r="I37" s="228"/>
      <c r="J37" s="228"/>
      <c r="K37" s="228"/>
      <c r="L37" s="228"/>
      <c r="M37" s="228"/>
      <c r="N37" s="228"/>
      <c r="O37" s="228"/>
      <c r="P37" s="250">
        <v>45813</v>
      </c>
      <c r="Q37" s="250">
        <v>45813</v>
      </c>
      <c r="R37" s="228"/>
      <c r="S37" s="229">
        <v>0.1</v>
      </c>
      <c r="T37" s="229">
        <v>0</v>
      </c>
      <c r="U37" s="229">
        <v>1</v>
      </c>
      <c r="V37" s="229">
        <v>0</v>
      </c>
      <c r="W37" s="250"/>
      <c r="X37" s="250"/>
      <c r="Y37" s="230"/>
      <c r="Z37" s="231">
        <v>0</v>
      </c>
      <c r="AA37" s="229">
        <v>0.1</v>
      </c>
      <c r="AB37" s="228" t="s">
        <v>1883</v>
      </c>
      <c r="AC37" s="191" t="s">
        <v>1887</v>
      </c>
      <c r="AD37" s="234">
        <v>0</v>
      </c>
      <c r="AE37" s="253">
        <v>0</v>
      </c>
      <c r="AF37" s="240"/>
      <c r="AG37" s="241"/>
      <c r="AH37" s="241"/>
      <c r="AI37" s="241"/>
      <c r="AJ37" s="241"/>
      <c r="AK37" s="241"/>
      <c r="AL37" s="241"/>
      <c r="AM37" s="241"/>
      <c r="AN37" s="241"/>
      <c r="AO37" s="241"/>
      <c r="AP37" s="241"/>
      <c r="AQ37" s="241"/>
      <c r="AR37" s="241"/>
      <c r="AS37" s="241"/>
      <c r="AT37" s="241"/>
      <c r="AU37" s="241" t="str">
        <f>"    " &amp; TEXT(AE37,"#0.00%") &amp; " " &amp; "15주차 주간보고" &amp; "(오승헌님)" &amp; " " &amp; IF(P37="","",TEXT(P37,"M/D-")) &amp; IF(Q37="","",TEXT(Q37,"M/D")) &amp; " "</f>
        <v xml:space="preserve">    0.00% 15주차 주간보고(오승헌님) 6/5-6/5 </v>
      </c>
      <c r="AV37" s="241"/>
      <c r="AW37" s="241"/>
      <c r="AX37" s="241"/>
      <c r="AY37" s="241"/>
      <c r="AZ37" s="241"/>
      <c r="BA37" s="241"/>
      <c r="BB37" s="241"/>
      <c r="BC37" s="241"/>
      <c r="BD37" s="241"/>
      <c r="BE37" s="241"/>
      <c r="BF37" s="241"/>
      <c r="BG37" s="241"/>
      <c r="BH37" s="241"/>
      <c r="BI37" s="241"/>
      <c r="BJ37" s="241"/>
      <c r="BK37" s="241"/>
      <c r="BL37" s="241"/>
      <c r="BM37" s="241"/>
      <c r="BN37" s="241"/>
      <c r="BO37" s="241"/>
      <c r="BP37" s="241"/>
      <c r="BQ37" s="241"/>
      <c r="BR37" s="241"/>
      <c r="BS37" s="241"/>
      <c r="BT37" s="241"/>
      <c r="BU37" s="241"/>
      <c r="BV37" s="241"/>
      <c r="BW37" s="241"/>
      <c r="BX37" s="241"/>
      <c r="BY37" s="241"/>
      <c r="BZ37" s="241"/>
      <c r="CA37" s="241"/>
      <c r="CB37" s="241"/>
      <c r="CC37" s="241"/>
      <c r="CD37" s="241"/>
      <c r="CE37" s="241"/>
      <c r="CF37" s="241"/>
      <c r="CG37" s="241"/>
    </row>
    <row r="38" spans="1:85" ht="12" customHeight="1" outlineLevel="3">
      <c r="A38" s="227"/>
      <c r="B38" s="227"/>
      <c r="C38" s="227">
        <v>4</v>
      </c>
      <c r="D38" s="235" t="s">
        <v>1791</v>
      </c>
      <c r="E38" s="228"/>
      <c r="F38" s="228"/>
      <c r="G38" s="228"/>
      <c r="H38" s="228" t="s">
        <v>1624</v>
      </c>
      <c r="I38" s="228"/>
      <c r="J38" s="228"/>
      <c r="K38" s="228"/>
      <c r="L38" s="228"/>
      <c r="M38" s="228"/>
      <c r="N38" s="228"/>
      <c r="O38" s="228"/>
      <c r="P38" s="250">
        <v>45820</v>
      </c>
      <c r="Q38" s="250">
        <v>45820</v>
      </c>
      <c r="R38" s="228"/>
      <c r="S38" s="229">
        <v>0.1</v>
      </c>
      <c r="T38" s="229">
        <v>0</v>
      </c>
      <c r="U38" s="229">
        <v>1</v>
      </c>
      <c r="V38" s="229">
        <v>0</v>
      </c>
      <c r="W38" s="250"/>
      <c r="X38" s="250"/>
      <c r="Y38" s="230"/>
      <c r="Z38" s="231">
        <v>0</v>
      </c>
      <c r="AA38" s="229">
        <v>0.1</v>
      </c>
      <c r="AB38" s="228" t="s">
        <v>1883</v>
      </c>
      <c r="AC38" s="191" t="s">
        <v>1887</v>
      </c>
      <c r="AD38" s="234">
        <v>0</v>
      </c>
      <c r="AE38" s="253">
        <v>0</v>
      </c>
      <c r="AF38" s="240"/>
      <c r="AG38" s="241"/>
      <c r="AH38" s="241"/>
      <c r="AI38" s="241"/>
      <c r="AJ38" s="241"/>
      <c r="AK38" s="241"/>
      <c r="AL38" s="241"/>
      <c r="AM38" s="241"/>
      <c r="AN38" s="241"/>
      <c r="AO38" s="241"/>
      <c r="AP38" s="241"/>
      <c r="AQ38" s="241"/>
      <c r="AR38" s="241"/>
      <c r="AS38" s="241"/>
      <c r="AT38" s="241"/>
      <c r="AU38" s="241"/>
      <c r="AV38" s="241" t="str">
        <f>"    " &amp; TEXT(AE38,"#0.00%") &amp; " " &amp; "16주차 주간보고" &amp; "(오승헌님)" &amp; " " &amp; IF(P38="","",TEXT(P38,"M/D-")) &amp; IF(Q38="","",TEXT(Q38,"M/D")) &amp; " "</f>
        <v xml:space="preserve">    0.00% 16주차 주간보고(오승헌님) 6/12-6/12 </v>
      </c>
      <c r="AW38" s="241"/>
      <c r="AX38" s="241"/>
      <c r="AY38" s="241"/>
      <c r="AZ38" s="241"/>
      <c r="BA38" s="241"/>
      <c r="BB38" s="241"/>
      <c r="BC38" s="241"/>
      <c r="BD38" s="241"/>
      <c r="BE38" s="241"/>
      <c r="BF38" s="241"/>
      <c r="BG38" s="241"/>
      <c r="BH38" s="241"/>
      <c r="BI38" s="241"/>
      <c r="BJ38" s="241"/>
      <c r="BK38" s="241"/>
      <c r="BL38" s="241"/>
      <c r="BM38" s="241"/>
      <c r="BN38" s="241"/>
      <c r="BO38" s="241"/>
      <c r="BP38" s="241"/>
      <c r="BQ38" s="241"/>
      <c r="BR38" s="241"/>
      <c r="BS38" s="241"/>
      <c r="BT38" s="241"/>
      <c r="BU38" s="241"/>
      <c r="BV38" s="241"/>
      <c r="BW38" s="241"/>
      <c r="BX38" s="241"/>
      <c r="BY38" s="241"/>
      <c r="BZ38" s="241"/>
      <c r="CA38" s="241"/>
      <c r="CB38" s="241"/>
      <c r="CC38" s="241"/>
      <c r="CD38" s="241"/>
      <c r="CE38" s="241"/>
      <c r="CF38" s="241"/>
      <c r="CG38" s="241"/>
    </row>
    <row r="39" spans="1:85" ht="12" customHeight="1" outlineLevel="3">
      <c r="A39" s="227"/>
      <c r="B39" s="227"/>
      <c r="C39" s="227">
        <v>4</v>
      </c>
      <c r="D39" s="235" t="s">
        <v>1792</v>
      </c>
      <c r="E39" s="228"/>
      <c r="F39" s="228"/>
      <c r="G39" s="228"/>
      <c r="H39" s="228" t="s">
        <v>1625</v>
      </c>
      <c r="I39" s="228"/>
      <c r="J39" s="228"/>
      <c r="K39" s="228"/>
      <c r="L39" s="228"/>
      <c r="M39" s="228"/>
      <c r="N39" s="228"/>
      <c r="O39" s="228"/>
      <c r="P39" s="250">
        <v>45827</v>
      </c>
      <c r="Q39" s="250">
        <v>45827</v>
      </c>
      <c r="R39" s="228"/>
      <c r="S39" s="229">
        <v>0.1</v>
      </c>
      <c r="T39" s="229">
        <v>0</v>
      </c>
      <c r="U39" s="229">
        <v>1</v>
      </c>
      <c r="V39" s="229">
        <v>0</v>
      </c>
      <c r="W39" s="250"/>
      <c r="X39" s="250"/>
      <c r="Y39" s="230"/>
      <c r="Z39" s="231">
        <v>0</v>
      </c>
      <c r="AA39" s="229">
        <v>0.1</v>
      </c>
      <c r="AB39" s="228" t="s">
        <v>1883</v>
      </c>
      <c r="AC39" s="191" t="s">
        <v>1887</v>
      </c>
      <c r="AD39" s="234">
        <v>0</v>
      </c>
      <c r="AE39" s="253">
        <v>0</v>
      </c>
      <c r="AF39" s="240"/>
      <c r="AG39" s="241"/>
      <c r="AH39" s="241"/>
      <c r="AI39" s="241"/>
      <c r="AJ39" s="241"/>
      <c r="AK39" s="241"/>
      <c r="AL39" s="241"/>
      <c r="AM39" s="241"/>
      <c r="AN39" s="241"/>
      <c r="AO39" s="241"/>
      <c r="AP39" s="241"/>
      <c r="AQ39" s="241"/>
      <c r="AR39" s="241"/>
      <c r="AS39" s="241"/>
      <c r="AT39" s="241"/>
      <c r="AU39" s="241"/>
      <c r="AV39" s="241"/>
      <c r="AW39" s="241" t="str">
        <f>"    " &amp; TEXT(AE39,"#0.00%") &amp; " " &amp; "17주차 주간보고" &amp; "(오승헌님)" &amp; " " &amp; IF(P39="","",TEXT(P39,"M/D-")) &amp; IF(Q39="","",TEXT(Q39,"M/D")) &amp; " "</f>
        <v xml:space="preserve">    0.00% 17주차 주간보고(오승헌님) 6/19-6/19 </v>
      </c>
      <c r="AX39" s="241"/>
      <c r="AY39" s="241"/>
      <c r="AZ39" s="241"/>
      <c r="BA39" s="241"/>
      <c r="BB39" s="241"/>
      <c r="BC39" s="241"/>
      <c r="BD39" s="241"/>
      <c r="BE39" s="241"/>
      <c r="BF39" s="241"/>
      <c r="BG39" s="241"/>
      <c r="BH39" s="241"/>
      <c r="BI39" s="241"/>
      <c r="BJ39" s="241"/>
      <c r="BK39" s="241"/>
      <c r="BL39" s="241"/>
      <c r="BM39" s="241"/>
      <c r="BN39" s="241"/>
      <c r="BO39" s="241"/>
      <c r="BP39" s="241"/>
      <c r="BQ39" s="241"/>
      <c r="BR39" s="241"/>
      <c r="BS39" s="241"/>
      <c r="BT39" s="241"/>
      <c r="BU39" s="241"/>
      <c r="BV39" s="241"/>
      <c r="BW39" s="241"/>
      <c r="BX39" s="241"/>
      <c r="BY39" s="241"/>
      <c r="BZ39" s="241"/>
      <c r="CA39" s="241"/>
      <c r="CB39" s="241"/>
      <c r="CC39" s="241"/>
      <c r="CD39" s="241"/>
      <c r="CE39" s="241"/>
      <c r="CF39" s="241"/>
      <c r="CG39" s="241"/>
    </row>
    <row r="40" spans="1:85" ht="12" customHeight="1" outlineLevel="3">
      <c r="A40" s="227"/>
      <c r="B40" s="227"/>
      <c r="C40" s="227">
        <v>4</v>
      </c>
      <c r="D40" s="235" t="s">
        <v>1793</v>
      </c>
      <c r="E40" s="228"/>
      <c r="F40" s="228"/>
      <c r="G40" s="228"/>
      <c r="H40" s="228" t="s">
        <v>1626</v>
      </c>
      <c r="I40" s="228"/>
      <c r="J40" s="228"/>
      <c r="K40" s="228"/>
      <c r="L40" s="228"/>
      <c r="M40" s="228"/>
      <c r="N40" s="228"/>
      <c r="O40" s="228"/>
      <c r="P40" s="250">
        <v>45834</v>
      </c>
      <c r="Q40" s="250">
        <v>45834</v>
      </c>
      <c r="R40" s="228"/>
      <c r="S40" s="229">
        <v>0.1</v>
      </c>
      <c r="T40" s="229">
        <v>0</v>
      </c>
      <c r="U40" s="229">
        <v>1</v>
      </c>
      <c r="V40" s="229">
        <v>0</v>
      </c>
      <c r="W40" s="250"/>
      <c r="X40" s="250"/>
      <c r="Y40" s="230"/>
      <c r="Z40" s="231">
        <v>0</v>
      </c>
      <c r="AA40" s="229">
        <v>0.1</v>
      </c>
      <c r="AB40" s="228" t="s">
        <v>1883</v>
      </c>
      <c r="AC40" s="191" t="s">
        <v>1887</v>
      </c>
      <c r="AD40" s="234">
        <v>0</v>
      </c>
      <c r="AE40" s="253">
        <v>0</v>
      </c>
      <c r="AF40" s="240"/>
      <c r="AG40" s="241"/>
      <c r="AH40" s="241"/>
      <c r="AI40" s="241"/>
      <c r="AJ40" s="241"/>
      <c r="AK40" s="241"/>
      <c r="AL40" s="241"/>
      <c r="AM40" s="241"/>
      <c r="AN40" s="241"/>
      <c r="AO40" s="241"/>
      <c r="AP40" s="241"/>
      <c r="AQ40" s="241"/>
      <c r="AR40" s="241"/>
      <c r="AS40" s="241"/>
      <c r="AT40" s="241"/>
      <c r="AU40" s="241"/>
      <c r="AV40" s="241"/>
      <c r="AW40" s="241"/>
      <c r="AX40" s="241" t="str">
        <f>"    " &amp; TEXT(AE40,"#0.00%") &amp; " " &amp; "18주차 주간보고" &amp; "(오승헌님)" &amp; " " &amp; IF(P40="","",TEXT(P40,"M/D-")) &amp; IF(Q40="","",TEXT(Q40,"M/D")) &amp; " "</f>
        <v xml:space="preserve">    0.00% 18주차 주간보고(오승헌님) 6/26-6/26 </v>
      </c>
      <c r="AY40" s="241"/>
      <c r="AZ40" s="241"/>
      <c r="BA40" s="241"/>
      <c r="BB40" s="241"/>
      <c r="BC40" s="241"/>
      <c r="BD40" s="241"/>
      <c r="BE40" s="241"/>
      <c r="BF40" s="241"/>
      <c r="BG40" s="241"/>
      <c r="BH40" s="241"/>
      <c r="BI40" s="241"/>
      <c r="BJ40" s="241"/>
      <c r="BK40" s="241"/>
      <c r="BL40" s="241"/>
      <c r="BM40" s="241"/>
      <c r="BN40" s="241"/>
      <c r="BO40" s="241"/>
      <c r="BP40" s="241"/>
      <c r="BQ40" s="241"/>
      <c r="BR40" s="241"/>
      <c r="BS40" s="241"/>
      <c r="BT40" s="241"/>
      <c r="BU40" s="241"/>
      <c r="BV40" s="241"/>
      <c r="BW40" s="241"/>
      <c r="BX40" s="241"/>
      <c r="BY40" s="241"/>
      <c r="BZ40" s="241"/>
      <c r="CA40" s="241"/>
      <c r="CB40" s="241"/>
      <c r="CC40" s="241"/>
      <c r="CD40" s="241"/>
      <c r="CE40" s="241"/>
      <c r="CF40" s="241"/>
      <c r="CG40" s="241"/>
    </row>
    <row r="41" spans="1:85" ht="12" customHeight="1" outlineLevel="3">
      <c r="A41" s="227"/>
      <c r="B41" s="227"/>
      <c r="C41" s="227">
        <v>4</v>
      </c>
      <c r="D41" s="235" t="s">
        <v>1794</v>
      </c>
      <c r="E41" s="228"/>
      <c r="F41" s="228"/>
      <c r="G41" s="228"/>
      <c r="H41" s="228" t="s">
        <v>1627</v>
      </c>
      <c r="I41" s="228"/>
      <c r="J41" s="228"/>
      <c r="K41" s="228"/>
      <c r="L41" s="228"/>
      <c r="M41" s="228"/>
      <c r="N41" s="228"/>
      <c r="O41" s="228"/>
      <c r="P41" s="250">
        <v>45841</v>
      </c>
      <c r="Q41" s="250">
        <v>45841</v>
      </c>
      <c r="R41" s="228"/>
      <c r="S41" s="229">
        <v>0.1</v>
      </c>
      <c r="T41" s="229">
        <v>0</v>
      </c>
      <c r="U41" s="229">
        <v>1</v>
      </c>
      <c r="V41" s="229">
        <v>0</v>
      </c>
      <c r="W41" s="250"/>
      <c r="X41" s="250"/>
      <c r="Y41" s="230"/>
      <c r="Z41" s="231">
        <v>0</v>
      </c>
      <c r="AA41" s="229">
        <v>0.1</v>
      </c>
      <c r="AB41" s="228" t="s">
        <v>1883</v>
      </c>
      <c r="AC41" s="191" t="s">
        <v>1887</v>
      </c>
      <c r="AD41" s="234">
        <v>0</v>
      </c>
      <c r="AE41" s="253">
        <v>0</v>
      </c>
      <c r="AF41" s="240"/>
      <c r="AG41" s="241"/>
      <c r="AH41" s="241"/>
      <c r="AI41" s="241"/>
      <c r="AJ41" s="241"/>
      <c r="AK41" s="241"/>
      <c r="AL41" s="241"/>
      <c r="AM41" s="241"/>
      <c r="AN41" s="241"/>
      <c r="AO41" s="241"/>
      <c r="AP41" s="241"/>
      <c r="AQ41" s="241"/>
      <c r="AR41" s="241"/>
      <c r="AS41" s="241"/>
      <c r="AT41" s="241"/>
      <c r="AU41" s="241"/>
      <c r="AV41" s="241"/>
      <c r="AW41" s="241"/>
      <c r="AX41" s="241"/>
      <c r="AY41" s="241" t="str">
        <f>"    " &amp; TEXT(AE41,"#0.00%") &amp; " " &amp; "19주차 주간보고" &amp; "(오승헌님)" &amp; " " &amp; IF(P41="","",TEXT(P41,"M/D-")) &amp; IF(Q41="","",TEXT(Q41,"M/D")) &amp; " "</f>
        <v xml:space="preserve">    0.00% 19주차 주간보고(오승헌님) 7/3-7/3 </v>
      </c>
      <c r="AZ41" s="241"/>
      <c r="BA41" s="241"/>
      <c r="BB41" s="241"/>
      <c r="BC41" s="241"/>
      <c r="BD41" s="241"/>
      <c r="BE41" s="241"/>
      <c r="BF41" s="241"/>
      <c r="BG41" s="241"/>
      <c r="BH41" s="241"/>
      <c r="BI41" s="241"/>
      <c r="BJ41" s="241"/>
      <c r="BK41" s="241"/>
      <c r="BL41" s="241"/>
      <c r="BM41" s="241"/>
      <c r="BN41" s="241"/>
      <c r="BO41" s="241"/>
      <c r="BP41" s="241"/>
      <c r="BQ41" s="241"/>
      <c r="BR41" s="241"/>
      <c r="BS41" s="241"/>
      <c r="BT41" s="241"/>
      <c r="BU41" s="241"/>
      <c r="BV41" s="241"/>
      <c r="BW41" s="241"/>
      <c r="BX41" s="241"/>
      <c r="BY41" s="241"/>
      <c r="BZ41" s="241"/>
      <c r="CA41" s="241"/>
      <c r="CB41" s="241"/>
      <c r="CC41" s="241"/>
      <c r="CD41" s="241"/>
      <c r="CE41" s="241"/>
      <c r="CF41" s="241"/>
      <c r="CG41" s="241"/>
    </row>
    <row r="42" spans="1:85" ht="12" customHeight="1" outlineLevel="3">
      <c r="A42" s="227"/>
      <c r="B42" s="227"/>
      <c r="C42" s="227">
        <v>4</v>
      </c>
      <c r="D42" s="235" t="s">
        <v>1795</v>
      </c>
      <c r="E42" s="228"/>
      <c r="F42" s="228"/>
      <c r="G42" s="228"/>
      <c r="H42" s="228" t="s">
        <v>1628</v>
      </c>
      <c r="I42" s="228"/>
      <c r="J42" s="228"/>
      <c r="K42" s="228"/>
      <c r="L42" s="228"/>
      <c r="M42" s="228"/>
      <c r="N42" s="228"/>
      <c r="O42" s="228"/>
      <c r="P42" s="250">
        <v>45848</v>
      </c>
      <c r="Q42" s="250">
        <v>45848</v>
      </c>
      <c r="R42" s="228"/>
      <c r="S42" s="229">
        <v>0.1</v>
      </c>
      <c r="T42" s="229">
        <v>0</v>
      </c>
      <c r="U42" s="229">
        <v>1</v>
      </c>
      <c r="V42" s="229">
        <v>0</v>
      </c>
      <c r="W42" s="250"/>
      <c r="X42" s="250"/>
      <c r="Y42" s="230"/>
      <c r="Z42" s="231">
        <v>0</v>
      </c>
      <c r="AA42" s="229">
        <v>0.1</v>
      </c>
      <c r="AB42" s="228" t="s">
        <v>1883</v>
      </c>
      <c r="AC42" s="191" t="s">
        <v>1887</v>
      </c>
      <c r="AD42" s="234">
        <v>0</v>
      </c>
      <c r="AE42" s="253">
        <v>0</v>
      </c>
      <c r="AF42" s="240"/>
      <c r="AG42" s="241"/>
      <c r="AH42" s="241"/>
      <c r="AI42" s="241"/>
      <c r="AJ42" s="241"/>
      <c r="AK42" s="241"/>
      <c r="AL42" s="241"/>
      <c r="AM42" s="241"/>
      <c r="AN42" s="241"/>
      <c r="AO42" s="241"/>
      <c r="AP42" s="241"/>
      <c r="AQ42" s="241"/>
      <c r="AR42" s="241"/>
      <c r="AS42" s="241"/>
      <c r="AT42" s="241"/>
      <c r="AU42" s="241"/>
      <c r="AV42" s="241"/>
      <c r="AW42" s="241"/>
      <c r="AX42" s="241"/>
      <c r="AY42" s="241"/>
      <c r="AZ42" s="241" t="str">
        <f>"    " &amp; TEXT(AE42,"#0.00%") &amp; " " &amp; "20주차 주간보고" &amp; "(오승헌님)" &amp; " " &amp; IF(P42="","",TEXT(P42,"M/D-")) &amp; IF(Q42="","",TEXT(Q42,"M/D")) &amp; " "</f>
        <v xml:space="preserve">    0.00% 20주차 주간보고(오승헌님) 7/10-7/10 </v>
      </c>
      <c r="BA42" s="241"/>
      <c r="BB42" s="241"/>
      <c r="BC42" s="241"/>
      <c r="BD42" s="241"/>
      <c r="BE42" s="241"/>
      <c r="BF42" s="241"/>
      <c r="BG42" s="241"/>
      <c r="BH42" s="241"/>
      <c r="BI42" s="241"/>
      <c r="BJ42" s="241"/>
      <c r="BK42" s="241"/>
      <c r="BL42" s="241"/>
      <c r="BM42" s="241"/>
      <c r="BN42" s="241"/>
      <c r="BO42" s="241"/>
      <c r="BP42" s="241"/>
      <c r="BQ42" s="241"/>
      <c r="BR42" s="241"/>
      <c r="BS42" s="241"/>
      <c r="BT42" s="241"/>
      <c r="BU42" s="241"/>
      <c r="BV42" s="241"/>
      <c r="BW42" s="241"/>
      <c r="BX42" s="241"/>
      <c r="BY42" s="241"/>
      <c r="BZ42" s="241"/>
      <c r="CA42" s="241"/>
      <c r="CB42" s="241"/>
      <c r="CC42" s="241"/>
      <c r="CD42" s="241"/>
      <c r="CE42" s="241"/>
      <c r="CF42" s="241"/>
      <c r="CG42" s="241"/>
    </row>
    <row r="43" spans="1:85" ht="12" customHeight="1" outlineLevel="3">
      <c r="A43" s="227"/>
      <c r="B43" s="227"/>
      <c r="C43" s="227">
        <v>4</v>
      </c>
      <c r="D43" s="235" t="s">
        <v>1796</v>
      </c>
      <c r="E43" s="228"/>
      <c r="F43" s="228"/>
      <c r="G43" s="228"/>
      <c r="H43" s="228" t="s">
        <v>1629</v>
      </c>
      <c r="I43" s="228"/>
      <c r="J43" s="228"/>
      <c r="K43" s="228"/>
      <c r="L43" s="228"/>
      <c r="M43" s="228"/>
      <c r="N43" s="228"/>
      <c r="O43" s="228"/>
      <c r="P43" s="250">
        <v>45856</v>
      </c>
      <c r="Q43" s="250">
        <v>45856</v>
      </c>
      <c r="R43" s="228"/>
      <c r="S43" s="229">
        <v>0.1</v>
      </c>
      <c r="T43" s="229">
        <v>0</v>
      </c>
      <c r="U43" s="229">
        <v>1</v>
      </c>
      <c r="V43" s="229">
        <v>0</v>
      </c>
      <c r="W43" s="250"/>
      <c r="X43" s="250"/>
      <c r="Y43" s="230"/>
      <c r="Z43" s="231">
        <v>0</v>
      </c>
      <c r="AA43" s="229">
        <v>0.1</v>
      </c>
      <c r="AB43" s="228" t="s">
        <v>1883</v>
      </c>
      <c r="AC43" s="191" t="s">
        <v>1887</v>
      </c>
      <c r="AD43" s="234">
        <v>0</v>
      </c>
      <c r="AE43" s="253">
        <v>0</v>
      </c>
      <c r="AF43" s="240"/>
      <c r="AG43" s="241"/>
      <c r="AH43" s="241"/>
      <c r="AI43" s="241"/>
      <c r="AJ43" s="241"/>
      <c r="AK43" s="241"/>
      <c r="AL43" s="241"/>
      <c r="AM43" s="241"/>
      <c r="AN43" s="241"/>
      <c r="AO43" s="241"/>
      <c r="AP43" s="241"/>
      <c r="AQ43" s="241"/>
      <c r="AR43" s="241"/>
      <c r="AS43" s="241"/>
      <c r="AT43" s="241"/>
      <c r="AU43" s="241"/>
      <c r="AV43" s="241"/>
      <c r="AW43" s="241"/>
      <c r="AX43" s="241"/>
      <c r="AY43" s="241"/>
      <c r="AZ43" s="241"/>
      <c r="BA43" s="241" t="str">
        <f>"     " &amp; TEXT(AE43,"#0.00%") &amp; " " &amp; "21주차 주간보고" &amp; "(오승헌님)" &amp; " " &amp; IF(P43="","",TEXT(P43,"M/D-")) &amp; IF(Q43="","",TEXT(Q43,"M/D")) &amp; " "</f>
        <v xml:space="preserve">     0.00% 21주차 주간보고(오승헌님) 7/18-7/18 </v>
      </c>
      <c r="BB43" s="241"/>
      <c r="BC43" s="241"/>
      <c r="BD43" s="241"/>
      <c r="BE43" s="241"/>
      <c r="BF43" s="241"/>
      <c r="BG43" s="241"/>
      <c r="BH43" s="241"/>
      <c r="BI43" s="241"/>
      <c r="BJ43" s="241"/>
      <c r="BK43" s="241"/>
      <c r="BL43" s="241"/>
      <c r="BM43" s="241"/>
      <c r="BN43" s="241"/>
      <c r="BO43" s="241"/>
      <c r="BP43" s="241"/>
      <c r="BQ43" s="241"/>
      <c r="BR43" s="241"/>
      <c r="BS43" s="241"/>
      <c r="BT43" s="241"/>
      <c r="BU43" s="241"/>
      <c r="BV43" s="241"/>
      <c r="BW43" s="241"/>
      <c r="BX43" s="241"/>
      <c r="BY43" s="241"/>
      <c r="BZ43" s="241"/>
      <c r="CA43" s="241"/>
      <c r="CB43" s="241"/>
      <c r="CC43" s="241"/>
      <c r="CD43" s="241"/>
      <c r="CE43" s="241"/>
      <c r="CF43" s="241"/>
      <c r="CG43" s="241"/>
    </row>
    <row r="44" spans="1:85" ht="12" customHeight="1" outlineLevel="3">
      <c r="A44" s="227"/>
      <c r="B44" s="227"/>
      <c r="C44" s="227">
        <v>4</v>
      </c>
      <c r="D44" s="235" t="s">
        <v>1797</v>
      </c>
      <c r="E44" s="228"/>
      <c r="F44" s="228"/>
      <c r="G44" s="228"/>
      <c r="H44" s="228" t="s">
        <v>1630</v>
      </c>
      <c r="I44" s="228"/>
      <c r="J44" s="228"/>
      <c r="K44" s="228"/>
      <c r="L44" s="228"/>
      <c r="M44" s="228"/>
      <c r="N44" s="228"/>
      <c r="O44" s="228"/>
      <c r="P44" s="250">
        <v>45862</v>
      </c>
      <c r="Q44" s="250">
        <v>45862</v>
      </c>
      <c r="R44" s="228"/>
      <c r="S44" s="229">
        <v>0.1</v>
      </c>
      <c r="T44" s="229">
        <v>0</v>
      </c>
      <c r="U44" s="229">
        <v>1</v>
      </c>
      <c r="V44" s="229">
        <v>0</v>
      </c>
      <c r="W44" s="250"/>
      <c r="X44" s="250"/>
      <c r="Y44" s="230"/>
      <c r="Z44" s="231">
        <v>0</v>
      </c>
      <c r="AA44" s="229">
        <v>0.1</v>
      </c>
      <c r="AB44" s="228" t="s">
        <v>1883</v>
      </c>
      <c r="AC44" s="191" t="s">
        <v>1887</v>
      </c>
      <c r="AD44" s="234">
        <v>0</v>
      </c>
      <c r="AE44" s="253">
        <v>0</v>
      </c>
      <c r="AF44" s="240"/>
      <c r="AG44" s="241"/>
      <c r="AH44" s="241"/>
      <c r="AI44" s="241"/>
      <c r="AJ44" s="241"/>
      <c r="AK44" s="241"/>
      <c r="AL44" s="241"/>
      <c r="AM44" s="241"/>
      <c r="AN44" s="241"/>
      <c r="AO44" s="241"/>
      <c r="AP44" s="241"/>
      <c r="AQ44" s="241"/>
      <c r="AR44" s="241"/>
      <c r="AS44" s="241"/>
      <c r="AT44" s="241"/>
      <c r="AU44" s="241"/>
      <c r="AV44" s="241"/>
      <c r="AW44" s="241"/>
      <c r="AX44" s="241"/>
      <c r="AY44" s="241"/>
      <c r="AZ44" s="241"/>
      <c r="BA44" s="241"/>
      <c r="BB44" s="241" t="str">
        <f>"    " &amp; TEXT(AE44,"#0.00%") &amp; " " &amp; "22주차 주간보고" &amp; "(오승헌님)" &amp; " " &amp; IF(P44="","",TEXT(P44,"M/D-")) &amp; IF(Q44="","",TEXT(Q44,"M/D")) &amp; " "</f>
        <v xml:space="preserve">    0.00% 22주차 주간보고(오승헌님) 7/24-7/24 </v>
      </c>
      <c r="BC44" s="241"/>
      <c r="BD44" s="241"/>
      <c r="BE44" s="241"/>
      <c r="BF44" s="241"/>
      <c r="BG44" s="241"/>
      <c r="BH44" s="241"/>
      <c r="BI44" s="241"/>
      <c r="BJ44" s="241"/>
      <c r="BK44" s="241"/>
      <c r="BL44" s="241"/>
      <c r="BM44" s="241"/>
      <c r="BN44" s="241"/>
      <c r="BO44" s="241"/>
      <c r="BP44" s="241"/>
      <c r="BQ44" s="241"/>
      <c r="BR44" s="241"/>
      <c r="BS44" s="241"/>
      <c r="BT44" s="241"/>
      <c r="BU44" s="241"/>
      <c r="BV44" s="241"/>
      <c r="BW44" s="241"/>
      <c r="BX44" s="241"/>
      <c r="BY44" s="241"/>
      <c r="BZ44" s="241"/>
      <c r="CA44" s="241"/>
      <c r="CB44" s="241"/>
      <c r="CC44" s="241"/>
      <c r="CD44" s="241"/>
      <c r="CE44" s="241"/>
      <c r="CF44" s="241"/>
      <c r="CG44" s="241"/>
    </row>
    <row r="45" spans="1:85" ht="12" customHeight="1" outlineLevel="3">
      <c r="A45" s="227"/>
      <c r="B45" s="227"/>
      <c r="C45" s="227">
        <v>4</v>
      </c>
      <c r="D45" s="235" t="s">
        <v>1798</v>
      </c>
      <c r="E45" s="228"/>
      <c r="F45" s="228"/>
      <c r="G45" s="228"/>
      <c r="H45" s="228" t="s">
        <v>1631</v>
      </c>
      <c r="I45" s="228"/>
      <c r="J45" s="228"/>
      <c r="K45" s="228"/>
      <c r="L45" s="228"/>
      <c r="M45" s="228"/>
      <c r="N45" s="228"/>
      <c r="O45" s="228"/>
      <c r="P45" s="250">
        <v>45869</v>
      </c>
      <c r="Q45" s="250">
        <v>45869</v>
      </c>
      <c r="R45" s="228"/>
      <c r="S45" s="229">
        <v>0.1</v>
      </c>
      <c r="T45" s="229">
        <v>0</v>
      </c>
      <c r="U45" s="229">
        <v>1</v>
      </c>
      <c r="V45" s="229">
        <v>0</v>
      </c>
      <c r="W45" s="250"/>
      <c r="X45" s="250"/>
      <c r="Y45" s="230"/>
      <c r="Z45" s="231">
        <v>0</v>
      </c>
      <c r="AA45" s="229">
        <v>0.1</v>
      </c>
      <c r="AB45" s="228" t="s">
        <v>1883</v>
      </c>
      <c r="AC45" s="191" t="s">
        <v>1887</v>
      </c>
      <c r="AD45" s="234">
        <v>0</v>
      </c>
      <c r="AE45" s="253">
        <v>0</v>
      </c>
      <c r="AF45" s="240"/>
      <c r="AG45" s="241"/>
      <c r="AH45" s="241"/>
      <c r="AI45" s="241"/>
      <c r="AJ45" s="241"/>
      <c r="AK45" s="241"/>
      <c r="AL45" s="241"/>
      <c r="AM45" s="241"/>
      <c r="AN45" s="241"/>
      <c r="AO45" s="241"/>
      <c r="AP45" s="241"/>
      <c r="AQ45" s="241"/>
      <c r="AR45" s="241"/>
      <c r="AS45" s="241"/>
      <c r="AT45" s="241"/>
      <c r="AU45" s="241"/>
      <c r="AV45" s="241"/>
      <c r="AW45" s="241"/>
      <c r="AX45" s="241"/>
      <c r="AY45" s="241"/>
      <c r="AZ45" s="241"/>
      <c r="BA45" s="241"/>
      <c r="BB45" s="241"/>
      <c r="BC45" s="241" t="str">
        <f>"    " &amp; TEXT(AE45,"#0.00%") &amp; " " &amp; "23주차 주간보고" &amp; "(오승헌님)" &amp; " " &amp; IF(P45="","",TEXT(P45,"M/D-")) &amp; IF(Q45="","",TEXT(Q45,"M/D")) &amp; " "</f>
        <v xml:space="preserve">    0.00% 23주차 주간보고(오승헌님) 7/31-7/31 </v>
      </c>
      <c r="BD45" s="241"/>
      <c r="BE45" s="241"/>
      <c r="BF45" s="241"/>
      <c r="BG45" s="241"/>
      <c r="BH45" s="241"/>
      <c r="BI45" s="241"/>
      <c r="BJ45" s="241"/>
      <c r="BK45" s="241"/>
      <c r="BL45" s="241"/>
      <c r="BM45" s="241"/>
      <c r="BN45" s="241"/>
      <c r="BO45" s="241"/>
      <c r="BP45" s="241"/>
      <c r="BQ45" s="241"/>
      <c r="BR45" s="241"/>
      <c r="BS45" s="241"/>
      <c r="BT45" s="241"/>
      <c r="BU45" s="241"/>
      <c r="BV45" s="241"/>
      <c r="BW45" s="241"/>
      <c r="BX45" s="241"/>
      <c r="BY45" s="241"/>
      <c r="BZ45" s="241"/>
      <c r="CA45" s="241"/>
      <c r="CB45" s="241"/>
      <c r="CC45" s="241"/>
      <c r="CD45" s="241"/>
      <c r="CE45" s="241"/>
      <c r="CF45" s="241"/>
      <c r="CG45" s="241"/>
    </row>
    <row r="46" spans="1:85" ht="12" customHeight="1" outlineLevel="3">
      <c r="A46" s="227"/>
      <c r="B46" s="227"/>
      <c r="C46" s="227">
        <v>4</v>
      </c>
      <c r="D46" s="235" t="s">
        <v>1799</v>
      </c>
      <c r="E46" s="228"/>
      <c r="F46" s="228"/>
      <c r="G46" s="228"/>
      <c r="H46" s="228" t="s">
        <v>1632</v>
      </c>
      <c r="I46" s="228"/>
      <c r="J46" s="228"/>
      <c r="K46" s="228"/>
      <c r="L46" s="228"/>
      <c r="M46" s="228"/>
      <c r="N46" s="228"/>
      <c r="O46" s="228"/>
      <c r="P46" s="250">
        <v>45876</v>
      </c>
      <c r="Q46" s="250">
        <v>45876</v>
      </c>
      <c r="R46" s="228"/>
      <c r="S46" s="229">
        <v>0.1</v>
      </c>
      <c r="T46" s="229">
        <v>0</v>
      </c>
      <c r="U46" s="229">
        <v>1</v>
      </c>
      <c r="V46" s="229">
        <v>0</v>
      </c>
      <c r="W46" s="250"/>
      <c r="X46" s="250"/>
      <c r="Y46" s="230"/>
      <c r="Z46" s="231">
        <v>0</v>
      </c>
      <c r="AA46" s="229">
        <v>0.1</v>
      </c>
      <c r="AB46" s="228" t="s">
        <v>1883</v>
      </c>
      <c r="AC46" s="191" t="s">
        <v>1887</v>
      </c>
      <c r="AD46" s="234">
        <v>0</v>
      </c>
      <c r="AE46" s="253">
        <v>0</v>
      </c>
      <c r="AF46" s="240"/>
      <c r="AG46" s="241"/>
      <c r="AH46" s="241"/>
      <c r="AI46" s="241"/>
      <c r="AJ46" s="241"/>
      <c r="AK46" s="241"/>
      <c r="AL46" s="241"/>
      <c r="AM46" s="241"/>
      <c r="AN46" s="241"/>
      <c r="AO46" s="241"/>
      <c r="AP46" s="241"/>
      <c r="AQ46" s="241"/>
      <c r="AR46" s="241"/>
      <c r="AS46" s="241"/>
      <c r="AT46" s="241"/>
      <c r="AU46" s="241"/>
      <c r="AV46" s="241"/>
      <c r="AW46" s="241"/>
      <c r="AX46" s="241"/>
      <c r="AY46" s="241"/>
      <c r="AZ46" s="241"/>
      <c r="BA46" s="241"/>
      <c r="BB46" s="241"/>
      <c r="BC46" s="241"/>
      <c r="BD46" s="241" t="str">
        <f>"    " &amp; TEXT(AE46,"#0.00%") &amp; " " &amp; "24주차 주간보고" &amp; "(오승헌님)" &amp; " " &amp; IF(P46="","",TEXT(P46,"M/D-")) &amp; IF(Q46="","",TEXT(Q46,"M/D")) &amp; " "</f>
        <v xml:space="preserve">    0.00% 24주차 주간보고(오승헌님) 8/7-8/7 </v>
      </c>
      <c r="BE46" s="241"/>
      <c r="BF46" s="241"/>
      <c r="BG46" s="241"/>
      <c r="BH46" s="241"/>
      <c r="BI46" s="241"/>
      <c r="BJ46" s="241"/>
      <c r="BK46" s="241"/>
      <c r="BL46" s="241"/>
      <c r="BM46" s="241"/>
      <c r="BN46" s="241"/>
      <c r="BO46" s="241"/>
      <c r="BP46" s="241"/>
      <c r="BQ46" s="241"/>
      <c r="BR46" s="241"/>
      <c r="BS46" s="241"/>
      <c r="BT46" s="241"/>
      <c r="BU46" s="241"/>
      <c r="BV46" s="241"/>
      <c r="BW46" s="241"/>
      <c r="BX46" s="241"/>
      <c r="BY46" s="241"/>
      <c r="BZ46" s="241"/>
      <c r="CA46" s="241"/>
      <c r="CB46" s="241"/>
      <c r="CC46" s="241"/>
      <c r="CD46" s="241"/>
      <c r="CE46" s="241"/>
      <c r="CF46" s="241"/>
      <c r="CG46" s="241"/>
    </row>
    <row r="47" spans="1:85" ht="12" customHeight="1" outlineLevel="3">
      <c r="A47" s="227"/>
      <c r="B47" s="227"/>
      <c r="C47" s="227">
        <v>4</v>
      </c>
      <c r="D47" s="235" t="s">
        <v>1800</v>
      </c>
      <c r="E47" s="228"/>
      <c r="F47" s="228"/>
      <c r="G47" s="228"/>
      <c r="H47" s="228" t="s">
        <v>1633</v>
      </c>
      <c r="I47" s="228"/>
      <c r="J47" s="228"/>
      <c r="K47" s="228"/>
      <c r="L47" s="228"/>
      <c r="M47" s="228"/>
      <c r="N47" s="228"/>
      <c r="O47" s="228"/>
      <c r="P47" s="250">
        <v>45883</v>
      </c>
      <c r="Q47" s="250">
        <v>45883</v>
      </c>
      <c r="R47" s="228"/>
      <c r="S47" s="229">
        <v>0.1</v>
      </c>
      <c r="T47" s="229">
        <v>0</v>
      </c>
      <c r="U47" s="229">
        <v>1</v>
      </c>
      <c r="V47" s="229">
        <v>0</v>
      </c>
      <c r="W47" s="250"/>
      <c r="X47" s="250"/>
      <c r="Y47" s="230"/>
      <c r="Z47" s="231">
        <v>0</v>
      </c>
      <c r="AA47" s="229">
        <v>0.1</v>
      </c>
      <c r="AB47" s="228" t="s">
        <v>1883</v>
      </c>
      <c r="AC47" s="191" t="s">
        <v>1887</v>
      </c>
      <c r="AD47" s="234">
        <v>0</v>
      </c>
      <c r="AE47" s="253">
        <v>0</v>
      </c>
      <c r="AF47" s="240"/>
      <c r="AG47" s="241"/>
      <c r="AH47" s="241"/>
      <c r="AI47" s="241"/>
      <c r="AJ47" s="241"/>
      <c r="AK47" s="241"/>
      <c r="AL47" s="241"/>
      <c r="AM47" s="241"/>
      <c r="AN47" s="241"/>
      <c r="AO47" s="241"/>
      <c r="AP47" s="241"/>
      <c r="AQ47" s="241"/>
      <c r="AR47" s="241"/>
      <c r="AS47" s="241"/>
      <c r="AT47" s="241"/>
      <c r="AU47" s="241"/>
      <c r="AV47" s="241"/>
      <c r="AW47" s="241"/>
      <c r="AX47" s="241"/>
      <c r="AY47" s="241"/>
      <c r="AZ47" s="241"/>
      <c r="BA47" s="241"/>
      <c r="BB47" s="241"/>
      <c r="BC47" s="241"/>
      <c r="BD47" s="241"/>
      <c r="BE47" s="241" t="str">
        <f>"    " &amp; TEXT(AE47,"#0.00%") &amp; " " &amp; "25주차 주간보고" &amp; "(오승헌님)" &amp; " " &amp; IF(P47="","",TEXT(P47,"M/D-")) &amp; IF(Q47="","",TEXT(Q47,"M/D")) &amp; " "</f>
        <v xml:space="preserve">    0.00% 25주차 주간보고(오승헌님) 8/14-8/14 </v>
      </c>
      <c r="BF47" s="241"/>
      <c r="BG47" s="241"/>
      <c r="BH47" s="241"/>
      <c r="BI47" s="241"/>
      <c r="BJ47" s="241"/>
      <c r="BK47" s="241"/>
      <c r="BL47" s="241"/>
      <c r="BM47" s="241"/>
      <c r="BN47" s="241"/>
      <c r="BO47" s="241"/>
      <c r="BP47" s="241"/>
      <c r="BQ47" s="241"/>
      <c r="BR47" s="241"/>
      <c r="BS47" s="241"/>
      <c r="BT47" s="241"/>
      <c r="BU47" s="241"/>
      <c r="BV47" s="241"/>
      <c r="BW47" s="241"/>
      <c r="BX47" s="241"/>
      <c r="BY47" s="241"/>
      <c r="BZ47" s="241"/>
      <c r="CA47" s="241"/>
      <c r="CB47" s="241"/>
      <c r="CC47" s="241"/>
      <c r="CD47" s="241"/>
      <c r="CE47" s="241"/>
      <c r="CF47" s="241"/>
      <c r="CG47" s="241"/>
    </row>
    <row r="48" spans="1:85" ht="12" customHeight="1" outlineLevel="3">
      <c r="A48" s="227"/>
      <c r="B48" s="227"/>
      <c r="C48" s="227">
        <v>4</v>
      </c>
      <c r="D48" s="235" t="s">
        <v>1801</v>
      </c>
      <c r="E48" s="228"/>
      <c r="F48" s="228"/>
      <c r="G48" s="228"/>
      <c r="H48" s="228" t="s">
        <v>1634</v>
      </c>
      <c r="I48" s="228"/>
      <c r="J48" s="228"/>
      <c r="K48" s="228"/>
      <c r="L48" s="228"/>
      <c r="M48" s="228"/>
      <c r="N48" s="228"/>
      <c r="O48" s="228"/>
      <c r="P48" s="250">
        <v>45890</v>
      </c>
      <c r="Q48" s="250">
        <v>45890</v>
      </c>
      <c r="R48" s="228"/>
      <c r="S48" s="229">
        <v>0.1</v>
      </c>
      <c r="T48" s="229">
        <v>0</v>
      </c>
      <c r="U48" s="229">
        <v>1</v>
      </c>
      <c r="V48" s="229">
        <v>0</v>
      </c>
      <c r="W48" s="250"/>
      <c r="X48" s="250"/>
      <c r="Y48" s="230"/>
      <c r="Z48" s="231">
        <v>0</v>
      </c>
      <c r="AA48" s="229">
        <v>0.1</v>
      </c>
      <c r="AB48" s="228" t="s">
        <v>1883</v>
      </c>
      <c r="AC48" s="191" t="s">
        <v>1887</v>
      </c>
      <c r="AD48" s="234">
        <v>0</v>
      </c>
      <c r="AE48" s="253">
        <v>0</v>
      </c>
      <c r="AF48" s="240"/>
      <c r="AG48" s="241"/>
      <c r="AH48" s="241"/>
      <c r="AI48" s="241"/>
      <c r="AJ48" s="241"/>
      <c r="AK48" s="241"/>
      <c r="AL48" s="241"/>
      <c r="AM48" s="241"/>
      <c r="AN48" s="241"/>
      <c r="AO48" s="241"/>
      <c r="AP48" s="241"/>
      <c r="AQ48" s="241"/>
      <c r="AR48" s="241"/>
      <c r="AS48" s="241"/>
      <c r="AT48" s="241"/>
      <c r="AU48" s="241"/>
      <c r="AV48" s="241"/>
      <c r="AW48" s="241"/>
      <c r="AX48" s="241"/>
      <c r="AY48" s="241"/>
      <c r="AZ48" s="241"/>
      <c r="BA48" s="241"/>
      <c r="BB48" s="241"/>
      <c r="BC48" s="241"/>
      <c r="BD48" s="241"/>
      <c r="BE48" s="241"/>
      <c r="BF48" s="241" t="str">
        <f>"    " &amp; TEXT(AE48,"#0.00%") &amp; " " &amp; "26주차 주간보고" &amp; "(오승헌님)" &amp; " " &amp; IF(P48="","",TEXT(P48,"M/D-")) &amp; IF(Q48="","",TEXT(Q48,"M/D")) &amp; " "</f>
        <v xml:space="preserve">    0.00% 26주차 주간보고(오승헌님) 8/21-8/21 </v>
      </c>
      <c r="BG48" s="241"/>
      <c r="BH48" s="241"/>
      <c r="BI48" s="241"/>
      <c r="BJ48" s="241"/>
      <c r="BK48" s="241"/>
      <c r="BL48" s="241"/>
      <c r="BM48" s="241"/>
      <c r="BN48" s="241"/>
      <c r="BO48" s="241"/>
      <c r="BP48" s="241"/>
      <c r="BQ48" s="241"/>
      <c r="BR48" s="241"/>
      <c r="BS48" s="241"/>
      <c r="BT48" s="241"/>
      <c r="BU48" s="241"/>
      <c r="BV48" s="241"/>
      <c r="BW48" s="241"/>
      <c r="BX48" s="241"/>
      <c r="BY48" s="241"/>
      <c r="BZ48" s="241"/>
      <c r="CA48" s="241"/>
      <c r="CB48" s="241"/>
      <c r="CC48" s="241"/>
      <c r="CD48" s="241"/>
      <c r="CE48" s="241"/>
      <c r="CF48" s="241"/>
      <c r="CG48" s="241"/>
    </row>
    <row r="49" spans="1:85" ht="12" customHeight="1" outlineLevel="3">
      <c r="A49" s="227"/>
      <c r="B49" s="227"/>
      <c r="C49" s="227">
        <v>4</v>
      </c>
      <c r="D49" s="235" t="s">
        <v>1802</v>
      </c>
      <c r="E49" s="228"/>
      <c r="F49" s="228"/>
      <c r="G49" s="228"/>
      <c r="H49" s="228" t="s">
        <v>1635</v>
      </c>
      <c r="I49" s="228"/>
      <c r="J49" s="228"/>
      <c r="K49" s="228"/>
      <c r="L49" s="228"/>
      <c r="M49" s="228"/>
      <c r="N49" s="228"/>
      <c r="O49" s="228"/>
      <c r="P49" s="250">
        <v>45897</v>
      </c>
      <c r="Q49" s="250">
        <v>45897</v>
      </c>
      <c r="R49" s="228"/>
      <c r="S49" s="229">
        <v>0.1</v>
      </c>
      <c r="T49" s="229">
        <v>0</v>
      </c>
      <c r="U49" s="229">
        <v>1</v>
      </c>
      <c r="V49" s="229">
        <v>0</v>
      </c>
      <c r="W49" s="250"/>
      <c r="X49" s="250"/>
      <c r="Y49" s="230"/>
      <c r="Z49" s="231">
        <v>0</v>
      </c>
      <c r="AA49" s="229">
        <v>0.1</v>
      </c>
      <c r="AB49" s="228" t="s">
        <v>1883</v>
      </c>
      <c r="AC49" s="191" t="s">
        <v>1887</v>
      </c>
      <c r="AD49" s="234">
        <v>0</v>
      </c>
      <c r="AE49" s="253">
        <v>0</v>
      </c>
      <c r="AF49" s="240"/>
      <c r="AG49" s="241"/>
      <c r="AH49" s="241"/>
      <c r="AI49" s="241"/>
      <c r="AJ49" s="241"/>
      <c r="AK49" s="241"/>
      <c r="AL49" s="241"/>
      <c r="AM49" s="241"/>
      <c r="AN49" s="241"/>
      <c r="AO49" s="241"/>
      <c r="AP49" s="241"/>
      <c r="AQ49" s="241"/>
      <c r="AR49" s="241"/>
      <c r="AS49" s="241"/>
      <c r="AT49" s="241"/>
      <c r="AU49" s="241"/>
      <c r="AV49" s="241"/>
      <c r="AW49" s="241"/>
      <c r="AX49" s="241"/>
      <c r="AY49" s="241"/>
      <c r="AZ49" s="241"/>
      <c r="BA49" s="241"/>
      <c r="BB49" s="241"/>
      <c r="BC49" s="241"/>
      <c r="BD49" s="241"/>
      <c r="BE49" s="241"/>
      <c r="BF49" s="241"/>
      <c r="BG49" s="241" t="str">
        <f>"    " &amp; TEXT(AE49,"#0.00%") &amp; " " &amp; "27주차 주간보고" &amp; "(오승헌님)" &amp; " " &amp; IF(P49="","",TEXT(P49,"M/D-")) &amp; IF(Q49="","",TEXT(Q49,"M/D")) &amp; " "</f>
        <v xml:space="preserve">    0.00% 27주차 주간보고(오승헌님) 8/28-8/28 </v>
      </c>
      <c r="BH49" s="241"/>
      <c r="BI49" s="241"/>
      <c r="BJ49" s="241"/>
      <c r="BK49" s="241"/>
      <c r="BL49" s="241"/>
      <c r="BM49" s="241"/>
      <c r="BN49" s="241"/>
      <c r="BO49" s="241"/>
      <c r="BP49" s="241"/>
      <c r="BQ49" s="241"/>
      <c r="BR49" s="241"/>
      <c r="BS49" s="241"/>
      <c r="BT49" s="241"/>
      <c r="BU49" s="241"/>
      <c r="BV49" s="241"/>
      <c r="BW49" s="241"/>
      <c r="BX49" s="241"/>
      <c r="BY49" s="241"/>
      <c r="BZ49" s="241"/>
      <c r="CA49" s="241"/>
      <c r="CB49" s="241"/>
      <c r="CC49" s="241"/>
      <c r="CD49" s="241"/>
      <c r="CE49" s="241"/>
      <c r="CF49" s="241"/>
      <c r="CG49" s="241"/>
    </row>
    <row r="50" spans="1:85" ht="12" customHeight="1" outlineLevel="3">
      <c r="A50" s="227"/>
      <c r="B50" s="227"/>
      <c r="C50" s="227">
        <v>4</v>
      </c>
      <c r="D50" s="235" t="s">
        <v>1803</v>
      </c>
      <c r="E50" s="228"/>
      <c r="F50" s="228"/>
      <c r="G50" s="228"/>
      <c r="H50" s="228" t="s">
        <v>1636</v>
      </c>
      <c r="I50" s="228"/>
      <c r="J50" s="228"/>
      <c r="K50" s="228"/>
      <c r="L50" s="228"/>
      <c r="M50" s="228"/>
      <c r="N50" s="228"/>
      <c r="O50" s="228"/>
      <c r="P50" s="250">
        <v>45904</v>
      </c>
      <c r="Q50" s="250">
        <v>45904</v>
      </c>
      <c r="R50" s="228"/>
      <c r="S50" s="229">
        <v>0.1</v>
      </c>
      <c r="T50" s="229">
        <v>0</v>
      </c>
      <c r="U50" s="229">
        <v>1</v>
      </c>
      <c r="V50" s="229">
        <v>0</v>
      </c>
      <c r="W50" s="250"/>
      <c r="X50" s="250"/>
      <c r="Y50" s="230"/>
      <c r="Z50" s="231">
        <v>0</v>
      </c>
      <c r="AA50" s="229">
        <v>0.1</v>
      </c>
      <c r="AB50" s="228" t="s">
        <v>1883</v>
      </c>
      <c r="AC50" s="191" t="s">
        <v>1887</v>
      </c>
      <c r="AD50" s="234">
        <v>0</v>
      </c>
      <c r="AE50" s="253">
        <v>0</v>
      </c>
      <c r="AF50" s="240"/>
      <c r="AG50" s="241"/>
      <c r="AH50" s="241"/>
      <c r="AI50" s="241"/>
      <c r="AJ50" s="241"/>
      <c r="AK50" s="241"/>
      <c r="AL50" s="241"/>
      <c r="AM50" s="241"/>
      <c r="AN50" s="241"/>
      <c r="AO50" s="241"/>
      <c r="AP50" s="241"/>
      <c r="AQ50" s="241"/>
      <c r="AR50" s="241"/>
      <c r="AS50" s="241"/>
      <c r="AT50" s="241"/>
      <c r="AU50" s="241"/>
      <c r="AV50" s="241"/>
      <c r="AW50" s="241"/>
      <c r="AX50" s="241"/>
      <c r="AY50" s="241"/>
      <c r="AZ50" s="241"/>
      <c r="BA50" s="241"/>
      <c r="BB50" s="241"/>
      <c r="BC50" s="241"/>
      <c r="BD50" s="241"/>
      <c r="BE50" s="241"/>
      <c r="BF50" s="241"/>
      <c r="BG50" s="241"/>
      <c r="BH50" s="241" t="str">
        <f>"    " &amp; TEXT(AE50,"#0.00%") &amp; " " &amp; "28주차 주간보고" &amp; "(오승헌님)" &amp; " " &amp; IF(P50="","",TEXT(P50,"M/D-")) &amp; IF(Q50="","",TEXT(Q50,"M/D")) &amp; " "</f>
        <v xml:space="preserve">    0.00% 28주차 주간보고(오승헌님) 9/4-9/4 </v>
      </c>
      <c r="BI50" s="241"/>
      <c r="BJ50" s="241"/>
      <c r="BK50" s="241"/>
      <c r="BL50" s="241"/>
      <c r="BM50" s="241"/>
      <c r="BN50" s="241"/>
      <c r="BO50" s="241"/>
      <c r="BP50" s="241"/>
      <c r="BQ50" s="241"/>
      <c r="BR50" s="241"/>
      <c r="BS50" s="241"/>
      <c r="BT50" s="241"/>
      <c r="BU50" s="241"/>
      <c r="BV50" s="241"/>
      <c r="BW50" s="241"/>
      <c r="BX50" s="241"/>
      <c r="BY50" s="241"/>
      <c r="BZ50" s="241"/>
      <c r="CA50" s="241"/>
      <c r="CB50" s="241"/>
      <c r="CC50" s="241"/>
      <c r="CD50" s="241"/>
      <c r="CE50" s="241"/>
      <c r="CF50" s="241"/>
      <c r="CG50" s="241"/>
    </row>
    <row r="51" spans="1:85" ht="12" customHeight="1" outlineLevel="3">
      <c r="A51" s="227"/>
      <c r="B51" s="227"/>
      <c r="C51" s="227">
        <v>4</v>
      </c>
      <c r="D51" s="235" t="s">
        <v>1804</v>
      </c>
      <c r="E51" s="228"/>
      <c r="F51" s="228"/>
      <c r="G51" s="228"/>
      <c r="H51" s="228" t="s">
        <v>1637</v>
      </c>
      <c r="I51" s="228"/>
      <c r="J51" s="228"/>
      <c r="K51" s="228"/>
      <c r="L51" s="228"/>
      <c r="M51" s="228"/>
      <c r="N51" s="228"/>
      <c r="O51" s="228"/>
      <c r="P51" s="250">
        <v>45911</v>
      </c>
      <c r="Q51" s="250">
        <v>45911</v>
      </c>
      <c r="R51" s="228"/>
      <c r="S51" s="229">
        <v>0.1</v>
      </c>
      <c r="T51" s="229">
        <v>0</v>
      </c>
      <c r="U51" s="229">
        <v>1</v>
      </c>
      <c r="V51" s="229">
        <v>0</v>
      </c>
      <c r="W51" s="250"/>
      <c r="X51" s="250"/>
      <c r="Y51" s="230"/>
      <c r="Z51" s="231">
        <v>0</v>
      </c>
      <c r="AA51" s="229">
        <v>0.1</v>
      </c>
      <c r="AB51" s="228" t="s">
        <v>1883</v>
      </c>
      <c r="AC51" s="191" t="s">
        <v>1887</v>
      </c>
      <c r="AD51" s="234">
        <v>0</v>
      </c>
      <c r="AE51" s="253">
        <v>0</v>
      </c>
      <c r="AF51" s="240"/>
      <c r="AG51" s="241"/>
      <c r="AH51" s="241"/>
      <c r="AI51" s="241"/>
      <c r="AJ51" s="241"/>
      <c r="AK51" s="241"/>
      <c r="AL51" s="241"/>
      <c r="AM51" s="241"/>
      <c r="AN51" s="241"/>
      <c r="AO51" s="241"/>
      <c r="AP51" s="241"/>
      <c r="AQ51" s="241"/>
      <c r="AR51" s="241"/>
      <c r="AS51" s="241"/>
      <c r="AT51" s="241"/>
      <c r="AU51" s="241"/>
      <c r="AV51" s="241"/>
      <c r="AW51" s="241"/>
      <c r="AX51" s="241"/>
      <c r="AY51" s="241"/>
      <c r="AZ51" s="241"/>
      <c r="BA51" s="241"/>
      <c r="BB51" s="241"/>
      <c r="BC51" s="241"/>
      <c r="BD51" s="241"/>
      <c r="BE51" s="241"/>
      <c r="BF51" s="241"/>
      <c r="BG51" s="241"/>
      <c r="BH51" s="241"/>
      <c r="BI51" s="241" t="str">
        <f>"    " &amp; TEXT(AE51,"#0.00%") &amp; " " &amp; "29주차 주간보고" &amp; "(오승헌님)" &amp; " " &amp; IF(P51="","",TEXT(P51,"M/D-")) &amp; IF(Q51="","",TEXT(Q51,"M/D")) &amp; " "</f>
        <v xml:space="preserve">    0.00% 29주차 주간보고(오승헌님) 9/11-9/11 </v>
      </c>
      <c r="BJ51" s="241"/>
      <c r="BK51" s="241"/>
      <c r="BL51" s="241"/>
      <c r="BM51" s="241"/>
      <c r="BN51" s="241"/>
      <c r="BO51" s="241"/>
      <c r="BP51" s="241"/>
      <c r="BQ51" s="241"/>
      <c r="BR51" s="241"/>
      <c r="BS51" s="241"/>
      <c r="BT51" s="241"/>
      <c r="BU51" s="241"/>
      <c r="BV51" s="241"/>
      <c r="BW51" s="241"/>
      <c r="BX51" s="241"/>
      <c r="BY51" s="241"/>
      <c r="BZ51" s="241"/>
      <c r="CA51" s="241"/>
      <c r="CB51" s="241"/>
      <c r="CC51" s="241"/>
      <c r="CD51" s="241"/>
      <c r="CE51" s="241"/>
      <c r="CF51" s="241"/>
      <c r="CG51" s="241"/>
    </row>
    <row r="52" spans="1:85" ht="12" customHeight="1" outlineLevel="3">
      <c r="A52" s="227"/>
      <c r="B52" s="227"/>
      <c r="C52" s="227">
        <v>4</v>
      </c>
      <c r="D52" s="235" t="s">
        <v>1805</v>
      </c>
      <c r="E52" s="228"/>
      <c r="F52" s="228"/>
      <c r="G52" s="228"/>
      <c r="H52" s="228" t="s">
        <v>1638</v>
      </c>
      <c r="I52" s="228"/>
      <c r="J52" s="228"/>
      <c r="K52" s="228"/>
      <c r="L52" s="228"/>
      <c r="M52" s="228"/>
      <c r="N52" s="228"/>
      <c r="O52" s="228"/>
      <c r="P52" s="250">
        <v>45918</v>
      </c>
      <c r="Q52" s="250">
        <v>45918</v>
      </c>
      <c r="R52" s="228"/>
      <c r="S52" s="229">
        <v>0.1</v>
      </c>
      <c r="T52" s="229">
        <v>0</v>
      </c>
      <c r="U52" s="229">
        <v>1</v>
      </c>
      <c r="V52" s="229">
        <v>0</v>
      </c>
      <c r="W52" s="250"/>
      <c r="X52" s="250"/>
      <c r="Y52" s="230"/>
      <c r="Z52" s="231">
        <v>0</v>
      </c>
      <c r="AA52" s="229">
        <v>0.1</v>
      </c>
      <c r="AB52" s="228" t="s">
        <v>1883</v>
      </c>
      <c r="AC52" s="191" t="s">
        <v>1887</v>
      </c>
      <c r="AD52" s="234">
        <v>0</v>
      </c>
      <c r="AE52" s="253">
        <v>0</v>
      </c>
      <c r="AF52" s="240"/>
      <c r="AG52" s="241"/>
      <c r="AH52" s="241"/>
      <c r="AI52" s="241"/>
      <c r="AJ52" s="241"/>
      <c r="AK52" s="241"/>
      <c r="AL52" s="241"/>
      <c r="AM52" s="241"/>
      <c r="AN52" s="241"/>
      <c r="AO52" s="241"/>
      <c r="AP52" s="241"/>
      <c r="AQ52" s="241"/>
      <c r="AR52" s="241"/>
      <c r="AS52" s="241"/>
      <c r="AT52" s="241"/>
      <c r="AU52" s="241"/>
      <c r="AV52" s="241"/>
      <c r="AW52" s="241"/>
      <c r="AX52" s="241"/>
      <c r="AY52" s="241"/>
      <c r="AZ52" s="241"/>
      <c r="BA52" s="241"/>
      <c r="BB52" s="241"/>
      <c r="BC52" s="241"/>
      <c r="BD52" s="241"/>
      <c r="BE52" s="241"/>
      <c r="BF52" s="241"/>
      <c r="BG52" s="241"/>
      <c r="BH52" s="241"/>
      <c r="BI52" s="241"/>
      <c r="BJ52" s="241" t="str">
        <f>"    " &amp; TEXT(AE52,"#0.00%") &amp; " " &amp; "30주차 주간보고" &amp; "(오승헌님)" &amp; " " &amp; IF(P52="","",TEXT(P52,"M/D-")) &amp; IF(Q52="","",TEXT(Q52,"M/D")) &amp; " "</f>
        <v xml:space="preserve">    0.00% 30주차 주간보고(오승헌님) 9/18-9/18 </v>
      </c>
      <c r="BK52" s="241"/>
      <c r="BL52" s="241"/>
      <c r="BM52" s="241"/>
      <c r="BN52" s="241"/>
      <c r="BO52" s="241"/>
      <c r="BP52" s="241"/>
      <c r="BQ52" s="241"/>
      <c r="BR52" s="241"/>
      <c r="BS52" s="241"/>
      <c r="BT52" s="241"/>
      <c r="BU52" s="241"/>
      <c r="BV52" s="241"/>
      <c r="BW52" s="241"/>
      <c r="BX52" s="241"/>
      <c r="BY52" s="241"/>
      <c r="BZ52" s="241"/>
      <c r="CA52" s="241"/>
      <c r="CB52" s="241"/>
      <c r="CC52" s="241"/>
      <c r="CD52" s="241"/>
      <c r="CE52" s="241"/>
      <c r="CF52" s="241"/>
      <c r="CG52" s="241"/>
    </row>
    <row r="53" spans="1:85" ht="12" customHeight="1" outlineLevel="3">
      <c r="A53" s="227"/>
      <c r="B53" s="227"/>
      <c r="C53" s="227">
        <v>4</v>
      </c>
      <c r="D53" s="235" t="s">
        <v>1806</v>
      </c>
      <c r="E53" s="228"/>
      <c r="F53" s="228"/>
      <c r="G53" s="228"/>
      <c r="H53" s="228" t="s">
        <v>1639</v>
      </c>
      <c r="I53" s="228"/>
      <c r="J53" s="228"/>
      <c r="K53" s="228"/>
      <c r="L53" s="228"/>
      <c r="M53" s="228"/>
      <c r="N53" s="228"/>
      <c r="O53" s="228"/>
      <c r="P53" s="250">
        <v>45925</v>
      </c>
      <c r="Q53" s="250">
        <v>45925</v>
      </c>
      <c r="R53" s="228"/>
      <c r="S53" s="229">
        <v>0.1</v>
      </c>
      <c r="T53" s="229">
        <v>0</v>
      </c>
      <c r="U53" s="229">
        <v>1</v>
      </c>
      <c r="V53" s="229">
        <v>0</v>
      </c>
      <c r="W53" s="250"/>
      <c r="X53" s="250"/>
      <c r="Y53" s="230"/>
      <c r="Z53" s="231">
        <v>0</v>
      </c>
      <c r="AA53" s="229">
        <v>0.1</v>
      </c>
      <c r="AB53" s="228" t="s">
        <v>1883</v>
      </c>
      <c r="AC53" s="191" t="s">
        <v>1887</v>
      </c>
      <c r="AD53" s="234">
        <v>0</v>
      </c>
      <c r="AE53" s="253">
        <v>0</v>
      </c>
      <c r="AF53" s="240"/>
      <c r="AG53" s="241"/>
      <c r="AH53" s="241"/>
      <c r="AI53" s="241"/>
      <c r="AJ53" s="241"/>
      <c r="AK53" s="241"/>
      <c r="AL53" s="241"/>
      <c r="AM53" s="241"/>
      <c r="AN53" s="241"/>
      <c r="AO53" s="241"/>
      <c r="AP53" s="241"/>
      <c r="AQ53" s="241"/>
      <c r="AR53" s="241"/>
      <c r="AS53" s="241"/>
      <c r="AT53" s="241"/>
      <c r="AU53" s="241"/>
      <c r="AV53" s="241"/>
      <c r="AW53" s="241"/>
      <c r="AX53" s="241"/>
      <c r="AY53" s="241"/>
      <c r="AZ53" s="241"/>
      <c r="BA53" s="241"/>
      <c r="BB53" s="241"/>
      <c r="BC53" s="241"/>
      <c r="BD53" s="241"/>
      <c r="BE53" s="241"/>
      <c r="BF53" s="241"/>
      <c r="BG53" s="241"/>
      <c r="BH53" s="241"/>
      <c r="BI53" s="241"/>
      <c r="BJ53" s="241"/>
      <c r="BK53" s="241" t="str">
        <f>"    " &amp; TEXT(AE53,"#0.00%") &amp; " " &amp; "31주차 주간보고" &amp; "(오승헌님)" &amp; " " &amp; IF(P53="","",TEXT(P53,"M/D-")) &amp; IF(Q53="","",TEXT(Q53,"M/D")) &amp; " "</f>
        <v xml:space="preserve">    0.00% 31주차 주간보고(오승헌님) 9/25-9/25 </v>
      </c>
      <c r="BL53" s="241"/>
      <c r="BM53" s="241"/>
      <c r="BN53" s="241"/>
      <c r="BO53" s="241"/>
      <c r="BP53" s="241"/>
      <c r="BQ53" s="241"/>
      <c r="BR53" s="241"/>
      <c r="BS53" s="241"/>
      <c r="BT53" s="241"/>
      <c r="BU53" s="241"/>
      <c r="BV53" s="241"/>
      <c r="BW53" s="241"/>
      <c r="BX53" s="241"/>
      <c r="BY53" s="241"/>
      <c r="BZ53" s="241"/>
      <c r="CA53" s="241"/>
      <c r="CB53" s="241"/>
      <c r="CC53" s="241"/>
      <c r="CD53" s="241"/>
      <c r="CE53" s="241"/>
      <c r="CF53" s="241"/>
      <c r="CG53" s="241"/>
    </row>
    <row r="54" spans="1:85" ht="12" customHeight="1" outlineLevel="3">
      <c r="A54" s="227"/>
      <c r="B54" s="227"/>
      <c r="C54" s="227">
        <v>4</v>
      </c>
      <c r="D54" s="235" t="s">
        <v>1807</v>
      </c>
      <c r="E54" s="228"/>
      <c r="F54" s="228"/>
      <c r="G54" s="228"/>
      <c r="H54" s="228" t="s">
        <v>1640</v>
      </c>
      <c r="I54" s="228"/>
      <c r="J54" s="228"/>
      <c r="K54" s="228"/>
      <c r="L54" s="228"/>
      <c r="M54" s="228"/>
      <c r="N54" s="228"/>
      <c r="O54" s="228"/>
      <c r="P54" s="250">
        <v>45932</v>
      </c>
      <c r="Q54" s="250">
        <v>45932</v>
      </c>
      <c r="R54" s="228"/>
      <c r="S54" s="229">
        <v>0.1</v>
      </c>
      <c r="T54" s="229">
        <v>0</v>
      </c>
      <c r="U54" s="229">
        <v>1</v>
      </c>
      <c r="V54" s="229">
        <v>0</v>
      </c>
      <c r="W54" s="250"/>
      <c r="X54" s="250"/>
      <c r="Y54" s="230"/>
      <c r="Z54" s="231">
        <v>0</v>
      </c>
      <c r="AA54" s="229">
        <v>0.1</v>
      </c>
      <c r="AB54" s="228" t="s">
        <v>1883</v>
      </c>
      <c r="AC54" s="191" t="s">
        <v>1887</v>
      </c>
      <c r="AD54" s="234">
        <v>0</v>
      </c>
      <c r="AE54" s="253">
        <v>0</v>
      </c>
      <c r="AF54" s="240"/>
      <c r="AG54" s="241"/>
      <c r="AH54" s="241"/>
      <c r="AI54" s="241"/>
      <c r="AJ54" s="241"/>
      <c r="AK54" s="241"/>
      <c r="AL54" s="241"/>
      <c r="AM54" s="241"/>
      <c r="AN54" s="241"/>
      <c r="AO54" s="241"/>
      <c r="AP54" s="241"/>
      <c r="AQ54" s="241"/>
      <c r="AR54" s="241"/>
      <c r="AS54" s="241"/>
      <c r="AT54" s="241"/>
      <c r="AU54" s="241"/>
      <c r="AV54" s="241"/>
      <c r="AW54" s="241"/>
      <c r="AX54" s="241"/>
      <c r="AY54" s="241"/>
      <c r="AZ54" s="241"/>
      <c r="BA54" s="241"/>
      <c r="BB54" s="241"/>
      <c r="BC54" s="241"/>
      <c r="BD54" s="241"/>
      <c r="BE54" s="241"/>
      <c r="BF54" s="241"/>
      <c r="BG54" s="241"/>
      <c r="BH54" s="241"/>
      <c r="BI54" s="241"/>
      <c r="BJ54" s="241"/>
      <c r="BK54" s="241"/>
      <c r="BL54" s="241" t="str">
        <f>"    " &amp; TEXT(AE54,"#0.00%") &amp; " " &amp; "32주차 주간보고" &amp; "(오승헌님)" &amp; " " &amp; IF(P54="","",TEXT(P54,"M/D-")) &amp; IF(Q54="","",TEXT(Q54,"M/D")) &amp; " "</f>
        <v xml:space="preserve">    0.00% 32주차 주간보고(오승헌님) 10/2-10/2 </v>
      </c>
      <c r="BM54" s="241"/>
      <c r="BN54" s="241"/>
      <c r="BO54" s="241"/>
      <c r="BP54" s="241"/>
      <c r="BQ54" s="241"/>
      <c r="BR54" s="241"/>
      <c r="BS54" s="241"/>
      <c r="BT54" s="241"/>
      <c r="BU54" s="241"/>
      <c r="BV54" s="241"/>
      <c r="BW54" s="241"/>
      <c r="BX54" s="241"/>
      <c r="BY54" s="241"/>
      <c r="BZ54" s="241"/>
      <c r="CA54" s="241"/>
      <c r="CB54" s="241"/>
      <c r="CC54" s="241"/>
      <c r="CD54" s="241"/>
      <c r="CE54" s="241"/>
      <c r="CF54" s="241"/>
      <c r="CG54" s="241"/>
    </row>
    <row r="55" spans="1:85" ht="12" customHeight="1" outlineLevel="3">
      <c r="A55" s="227">
        <v>1</v>
      </c>
      <c r="B55" s="227"/>
      <c r="C55" s="227">
        <v>4</v>
      </c>
      <c r="D55" s="235" t="s">
        <v>1808</v>
      </c>
      <c r="E55" s="228"/>
      <c r="F55" s="228"/>
      <c r="G55" s="228"/>
      <c r="H55" s="228" t="s">
        <v>1641</v>
      </c>
      <c r="I55" s="228"/>
      <c r="J55" s="228"/>
      <c r="K55" s="228"/>
      <c r="L55" s="228"/>
      <c r="M55" s="228"/>
      <c r="N55" s="228"/>
      <c r="O55" s="228"/>
      <c r="P55" s="250">
        <v>45940</v>
      </c>
      <c r="Q55" s="250">
        <v>45940</v>
      </c>
      <c r="R55" s="228"/>
      <c r="S55" s="229">
        <v>0</v>
      </c>
      <c r="T55" s="229">
        <v>0</v>
      </c>
      <c r="U55" s="229">
        <v>1</v>
      </c>
      <c r="V55" s="229">
        <v>0</v>
      </c>
      <c r="W55" s="250"/>
      <c r="X55" s="250"/>
      <c r="Y55" s="230"/>
      <c r="Z55" s="231">
        <v>0</v>
      </c>
      <c r="AA55" s="229">
        <v>0.1</v>
      </c>
      <c r="AB55" s="228" t="s">
        <v>1883</v>
      </c>
      <c r="AC55" s="191" t="s">
        <v>1887</v>
      </c>
      <c r="AD55" s="234">
        <v>0</v>
      </c>
      <c r="AE55" s="253">
        <v>0</v>
      </c>
      <c r="AF55" s="240"/>
      <c r="AG55" s="241"/>
      <c r="AH55" s="241"/>
      <c r="AI55" s="241"/>
      <c r="AJ55" s="241"/>
      <c r="AK55" s="241"/>
      <c r="AL55" s="241"/>
      <c r="AM55" s="241"/>
      <c r="AN55" s="241"/>
      <c r="AO55" s="241"/>
      <c r="AP55" s="241"/>
      <c r="AQ55" s="241"/>
      <c r="AR55" s="241"/>
      <c r="AS55" s="241"/>
      <c r="AT55" s="241"/>
      <c r="AU55" s="241"/>
      <c r="AV55" s="241"/>
      <c r="AW55" s="241"/>
      <c r="AX55" s="241"/>
      <c r="AY55" s="241"/>
      <c r="AZ55" s="241"/>
      <c r="BA55" s="241"/>
      <c r="BB55" s="241"/>
      <c r="BC55" s="241"/>
      <c r="BD55" s="241"/>
      <c r="BE55" s="241"/>
      <c r="BF55" s="241"/>
      <c r="BG55" s="241"/>
      <c r="BH55" s="241"/>
      <c r="BI55" s="241"/>
      <c r="BJ55" s="241"/>
      <c r="BK55" s="241"/>
      <c r="BL55" s="241"/>
      <c r="BM55" s="241" t="str">
        <f>"         " &amp; TEXT(AE55,"#0.00%") &amp; " " &amp; "33주차 주간보고" &amp; "(오승헌님)" &amp; " " &amp; IF(P55="","",TEXT(P55,"M/D-")) &amp; IF(Q55="","",TEXT(Q55,"M/D")) &amp; " "</f>
        <v xml:space="preserve">         0.00% 33주차 주간보고(오승헌님) 10/10-10/10 </v>
      </c>
      <c r="BN55" s="241"/>
      <c r="BO55" s="241"/>
      <c r="BP55" s="241"/>
      <c r="BQ55" s="241"/>
      <c r="BR55" s="241"/>
      <c r="BS55" s="241"/>
      <c r="BT55" s="241"/>
      <c r="BU55" s="241"/>
      <c r="BV55" s="241"/>
      <c r="BW55" s="241"/>
      <c r="BX55" s="241"/>
      <c r="BY55" s="241"/>
      <c r="BZ55" s="241"/>
      <c r="CA55" s="241"/>
      <c r="CB55" s="241"/>
      <c r="CC55" s="241"/>
      <c r="CD55" s="241"/>
      <c r="CE55" s="241"/>
      <c r="CF55" s="241"/>
      <c r="CG55" s="241"/>
    </row>
    <row r="56" spans="1:85" ht="12" customHeight="1" outlineLevel="3">
      <c r="A56" s="227"/>
      <c r="B56" s="227"/>
      <c r="C56" s="227">
        <v>4</v>
      </c>
      <c r="D56" s="235" t="s">
        <v>1809</v>
      </c>
      <c r="E56" s="228"/>
      <c r="F56" s="228"/>
      <c r="G56" s="228"/>
      <c r="H56" s="228" t="s">
        <v>1642</v>
      </c>
      <c r="I56" s="228"/>
      <c r="J56" s="228"/>
      <c r="K56" s="228"/>
      <c r="L56" s="228"/>
      <c r="M56" s="228"/>
      <c r="N56" s="228"/>
      <c r="O56" s="228"/>
      <c r="P56" s="250">
        <v>45946</v>
      </c>
      <c r="Q56" s="250">
        <v>45946</v>
      </c>
      <c r="R56" s="228"/>
      <c r="S56" s="229">
        <v>0.1</v>
      </c>
      <c r="T56" s="229">
        <v>0</v>
      </c>
      <c r="U56" s="229">
        <v>1</v>
      </c>
      <c r="V56" s="229">
        <v>0</v>
      </c>
      <c r="W56" s="250"/>
      <c r="X56" s="250"/>
      <c r="Y56" s="230"/>
      <c r="Z56" s="231">
        <v>0</v>
      </c>
      <c r="AA56" s="229">
        <v>0.1</v>
      </c>
      <c r="AB56" s="228" t="s">
        <v>1883</v>
      </c>
      <c r="AC56" s="191" t="s">
        <v>1887</v>
      </c>
      <c r="AD56" s="234">
        <v>0</v>
      </c>
      <c r="AE56" s="253">
        <v>0</v>
      </c>
      <c r="AF56" s="240"/>
      <c r="AG56" s="241"/>
      <c r="AH56" s="241"/>
      <c r="AI56" s="241"/>
      <c r="AJ56" s="241"/>
      <c r="AK56" s="241"/>
      <c r="AL56" s="241"/>
      <c r="AM56" s="241"/>
      <c r="AN56" s="241"/>
      <c r="AO56" s="241"/>
      <c r="AP56" s="241"/>
      <c r="AQ56" s="241"/>
      <c r="AR56" s="241"/>
      <c r="AS56" s="241"/>
      <c r="AT56" s="241"/>
      <c r="AU56" s="241"/>
      <c r="AV56" s="241"/>
      <c r="AW56" s="241"/>
      <c r="AX56" s="241"/>
      <c r="AY56" s="241"/>
      <c r="AZ56" s="241"/>
      <c r="BA56" s="241"/>
      <c r="BB56" s="241"/>
      <c r="BC56" s="241"/>
      <c r="BD56" s="241"/>
      <c r="BE56" s="241"/>
      <c r="BF56" s="241"/>
      <c r="BG56" s="241"/>
      <c r="BH56" s="241"/>
      <c r="BI56" s="241"/>
      <c r="BJ56" s="241"/>
      <c r="BK56" s="241"/>
      <c r="BL56" s="241"/>
      <c r="BM56" s="241"/>
      <c r="BN56" s="241" t="str">
        <f>"    " &amp; TEXT(AE56,"#0.00%") &amp; " " &amp; "34주차 주간보고" &amp; "(오승헌님)" &amp; " " &amp; IF(P56="","",TEXT(P56,"M/D-")) &amp; IF(Q56="","",TEXT(Q56,"M/D")) &amp; " "</f>
        <v xml:space="preserve">    0.00% 34주차 주간보고(오승헌님) 10/16-10/16 </v>
      </c>
      <c r="BO56" s="241"/>
      <c r="BP56" s="241"/>
      <c r="BQ56" s="241"/>
      <c r="BR56" s="241"/>
      <c r="BS56" s="241"/>
      <c r="BT56" s="241"/>
      <c r="BU56" s="241"/>
      <c r="BV56" s="241"/>
      <c r="BW56" s="241"/>
      <c r="BX56" s="241"/>
      <c r="BY56" s="241"/>
      <c r="BZ56" s="241"/>
      <c r="CA56" s="241"/>
      <c r="CB56" s="241"/>
      <c r="CC56" s="241"/>
      <c r="CD56" s="241"/>
      <c r="CE56" s="241"/>
      <c r="CF56" s="241"/>
      <c r="CG56" s="241"/>
    </row>
    <row r="57" spans="1:85" ht="12" customHeight="1" outlineLevel="3">
      <c r="A57" s="227"/>
      <c r="B57" s="227"/>
      <c r="C57" s="227">
        <v>4</v>
      </c>
      <c r="D57" s="235" t="s">
        <v>1810</v>
      </c>
      <c r="E57" s="228"/>
      <c r="F57" s="228"/>
      <c r="G57" s="228"/>
      <c r="H57" s="228" t="s">
        <v>1643</v>
      </c>
      <c r="I57" s="228"/>
      <c r="J57" s="228"/>
      <c r="K57" s="228"/>
      <c r="L57" s="228"/>
      <c r="M57" s="228"/>
      <c r="N57" s="228"/>
      <c r="O57" s="228"/>
      <c r="P57" s="250">
        <v>45953</v>
      </c>
      <c r="Q57" s="250">
        <v>45953</v>
      </c>
      <c r="R57" s="228"/>
      <c r="S57" s="229">
        <v>0.1</v>
      </c>
      <c r="T57" s="229">
        <v>0</v>
      </c>
      <c r="U57" s="229">
        <v>1</v>
      </c>
      <c r="V57" s="229">
        <v>0</v>
      </c>
      <c r="W57" s="250"/>
      <c r="X57" s="250"/>
      <c r="Y57" s="230"/>
      <c r="Z57" s="231">
        <v>0</v>
      </c>
      <c r="AA57" s="229">
        <v>0.1</v>
      </c>
      <c r="AB57" s="228" t="s">
        <v>1883</v>
      </c>
      <c r="AC57" s="191" t="s">
        <v>1887</v>
      </c>
      <c r="AD57" s="234">
        <v>0</v>
      </c>
      <c r="AE57" s="253">
        <v>0</v>
      </c>
      <c r="AF57" s="240"/>
      <c r="AG57" s="241"/>
      <c r="AH57" s="241"/>
      <c r="AI57" s="241"/>
      <c r="AJ57" s="241"/>
      <c r="AK57" s="241"/>
      <c r="AL57" s="241"/>
      <c r="AM57" s="241"/>
      <c r="AN57" s="241"/>
      <c r="AO57" s="241"/>
      <c r="AP57" s="241"/>
      <c r="AQ57" s="241"/>
      <c r="AR57" s="241"/>
      <c r="AS57" s="241"/>
      <c r="AT57" s="241"/>
      <c r="AU57" s="241"/>
      <c r="AV57" s="241"/>
      <c r="AW57" s="241"/>
      <c r="AX57" s="241"/>
      <c r="AY57" s="241"/>
      <c r="AZ57" s="241"/>
      <c r="BA57" s="241"/>
      <c r="BB57" s="241"/>
      <c r="BC57" s="241"/>
      <c r="BD57" s="241"/>
      <c r="BE57" s="241"/>
      <c r="BF57" s="241"/>
      <c r="BG57" s="241"/>
      <c r="BH57" s="241"/>
      <c r="BI57" s="241"/>
      <c r="BJ57" s="241"/>
      <c r="BK57" s="241"/>
      <c r="BL57" s="241"/>
      <c r="BM57" s="241"/>
      <c r="BN57" s="241"/>
      <c r="BO57" s="241" t="str">
        <f>"    " &amp; TEXT(AE57,"#0.00%") &amp; " " &amp; "35주차 주간보고" &amp; "(오승헌님)" &amp; " " &amp; IF(P57="","",TEXT(P57,"M/D-")) &amp; IF(Q57="","",TEXT(Q57,"M/D")) &amp; " "</f>
        <v xml:space="preserve">    0.00% 35주차 주간보고(오승헌님) 10/23-10/23 </v>
      </c>
      <c r="BP57" s="241"/>
      <c r="BQ57" s="241"/>
      <c r="BR57" s="241"/>
      <c r="BS57" s="241"/>
      <c r="BT57" s="241"/>
      <c r="BU57" s="241"/>
      <c r="BV57" s="241"/>
      <c r="BW57" s="241"/>
      <c r="BX57" s="241"/>
      <c r="BY57" s="241"/>
      <c r="BZ57" s="241"/>
      <c r="CA57" s="241"/>
      <c r="CB57" s="241"/>
      <c r="CC57" s="241"/>
      <c r="CD57" s="241"/>
      <c r="CE57" s="241"/>
      <c r="CF57" s="241"/>
      <c r="CG57" s="241"/>
    </row>
    <row r="58" spans="1:85" ht="12" customHeight="1" outlineLevel="3">
      <c r="A58" s="227"/>
      <c r="B58" s="227"/>
      <c r="C58" s="227">
        <v>4</v>
      </c>
      <c r="D58" s="235" t="s">
        <v>1811</v>
      </c>
      <c r="E58" s="228"/>
      <c r="F58" s="228"/>
      <c r="G58" s="228"/>
      <c r="H58" s="228" t="s">
        <v>1644</v>
      </c>
      <c r="I58" s="228"/>
      <c r="J58" s="228"/>
      <c r="K58" s="228"/>
      <c r="L58" s="228"/>
      <c r="M58" s="228"/>
      <c r="N58" s="228"/>
      <c r="O58" s="228"/>
      <c r="P58" s="250">
        <v>45960</v>
      </c>
      <c r="Q58" s="250">
        <v>45960</v>
      </c>
      <c r="R58" s="228"/>
      <c r="S58" s="229">
        <v>0.1</v>
      </c>
      <c r="T58" s="229">
        <v>0</v>
      </c>
      <c r="U58" s="229">
        <v>1</v>
      </c>
      <c r="V58" s="229">
        <v>0</v>
      </c>
      <c r="W58" s="250"/>
      <c r="X58" s="250"/>
      <c r="Y58" s="230"/>
      <c r="Z58" s="231">
        <v>0</v>
      </c>
      <c r="AA58" s="229">
        <v>0.1</v>
      </c>
      <c r="AB58" s="228" t="s">
        <v>1883</v>
      </c>
      <c r="AC58" s="191" t="s">
        <v>1887</v>
      </c>
      <c r="AD58" s="234">
        <v>0</v>
      </c>
      <c r="AE58" s="253">
        <v>0</v>
      </c>
      <c r="AF58" s="240"/>
      <c r="AG58" s="241"/>
      <c r="AH58" s="241"/>
      <c r="AI58" s="241"/>
      <c r="AJ58" s="241"/>
      <c r="AK58" s="241"/>
      <c r="AL58" s="241"/>
      <c r="AM58" s="241"/>
      <c r="AN58" s="241"/>
      <c r="AO58" s="241"/>
      <c r="AP58" s="241"/>
      <c r="AQ58" s="241"/>
      <c r="AR58" s="241"/>
      <c r="AS58" s="241"/>
      <c r="AT58" s="241"/>
      <c r="AU58" s="241"/>
      <c r="AV58" s="241"/>
      <c r="AW58" s="241"/>
      <c r="AX58" s="241"/>
      <c r="AY58" s="241"/>
      <c r="AZ58" s="241"/>
      <c r="BA58" s="241"/>
      <c r="BB58" s="241"/>
      <c r="BC58" s="241"/>
      <c r="BD58" s="241"/>
      <c r="BE58" s="241"/>
      <c r="BF58" s="241"/>
      <c r="BG58" s="241"/>
      <c r="BH58" s="241"/>
      <c r="BI58" s="241"/>
      <c r="BJ58" s="241"/>
      <c r="BK58" s="241"/>
      <c r="BL58" s="241"/>
      <c r="BM58" s="241"/>
      <c r="BN58" s="241"/>
      <c r="BO58" s="241"/>
      <c r="BP58" s="241" t="str">
        <f>"    " &amp; TEXT(AE58,"#0.00%") &amp; " " &amp; "36주차 주간보고" &amp; "(오승헌님)" &amp; " " &amp; IF(P58="","",TEXT(P58,"M/D-")) &amp; IF(Q58="","",TEXT(Q58,"M/D")) &amp; " "</f>
        <v xml:space="preserve">    0.00% 36주차 주간보고(오승헌님) 10/30-10/30 </v>
      </c>
      <c r="BQ58" s="241"/>
      <c r="BR58" s="241"/>
      <c r="BS58" s="241"/>
      <c r="BT58" s="241"/>
      <c r="BU58" s="241"/>
      <c r="BV58" s="241"/>
      <c r="BW58" s="241"/>
      <c r="BX58" s="241"/>
      <c r="BY58" s="241"/>
      <c r="BZ58" s="241"/>
      <c r="CA58" s="241"/>
      <c r="CB58" s="241"/>
      <c r="CC58" s="241"/>
      <c r="CD58" s="241"/>
      <c r="CE58" s="241"/>
      <c r="CF58" s="241"/>
      <c r="CG58" s="241"/>
    </row>
    <row r="59" spans="1:85" ht="12" customHeight="1" outlineLevel="3">
      <c r="A59" s="227" t="s">
        <v>1750</v>
      </c>
      <c r="B59" s="227"/>
      <c r="C59" s="227">
        <v>4</v>
      </c>
      <c r="D59" s="235" t="s">
        <v>1812</v>
      </c>
      <c r="E59" s="228"/>
      <c r="F59" s="228"/>
      <c r="G59" s="228"/>
      <c r="H59" s="228" t="s">
        <v>1645</v>
      </c>
      <c r="I59" s="228"/>
      <c r="J59" s="228"/>
      <c r="K59" s="228"/>
      <c r="L59" s="228"/>
      <c r="M59" s="228"/>
      <c r="N59" s="228"/>
      <c r="O59" s="228"/>
      <c r="P59" s="250">
        <v>45967</v>
      </c>
      <c r="Q59" s="250">
        <v>45967</v>
      </c>
      <c r="R59" s="228"/>
      <c r="S59" s="229">
        <v>0.1</v>
      </c>
      <c r="T59" s="229">
        <v>0</v>
      </c>
      <c r="U59" s="229">
        <v>1</v>
      </c>
      <c r="V59" s="229">
        <v>0</v>
      </c>
      <c r="W59" s="250"/>
      <c r="X59" s="250"/>
      <c r="Y59" s="230"/>
      <c r="Z59" s="231">
        <v>0</v>
      </c>
      <c r="AA59" s="229">
        <v>0.1</v>
      </c>
      <c r="AB59" s="228" t="s">
        <v>1883</v>
      </c>
      <c r="AC59" s="191" t="s">
        <v>1887</v>
      </c>
      <c r="AD59" s="234">
        <v>0</v>
      </c>
      <c r="AE59" s="253">
        <v>0</v>
      </c>
      <c r="AF59" s="240"/>
      <c r="AG59" s="241"/>
      <c r="AH59" s="241"/>
      <c r="AI59" s="241"/>
      <c r="AJ59" s="241"/>
      <c r="AK59" s="241"/>
      <c r="AL59" s="241"/>
      <c r="AM59" s="241"/>
      <c r="AN59" s="241"/>
      <c r="AO59" s="241"/>
      <c r="AP59" s="241"/>
      <c r="AQ59" s="241"/>
      <c r="AR59" s="241"/>
      <c r="AS59" s="241"/>
      <c r="AT59" s="241"/>
      <c r="AU59" s="241"/>
      <c r="AV59" s="241"/>
      <c r="AW59" s="241"/>
      <c r="AX59" s="241"/>
      <c r="AY59" s="241"/>
      <c r="AZ59" s="241"/>
      <c r="BA59" s="241"/>
      <c r="BB59" s="241"/>
      <c r="BC59" s="241"/>
      <c r="BD59" s="241"/>
      <c r="BE59" s="241"/>
      <c r="BF59" s="241"/>
      <c r="BG59" s="241"/>
      <c r="BH59" s="241"/>
      <c r="BI59" s="241"/>
      <c r="BJ59" s="241"/>
      <c r="BK59" s="241"/>
      <c r="BL59" s="241"/>
      <c r="BM59" s="241"/>
      <c r="BN59" s="241"/>
      <c r="BO59" s="241"/>
      <c r="BP59" s="241"/>
      <c r="BQ59" s="241" t="str">
        <f>"    " &amp; TEXT(AE59,"#0.00%") &amp; " " &amp; "37주차 주간보고" &amp; "(오승헌님)" &amp; " " &amp; IF(P59="","",TEXT(P59,"M/D-")) &amp; IF(Q59="","",TEXT(Q59,"M/D")) &amp; " "</f>
        <v xml:space="preserve">    0.00% 37주차 주간보고(오승헌님) 11/6-11/6 </v>
      </c>
      <c r="BR59" s="241"/>
      <c r="BS59" s="241"/>
      <c r="BT59" s="241"/>
      <c r="BU59" s="241"/>
      <c r="BV59" s="241"/>
      <c r="BW59" s="241"/>
      <c r="BX59" s="241"/>
      <c r="BY59" s="241"/>
      <c r="BZ59" s="241"/>
      <c r="CA59" s="241"/>
      <c r="CB59" s="241"/>
      <c r="CC59" s="241"/>
      <c r="CD59" s="241"/>
      <c r="CE59" s="241"/>
      <c r="CF59" s="241"/>
      <c r="CG59" s="241"/>
    </row>
    <row r="60" spans="1:85" ht="12" customHeight="1" outlineLevel="3">
      <c r="A60" s="227"/>
      <c r="B60" s="227"/>
      <c r="C60" s="227">
        <v>4</v>
      </c>
      <c r="D60" s="235" t="s">
        <v>1813</v>
      </c>
      <c r="E60" s="228"/>
      <c r="F60" s="228"/>
      <c r="G60" s="228"/>
      <c r="H60" s="228" t="s">
        <v>1646</v>
      </c>
      <c r="I60" s="228"/>
      <c r="J60" s="228"/>
      <c r="K60" s="228"/>
      <c r="L60" s="228"/>
      <c r="M60" s="228"/>
      <c r="N60" s="228"/>
      <c r="O60" s="228"/>
      <c r="P60" s="250">
        <v>45974</v>
      </c>
      <c r="Q60" s="250">
        <v>45974</v>
      </c>
      <c r="R60" s="228"/>
      <c r="S60" s="229">
        <v>0.1</v>
      </c>
      <c r="T60" s="229">
        <v>0</v>
      </c>
      <c r="U60" s="229">
        <v>1</v>
      </c>
      <c r="V60" s="229">
        <v>0</v>
      </c>
      <c r="W60" s="250"/>
      <c r="X60" s="250"/>
      <c r="Y60" s="230"/>
      <c r="Z60" s="231">
        <v>0</v>
      </c>
      <c r="AA60" s="229">
        <v>0.1</v>
      </c>
      <c r="AB60" s="228" t="s">
        <v>1883</v>
      </c>
      <c r="AC60" s="191" t="s">
        <v>1887</v>
      </c>
      <c r="AD60" s="234">
        <v>0</v>
      </c>
      <c r="AE60" s="253">
        <v>0</v>
      </c>
      <c r="AF60" s="240"/>
      <c r="AG60" s="241"/>
      <c r="AH60" s="241"/>
      <c r="AI60" s="241"/>
      <c r="AJ60" s="241"/>
      <c r="AK60" s="241"/>
      <c r="AL60" s="241"/>
      <c r="AM60" s="241"/>
      <c r="AN60" s="241"/>
      <c r="AO60" s="241"/>
      <c r="AP60" s="241"/>
      <c r="AQ60" s="241"/>
      <c r="AR60" s="241"/>
      <c r="AS60" s="241"/>
      <c r="AT60" s="241"/>
      <c r="AU60" s="241"/>
      <c r="AV60" s="241"/>
      <c r="AW60" s="241"/>
      <c r="AX60" s="241"/>
      <c r="AY60" s="241"/>
      <c r="AZ60" s="241"/>
      <c r="BA60" s="241"/>
      <c r="BB60" s="241"/>
      <c r="BC60" s="241"/>
      <c r="BD60" s="241"/>
      <c r="BE60" s="241"/>
      <c r="BF60" s="241"/>
      <c r="BG60" s="241"/>
      <c r="BH60" s="241"/>
      <c r="BI60" s="241"/>
      <c r="BJ60" s="241"/>
      <c r="BK60" s="241"/>
      <c r="BL60" s="241"/>
      <c r="BM60" s="241"/>
      <c r="BN60" s="241"/>
      <c r="BO60" s="241"/>
      <c r="BP60" s="241"/>
      <c r="BQ60" s="241"/>
      <c r="BR60" s="241" t="str">
        <f>"    " &amp; TEXT(AE60,"#0.00%") &amp; " " &amp; "38주차 주간보고" &amp; "(오승헌님)" &amp; " " &amp; IF(P60="","",TEXT(P60,"M/D-")) &amp; IF(Q60="","",TEXT(Q60,"M/D")) &amp; " "</f>
        <v xml:space="preserve">    0.00% 38주차 주간보고(오승헌님) 11/13-11/13 </v>
      </c>
      <c r="BS60" s="241"/>
      <c r="BT60" s="241"/>
      <c r="BU60" s="241"/>
      <c r="BV60" s="241"/>
      <c r="BW60" s="241"/>
      <c r="BX60" s="241"/>
      <c r="BY60" s="241"/>
      <c r="BZ60" s="241"/>
      <c r="CA60" s="241"/>
      <c r="CB60" s="241"/>
      <c r="CC60" s="241"/>
      <c r="CD60" s="241"/>
      <c r="CE60" s="241"/>
      <c r="CF60" s="241"/>
      <c r="CG60" s="241"/>
    </row>
    <row r="61" spans="1:85" ht="12" customHeight="1" outlineLevel="3">
      <c r="A61" s="227"/>
      <c r="B61" s="227"/>
      <c r="C61" s="227">
        <v>4</v>
      </c>
      <c r="D61" s="235" t="s">
        <v>1814</v>
      </c>
      <c r="E61" s="228"/>
      <c r="F61" s="228"/>
      <c r="G61" s="228"/>
      <c r="H61" s="228" t="s">
        <v>1751</v>
      </c>
      <c r="I61" s="228"/>
      <c r="J61" s="228"/>
      <c r="K61" s="228"/>
      <c r="L61" s="228"/>
      <c r="M61" s="228"/>
      <c r="N61" s="228"/>
      <c r="O61" s="228"/>
      <c r="P61" s="250">
        <v>45981</v>
      </c>
      <c r="Q61" s="250">
        <v>45981</v>
      </c>
      <c r="R61" s="228"/>
      <c r="S61" s="229">
        <v>0.1</v>
      </c>
      <c r="T61" s="229">
        <v>0</v>
      </c>
      <c r="U61" s="229">
        <v>1</v>
      </c>
      <c r="V61" s="229">
        <v>0</v>
      </c>
      <c r="W61" s="250"/>
      <c r="X61" s="250"/>
      <c r="Y61" s="230"/>
      <c r="Z61" s="231">
        <v>0</v>
      </c>
      <c r="AA61" s="229">
        <v>0.1</v>
      </c>
      <c r="AB61" s="228" t="s">
        <v>1883</v>
      </c>
      <c r="AC61" s="191" t="s">
        <v>1887</v>
      </c>
      <c r="AD61" s="234">
        <v>0</v>
      </c>
      <c r="AE61" s="253">
        <v>0</v>
      </c>
      <c r="AF61" s="240"/>
      <c r="AG61" s="241"/>
      <c r="AH61" s="241"/>
      <c r="AI61" s="241"/>
      <c r="AJ61" s="241"/>
      <c r="AK61" s="241"/>
      <c r="AL61" s="241"/>
      <c r="AM61" s="241"/>
      <c r="AN61" s="241"/>
      <c r="AO61" s="241"/>
      <c r="AP61" s="241"/>
      <c r="AQ61" s="241"/>
      <c r="AR61" s="241"/>
      <c r="AS61" s="241"/>
      <c r="AT61" s="241"/>
      <c r="AU61" s="241"/>
      <c r="AV61" s="241"/>
      <c r="AW61" s="241"/>
      <c r="AX61" s="241"/>
      <c r="AY61" s="241"/>
      <c r="AZ61" s="241"/>
      <c r="BA61" s="241"/>
      <c r="BB61" s="241"/>
      <c r="BC61" s="241"/>
      <c r="BD61" s="241"/>
      <c r="BE61" s="241"/>
      <c r="BF61" s="241"/>
      <c r="BG61" s="241"/>
      <c r="BH61" s="241"/>
      <c r="BI61" s="241"/>
      <c r="BJ61" s="241"/>
      <c r="BK61" s="241"/>
      <c r="BL61" s="241"/>
      <c r="BM61" s="241"/>
      <c r="BN61" s="241"/>
      <c r="BO61" s="241"/>
      <c r="BP61" s="241"/>
      <c r="BQ61" s="241"/>
      <c r="BR61" s="241"/>
      <c r="BS61" s="241" t="str">
        <f>"    " &amp; TEXT(AE61,"#0.00%") &amp; " " &amp; "39주차 주간보고" &amp; "(오승헌님)" &amp; " " &amp; IF(P61="","",TEXT(P61,"M/D-")) &amp; IF(Q61="","",TEXT(Q61,"M/D")) &amp; " "</f>
        <v xml:space="preserve">    0.00% 39주차 주간보고(오승헌님) 11/20-11/20 </v>
      </c>
      <c r="BT61" s="241"/>
      <c r="BU61" s="241"/>
      <c r="BV61" s="241"/>
      <c r="BW61" s="241"/>
      <c r="BX61" s="241"/>
      <c r="BY61" s="241"/>
      <c r="BZ61" s="241"/>
      <c r="CA61" s="241"/>
      <c r="CB61" s="241"/>
      <c r="CC61" s="241"/>
      <c r="CD61" s="241"/>
      <c r="CE61" s="241"/>
      <c r="CF61" s="241"/>
      <c r="CG61" s="241"/>
    </row>
    <row r="62" spans="1:85" ht="12" customHeight="1" outlineLevel="3">
      <c r="A62" s="227"/>
      <c r="B62" s="227"/>
      <c r="C62" s="227">
        <v>4</v>
      </c>
      <c r="D62" s="235" t="s">
        <v>1815</v>
      </c>
      <c r="E62" s="228"/>
      <c r="F62" s="228"/>
      <c r="G62" s="228"/>
      <c r="H62" s="228" t="s">
        <v>1752</v>
      </c>
      <c r="I62" s="228"/>
      <c r="J62" s="228"/>
      <c r="K62" s="228"/>
      <c r="L62" s="228"/>
      <c r="M62" s="228"/>
      <c r="N62" s="228"/>
      <c r="O62" s="228"/>
      <c r="P62" s="250">
        <v>45988</v>
      </c>
      <c r="Q62" s="250">
        <v>45988</v>
      </c>
      <c r="R62" s="228"/>
      <c r="S62" s="229">
        <v>0.1</v>
      </c>
      <c r="T62" s="229">
        <v>0</v>
      </c>
      <c r="U62" s="229">
        <v>1</v>
      </c>
      <c r="V62" s="229">
        <v>0</v>
      </c>
      <c r="W62" s="250"/>
      <c r="X62" s="250"/>
      <c r="Y62" s="230"/>
      <c r="Z62" s="231">
        <v>0</v>
      </c>
      <c r="AA62" s="229">
        <v>0.1</v>
      </c>
      <c r="AB62" s="228" t="s">
        <v>1883</v>
      </c>
      <c r="AC62" s="191" t="s">
        <v>1887</v>
      </c>
      <c r="AD62" s="234">
        <v>0</v>
      </c>
      <c r="AE62" s="253">
        <v>0</v>
      </c>
      <c r="AF62" s="240"/>
      <c r="AG62" s="241"/>
      <c r="AH62" s="241"/>
      <c r="AI62" s="241"/>
      <c r="AJ62" s="241"/>
      <c r="AK62" s="241"/>
      <c r="AL62" s="241"/>
      <c r="AM62" s="241"/>
      <c r="AN62" s="241"/>
      <c r="AO62" s="241"/>
      <c r="AP62" s="241"/>
      <c r="AQ62" s="241"/>
      <c r="AR62" s="241"/>
      <c r="AS62" s="241"/>
      <c r="AT62" s="241"/>
      <c r="AU62" s="241"/>
      <c r="AV62" s="241"/>
      <c r="AW62" s="241"/>
      <c r="AX62" s="241"/>
      <c r="AY62" s="241"/>
      <c r="AZ62" s="241"/>
      <c r="BA62" s="241"/>
      <c r="BB62" s="241"/>
      <c r="BC62" s="241"/>
      <c r="BD62" s="241"/>
      <c r="BE62" s="241"/>
      <c r="BF62" s="241"/>
      <c r="BG62" s="241"/>
      <c r="BH62" s="241"/>
      <c r="BI62" s="241"/>
      <c r="BJ62" s="241"/>
      <c r="BK62" s="241"/>
      <c r="BL62" s="241"/>
      <c r="BM62" s="241"/>
      <c r="BN62" s="241"/>
      <c r="BO62" s="241"/>
      <c r="BP62" s="241"/>
      <c r="BQ62" s="241"/>
      <c r="BR62" s="241"/>
      <c r="BS62" s="241"/>
      <c r="BT62" s="241" t="str">
        <f>"    " &amp; TEXT(AE62,"#0.00%") &amp; " " &amp; "40주차 주간보고" &amp; "(오승헌님)" &amp; " " &amp; IF(P62="","",TEXT(P62,"M/D-")) &amp; IF(Q62="","",TEXT(Q62,"M/D")) &amp; " "</f>
        <v xml:space="preserve">    0.00% 40주차 주간보고(오승헌님) 11/27-11/27 </v>
      </c>
      <c r="BU62" s="241"/>
      <c r="BV62" s="241"/>
      <c r="BW62" s="241"/>
      <c r="BX62" s="241"/>
      <c r="BY62" s="241"/>
      <c r="BZ62" s="241"/>
      <c r="CA62" s="241"/>
      <c r="CB62" s="241"/>
      <c r="CC62" s="241"/>
      <c r="CD62" s="241"/>
      <c r="CE62" s="241"/>
      <c r="CF62" s="241"/>
      <c r="CG62" s="241"/>
    </row>
    <row r="63" spans="1:85" ht="12" customHeight="1" outlineLevel="3">
      <c r="A63" s="227"/>
      <c r="B63" s="227"/>
      <c r="C63" s="227">
        <v>4</v>
      </c>
      <c r="D63" s="235" t="s">
        <v>1816</v>
      </c>
      <c r="E63" s="228"/>
      <c r="F63" s="228"/>
      <c r="G63" s="228"/>
      <c r="H63" s="228" t="s">
        <v>1753</v>
      </c>
      <c r="I63" s="228"/>
      <c r="J63" s="228"/>
      <c r="K63" s="228"/>
      <c r="L63" s="228"/>
      <c r="M63" s="228"/>
      <c r="N63" s="228"/>
      <c r="O63" s="228"/>
      <c r="P63" s="250">
        <v>45995</v>
      </c>
      <c r="Q63" s="250">
        <v>45995</v>
      </c>
      <c r="R63" s="228"/>
      <c r="S63" s="229">
        <v>0.1</v>
      </c>
      <c r="T63" s="229">
        <v>0</v>
      </c>
      <c r="U63" s="229">
        <v>1</v>
      </c>
      <c r="V63" s="229">
        <v>0</v>
      </c>
      <c r="W63" s="250"/>
      <c r="X63" s="250"/>
      <c r="Y63" s="230"/>
      <c r="Z63" s="231">
        <v>0</v>
      </c>
      <c r="AA63" s="229">
        <v>0.1</v>
      </c>
      <c r="AB63" s="228" t="s">
        <v>1883</v>
      </c>
      <c r="AC63" s="191" t="s">
        <v>1887</v>
      </c>
      <c r="AD63" s="234">
        <v>0</v>
      </c>
      <c r="AE63" s="253">
        <v>0</v>
      </c>
      <c r="AF63" s="240"/>
      <c r="AG63" s="241"/>
      <c r="AH63" s="241"/>
      <c r="AI63" s="241"/>
      <c r="AJ63" s="241"/>
      <c r="AK63" s="241"/>
      <c r="AL63" s="241"/>
      <c r="AM63" s="241"/>
      <c r="AN63" s="241"/>
      <c r="AO63" s="241"/>
      <c r="AP63" s="241"/>
      <c r="AQ63" s="241"/>
      <c r="AR63" s="241"/>
      <c r="AS63" s="241"/>
      <c r="AT63" s="241"/>
      <c r="AU63" s="241"/>
      <c r="AV63" s="241"/>
      <c r="AW63" s="241"/>
      <c r="AX63" s="241"/>
      <c r="AY63" s="241"/>
      <c r="AZ63" s="241"/>
      <c r="BA63" s="241"/>
      <c r="BB63" s="241"/>
      <c r="BC63" s="241"/>
      <c r="BD63" s="241"/>
      <c r="BE63" s="241"/>
      <c r="BF63" s="241"/>
      <c r="BG63" s="241"/>
      <c r="BH63" s="241"/>
      <c r="BI63" s="241"/>
      <c r="BJ63" s="241"/>
      <c r="BK63" s="241"/>
      <c r="BL63" s="241"/>
      <c r="BM63" s="241"/>
      <c r="BN63" s="241"/>
      <c r="BO63" s="241"/>
      <c r="BP63" s="241"/>
      <c r="BQ63" s="241"/>
      <c r="BR63" s="241"/>
      <c r="BS63" s="241"/>
      <c r="BT63" s="241"/>
      <c r="BU63" s="241" t="str">
        <f>"    " &amp; TEXT(AE63,"#0.00%") &amp; " " &amp; "41주차 주간보고" &amp; "(오승헌님)" &amp; " " &amp; IF(P63="","",TEXT(P63,"M/D-")) &amp; IF(Q63="","",TEXT(Q63,"M/D")) &amp; " "</f>
        <v xml:space="preserve">    0.00% 41주차 주간보고(오승헌님) 12/4-12/4 </v>
      </c>
      <c r="BV63" s="241"/>
      <c r="BW63" s="241"/>
      <c r="BX63" s="241"/>
      <c r="BY63" s="241"/>
      <c r="BZ63" s="241"/>
      <c r="CA63" s="241"/>
      <c r="CB63" s="241"/>
      <c r="CC63" s="241"/>
      <c r="CD63" s="241"/>
      <c r="CE63" s="241"/>
      <c r="CF63" s="241"/>
      <c r="CG63" s="241"/>
    </row>
    <row r="64" spans="1:85" ht="12" customHeight="1" outlineLevel="3">
      <c r="A64" s="227"/>
      <c r="B64" s="227"/>
      <c r="C64" s="227">
        <v>4</v>
      </c>
      <c r="D64" s="235" t="s">
        <v>1817</v>
      </c>
      <c r="E64" s="228"/>
      <c r="F64" s="228"/>
      <c r="G64" s="228"/>
      <c r="H64" s="228" t="s">
        <v>1754</v>
      </c>
      <c r="I64" s="228"/>
      <c r="J64" s="228"/>
      <c r="K64" s="228"/>
      <c r="L64" s="228"/>
      <c r="M64" s="228"/>
      <c r="N64" s="228"/>
      <c r="O64" s="228"/>
      <c r="P64" s="250">
        <v>46002</v>
      </c>
      <c r="Q64" s="250">
        <v>46002</v>
      </c>
      <c r="R64" s="228"/>
      <c r="S64" s="229">
        <v>0.1</v>
      </c>
      <c r="T64" s="229">
        <v>0</v>
      </c>
      <c r="U64" s="229">
        <v>1</v>
      </c>
      <c r="V64" s="229">
        <v>0</v>
      </c>
      <c r="W64" s="250"/>
      <c r="X64" s="250"/>
      <c r="Y64" s="230"/>
      <c r="Z64" s="231">
        <v>0</v>
      </c>
      <c r="AA64" s="229">
        <v>0.1</v>
      </c>
      <c r="AB64" s="228" t="s">
        <v>1883</v>
      </c>
      <c r="AC64" s="191" t="s">
        <v>1887</v>
      </c>
      <c r="AD64" s="234">
        <v>0</v>
      </c>
      <c r="AE64" s="253">
        <v>0</v>
      </c>
      <c r="AF64" s="240"/>
      <c r="AG64" s="241"/>
      <c r="AH64" s="241"/>
      <c r="AI64" s="241"/>
      <c r="AJ64" s="241"/>
      <c r="AK64" s="241"/>
      <c r="AL64" s="241"/>
      <c r="AM64" s="241"/>
      <c r="AN64" s="241"/>
      <c r="AO64" s="241"/>
      <c r="AP64" s="241"/>
      <c r="AQ64" s="241"/>
      <c r="AR64" s="241"/>
      <c r="AS64" s="241"/>
      <c r="AT64" s="241"/>
      <c r="AU64" s="241"/>
      <c r="AV64" s="241"/>
      <c r="AW64" s="241"/>
      <c r="AX64" s="241"/>
      <c r="AY64" s="241"/>
      <c r="AZ64" s="241"/>
      <c r="BA64" s="241"/>
      <c r="BB64" s="241"/>
      <c r="BC64" s="241"/>
      <c r="BD64" s="241"/>
      <c r="BE64" s="241"/>
      <c r="BF64" s="241"/>
      <c r="BG64" s="241"/>
      <c r="BH64" s="241"/>
      <c r="BI64" s="241"/>
      <c r="BJ64" s="241"/>
      <c r="BK64" s="241"/>
      <c r="BL64" s="241"/>
      <c r="BM64" s="241"/>
      <c r="BN64" s="241"/>
      <c r="BO64" s="241"/>
      <c r="BP64" s="241"/>
      <c r="BQ64" s="241"/>
      <c r="BR64" s="241"/>
      <c r="BS64" s="241"/>
      <c r="BT64" s="241"/>
      <c r="BU64" s="241"/>
      <c r="BV64" s="241" t="str">
        <f>"    " &amp; TEXT(AE64,"#0.00%") &amp; " " &amp; "42주차 주간보고" &amp; "(오승헌님)" &amp; " " &amp; IF(P64="","",TEXT(P64,"M/D-")) &amp; IF(Q64="","",TEXT(Q64,"M/D")) &amp; " "</f>
        <v xml:space="preserve">    0.00% 42주차 주간보고(오승헌님) 12/11-12/11 </v>
      </c>
      <c r="BW64" s="241"/>
      <c r="BX64" s="241"/>
      <c r="BY64" s="241"/>
      <c r="BZ64" s="241"/>
      <c r="CA64" s="241"/>
      <c r="CB64" s="241"/>
      <c r="CC64" s="241"/>
      <c r="CD64" s="241"/>
      <c r="CE64" s="241"/>
      <c r="CF64" s="241"/>
      <c r="CG64" s="241"/>
    </row>
    <row r="65" spans="1:85" ht="12" customHeight="1" outlineLevel="3">
      <c r="A65" s="227"/>
      <c r="B65" s="227"/>
      <c r="C65" s="227">
        <v>4</v>
      </c>
      <c r="D65" s="235" t="s">
        <v>1818</v>
      </c>
      <c r="E65" s="228"/>
      <c r="F65" s="228"/>
      <c r="G65" s="228"/>
      <c r="H65" s="228" t="s">
        <v>1755</v>
      </c>
      <c r="I65" s="228"/>
      <c r="J65" s="228"/>
      <c r="K65" s="228"/>
      <c r="L65" s="228"/>
      <c r="M65" s="228"/>
      <c r="N65" s="228"/>
      <c r="O65" s="228"/>
      <c r="P65" s="250">
        <v>46009</v>
      </c>
      <c r="Q65" s="250">
        <v>46009</v>
      </c>
      <c r="R65" s="228"/>
      <c r="S65" s="229">
        <v>0.1</v>
      </c>
      <c r="T65" s="229">
        <v>0</v>
      </c>
      <c r="U65" s="229">
        <v>1</v>
      </c>
      <c r="V65" s="229">
        <v>0</v>
      </c>
      <c r="W65" s="250"/>
      <c r="X65" s="250"/>
      <c r="Y65" s="230"/>
      <c r="Z65" s="231">
        <v>0</v>
      </c>
      <c r="AA65" s="229">
        <v>0.1</v>
      </c>
      <c r="AB65" s="228" t="s">
        <v>1883</v>
      </c>
      <c r="AC65" s="191" t="s">
        <v>1887</v>
      </c>
      <c r="AD65" s="234">
        <v>0</v>
      </c>
      <c r="AE65" s="253">
        <v>0</v>
      </c>
      <c r="AF65" s="240"/>
      <c r="AG65" s="241"/>
      <c r="AH65" s="241"/>
      <c r="AI65" s="241"/>
      <c r="AJ65" s="241"/>
      <c r="AK65" s="241"/>
      <c r="AL65" s="241"/>
      <c r="AM65" s="241"/>
      <c r="AN65" s="241"/>
      <c r="AO65" s="241"/>
      <c r="AP65" s="241"/>
      <c r="AQ65" s="241"/>
      <c r="AR65" s="241"/>
      <c r="AS65" s="241"/>
      <c r="AT65" s="241"/>
      <c r="AU65" s="241"/>
      <c r="AV65" s="241"/>
      <c r="AW65" s="241"/>
      <c r="AX65" s="241"/>
      <c r="AY65" s="241"/>
      <c r="AZ65" s="241"/>
      <c r="BA65" s="241"/>
      <c r="BB65" s="241"/>
      <c r="BC65" s="241"/>
      <c r="BD65" s="241"/>
      <c r="BE65" s="241"/>
      <c r="BF65" s="241"/>
      <c r="BG65" s="241"/>
      <c r="BH65" s="241"/>
      <c r="BI65" s="241"/>
      <c r="BJ65" s="241"/>
      <c r="BK65" s="241"/>
      <c r="BL65" s="241"/>
      <c r="BM65" s="241"/>
      <c r="BN65" s="241"/>
      <c r="BO65" s="241"/>
      <c r="BP65" s="241"/>
      <c r="BQ65" s="241"/>
      <c r="BR65" s="241"/>
      <c r="BS65" s="241"/>
      <c r="BT65" s="241"/>
      <c r="BU65" s="241"/>
      <c r="BV65" s="241"/>
      <c r="BW65" s="241" t="str">
        <f>"    " &amp; TEXT(AE65,"#0.00%") &amp; " " &amp; "43주차 주간보고" &amp; "(오승헌님)" &amp; " " &amp; IF(P65="","",TEXT(P65,"M/D-")) &amp; IF(Q65="","",TEXT(Q65,"M/D")) &amp; " "</f>
        <v xml:space="preserve">    0.00% 43주차 주간보고(오승헌님) 12/18-12/18 </v>
      </c>
      <c r="BX65" s="241"/>
      <c r="BY65" s="241"/>
      <c r="BZ65" s="241"/>
      <c r="CA65" s="241"/>
      <c r="CB65" s="241"/>
      <c r="CC65" s="241"/>
      <c r="CD65" s="241"/>
      <c r="CE65" s="241"/>
      <c r="CF65" s="241"/>
      <c r="CG65" s="241"/>
    </row>
    <row r="66" spans="1:85" ht="12" customHeight="1" outlineLevel="3">
      <c r="A66" s="227"/>
      <c r="B66" s="227"/>
      <c r="C66" s="227">
        <v>4</v>
      </c>
      <c r="D66" s="235" t="s">
        <v>1819</v>
      </c>
      <c r="E66" s="228"/>
      <c r="F66" s="228"/>
      <c r="G66" s="228"/>
      <c r="H66" s="228" t="s">
        <v>1756</v>
      </c>
      <c r="I66" s="228"/>
      <c r="J66" s="228"/>
      <c r="K66" s="228"/>
      <c r="L66" s="228"/>
      <c r="M66" s="228"/>
      <c r="N66" s="228"/>
      <c r="O66" s="228"/>
      <c r="P66" s="250">
        <v>46017</v>
      </c>
      <c r="Q66" s="250">
        <v>46017</v>
      </c>
      <c r="R66" s="228"/>
      <c r="S66" s="229">
        <v>0.1</v>
      </c>
      <c r="T66" s="229">
        <v>0</v>
      </c>
      <c r="U66" s="229">
        <v>1</v>
      </c>
      <c r="V66" s="229">
        <v>0</v>
      </c>
      <c r="W66" s="250"/>
      <c r="X66" s="250"/>
      <c r="Y66" s="230"/>
      <c r="Z66" s="231">
        <v>0</v>
      </c>
      <c r="AA66" s="229">
        <v>0.1</v>
      </c>
      <c r="AB66" s="228" t="s">
        <v>1883</v>
      </c>
      <c r="AC66" s="191" t="s">
        <v>1887</v>
      </c>
      <c r="AD66" s="234">
        <v>0</v>
      </c>
      <c r="AE66" s="253">
        <v>0</v>
      </c>
      <c r="AF66" s="240"/>
      <c r="AG66" s="241"/>
      <c r="AH66" s="241"/>
      <c r="AI66" s="241"/>
      <c r="AJ66" s="241"/>
      <c r="AK66" s="241"/>
      <c r="AL66" s="241"/>
      <c r="AM66" s="241"/>
      <c r="AN66" s="241"/>
      <c r="AO66" s="241"/>
      <c r="AP66" s="241"/>
      <c r="AQ66" s="241"/>
      <c r="AR66" s="241"/>
      <c r="AS66" s="241"/>
      <c r="AT66" s="241"/>
      <c r="AU66" s="241"/>
      <c r="AV66" s="241"/>
      <c r="AW66" s="241"/>
      <c r="AX66" s="241"/>
      <c r="AY66" s="241"/>
      <c r="AZ66" s="241"/>
      <c r="BA66" s="241"/>
      <c r="BB66" s="241"/>
      <c r="BC66" s="241"/>
      <c r="BD66" s="241"/>
      <c r="BE66" s="241"/>
      <c r="BF66" s="241"/>
      <c r="BG66" s="241"/>
      <c r="BH66" s="241"/>
      <c r="BI66" s="241"/>
      <c r="BJ66" s="241"/>
      <c r="BK66" s="241"/>
      <c r="BL66" s="241"/>
      <c r="BM66" s="241"/>
      <c r="BN66" s="241"/>
      <c r="BO66" s="241"/>
      <c r="BP66" s="241"/>
      <c r="BQ66" s="241"/>
      <c r="BR66" s="241"/>
      <c r="BS66" s="241"/>
      <c r="BT66" s="241"/>
      <c r="BU66" s="241"/>
      <c r="BV66" s="241"/>
      <c r="BW66" s="241"/>
      <c r="BX66" s="241" t="str">
        <f>"     " &amp; TEXT(AE66,"#0.00%") &amp; " " &amp; "44주차 주간보고" &amp; "(오승헌님)" &amp; " " &amp; IF(P66="","",TEXT(P66,"M/D-")) &amp; IF(Q66="","",TEXT(Q66,"M/D")) &amp; " "</f>
        <v xml:space="preserve">     0.00% 44주차 주간보고(오승헌님) 12/26-12/26 </v>
      </c>
      <c r="BY66" s="241"/>
      <c r="BZ66" s="241"/>
      <c r="CA66" s="241"/>
      <c r="CB66" s="241"/>
      <c r="CC66" s="241"/>
      <c r="CD66" s="241"/>
      <c r="CE66" s="241"/>
      <c r="CF66" s="241"/>
      <c r="CG66" s="241"/>
    </row>
    <row r="67" spans="1:85" ht="12" customHeight="1" outlineLevel="3">
      <c r="A67" s="227"/>
      <c r="B67" s="227"/>
      <c r="C67" s="227">
        <v>4</v>
      </c>
      <c r="D67" s="235" t="s">
        <v>1820</v>
      </c>
      <c r="E67" s="228"/>
      <c r="F67" s="228"/>
      <c r="G67" s="228"/>
      <c r="H67" s="228" t="s">
        <v>1757</v>
      </c>
      <c r="I67" s="228"/>
      <c r="J67" s="228"/>
      <c r="K67" s="228"/>
      <c r="L67" s="228"/>
      <c r="M67" s="228"/>
      <c r="N67" s="228"/>
      <c r="O67" s="228"/>
      <c r="P67" s="250">
        <v>46024</v>
      </c>
      <c r="Q67" s="250">
        <v>46024</v>
      </c>
      <c r="R67" s="228"/>
      <c r="S67" s="229">
        <v>0.1</v>
      </c>
      <c r="T67" s="229">
        <v>0</v>
      </c>
      <c r="U67" s="229">
        <v>1</v>
      </c>
      <c r="V67" s="229">
        <v>0</v>
      </c>
      <c r="W67" s="250"/>
      <c r="X67" s="250"/>
      <c r="Y67" s="230"/>
      <c r="Z67" s="231">
        <v>0</v>
      </c>
      <c r="AA67" s="229">
        <v>0.1</v>
      </c>
      <c r="AB67" s="228" t="s">
        <v>1883</v>
      </c>
      <c r="AC67" s="191" t="s">
        <v>1887</v>
      </c>
      <c r="AD67" s="234">
        <v>0</v>
      </c>
      <c r="AE67" s="253">
        <v>0</v>
      </c>
      <c r="AF67" s="240"/>
      <c r="AG67" s="241"/>
      <c r="AH67" s="241"/>
      <c r="AI67" s="241"/>
      <c r="AJ67" s="241"/>
      <c r="AK67" s="241"/>
      <c r="AL67" s="241"/>
      <c r="AM67" s="241"/>
      <c r="AN67" s="241"/>
      <c r="AO67" s="241"/>
      <c r="AP67" s="241"/>
      <c r="AQ67" s="241"/>
      <c r="AR67" s="241"/>
      <c r="AS67" s="241"/>
      <c r="AT67" s="241"/>
      <c r="AU67" s="241"/>
      <c r="AV67" s="241"/>
      <c r="AW67" s="241"/>
      <c r="AX67" s="241"/>
      <c r="AY67" s="241"/>
      <c r="AZ67" s="241"/>
      <c r="BA67" s="241"/>
      <c r="BB67" s="241"/>
      <c r="BC67" s="241"/>
      <c r="BD67" s="241"/>
      <c r="BE67" s="241"/>
      <c r="BF67" s="241"/>
      <c r="BG67" s="241"/>
      <c r="BH67" s="241"/>
      <c r="BI67" s="241"/>
      <c r="BJ67" s="241"/>
      <c r="BK67" s="241"/>
      <c r="BL67" s="241"/>
      <c r="BM67" s="241"/>
      <c r="BN67" s="241"/>
      <c r="BO67" s="241"/>
      <c r="BP67" s="241"/>
      <c r="BQ67" s="241"/>
      <c r="BR67" s="241"/>
      <c r="BS67" s="241"/>
      <c r="BT67" s="241"/>
      <c r="BU67" s="241"/>
      <c r="BV67" s="241"/>
      <c r="BW67" s="241"/>
      <c r="BX67" s="241"/>
      <c r="BY67" s="241" t="str">
        <f>"     " &amp; TEXT(AE67,"#0.00%") &amp; " " &amp; "45주차 주간보고" &amp; "(오승헌님)" &amp; " " &amp; IF(P67="","",TEXT(P67,"M/D-")) &amp; IF(Q67="","",TEXT(Q67,"M/D")) &amp; " "</f>
        <v xml:space="preserve">     0.00% 45주차 주간보고(오승헌님) 1/2-1/2 </v>
      </c>
      <c r="BZ67" s="241"/>
      <c r="CA67" s="241"/>
      <c r="CB67" s="241"/>
      <c r="CC67" s="241"/>
      <c r="CD67" s="241"/>
      <c r="CE67" s="241"/>
      <c r="CF67" s="241"/>
      <c r="CG67" s="241"/>
    </row>
    <row r="68" spans="1:85" ht="12" customHeight="1" outlineLevel="3">
      <c r="A68" s="227"/>
      <c r="B68" s="227"/>
      <c r="C68" s="227">
        <v>4</v>
      </c>
      <c r="D68" s="235" t="s">
        <v>1821</v>
      </c>
      <c r="E68" s="228"/>
      <c r="F68" s="228"/>
      <c r="G68" s="228"/>
      <c r="H68" s="228" t="s">
        <v>1758</v>
      </c>
      <c r="I68" s="228"/>
      <c r="J68" s="228"/>
      <c r="K68" s="228"/>
      <c r="L68" s="228"/>
      <c r="M68" s="228"/>
      <c r="N68" s="228"/>
      <c r="O68" s="228"/>
      <c r="P68" s="250">
        <v>46030</v>
      </c>
      <c r="Q68" s="250">
        <v>46030</v>
      </c>
      <c r="R68" s="228"/>
      <c r="S68" s="229">
        <v>0.1</v>
      </c>
      <c r="T68" s="229">
        <v>0</v>
      </c>
      <c r="U68" s="229">
        <v>1</v>
      </c>
      <c r="V68" s="229">
        <v>0</v>
      </c>
      <c r="W68" s="250"/>
      <c r="X68" s="250"/>
      <c r="Y68" s="230"/>
      <c r="Z68" s="231">
        <v>0</v>
      </c>
      <c r="AA68" s="229">
        <v>0.1</v>
      </c>
      <c r="AB68" s="228" t="s">
        <v>1883</v>
      </c>
      <c r="AC68" s="191" t="s">
        <v>1887</v>
      </c>
      <c r="AD68" s="234">
        <v>0</v>
      </c>
      <c r="AE68" s="253">
        <v>0</v>
      </c>
      <c r="AF68" s="240"/>
      <c r="AG68" s="241"/>
      <c r="AH68" s="241"/>
      <c r="AI68" s="241"/>
      <c r="AJ68" s="241"/>
      <c r="AK68" s="241"/>
      <c r="AL68" s="241"/>
      <c r="AM68" s="241"/>
      <c r="AN68" s="241"/>
      <c r="AO68" s="241"/>
      <c r="AP68" s="241"/>
      <c r="AQ68" s="241"/>
      <c r="AR68" s="241"/>
      <c r="AS68" s="241"/>
      <c r="AT68" s="241"/>
      <c r="AU68" s="241"/>
      <c r="AV68" s="241"/>
      <c r="AW68" s="241"/>
      <c r="AX68" s="241"/>
      <c r="AY68" s="241"/>
      <c r="AZ68" s="241"/>
      <c r="BA68" s="241"/>
      <c r="BB68" s="241"/>
      <c r="BC68" s="241"/>
      <c r="BD68" s="241"/>
      <c r="BE68" s="241"/>
      <c r="BF68" s="241"/>
      <c r="BG68" s="241"/>
      <c r="BH68" s="241"/>
      <c r="BI68" s="241"/>
      <c r="BJ68" s="241"/>
      <c r="BK68" s="241"/>
      <c r="BL68" s="241"/>
      <c r="BM68" s="241"/>
      <c r="BN68" s="241"/>
      <c r="BO68" s="241"/>
      <c r="BP68" s="241"/>
      <c r="BQ68" s="241"/>
      <c r="BR68" s="241"/>
      <c r="BS68" s="241"/>
      <c r="BT68" s="241"/>
      <c r="BU68" s="241"/>
      <c r="BV68" s="241"/>
      <c r="BW68" s="241"/>
      <c r="BX68" s="241"/>
      <c r="BY68" s="241"/>
      <c r="BZ68" s="241" t="str">
        <f>"    " &amp; TEXT(AE68,"#0.00%") &amp; " " &amp; "46주차 주간보고" &amp; "(오승헌님)" &amp; " " &amp; IF(P68="","",TEXT(P68,"M/D-")) &amp; IF(Q68="","",TEXT(Q68,"M/D")) &amp; " "</f>
        <v xml:space="preserve">    0.00% 46주차 주간보고(오승헌님) 1/8-1/8 </v>
      </c>
      <c r="CA68" s="241"/>
      <c r="CB68" s="241"/>
      <c r="CC68" s="241"/>
      <c r="CD68" s="241"/>
      <c r="CE68" s="241"/>
      <c r="CF68" s="241"/>
      <c r="CG68" s="241"/>
    </row>
    <row r="69" spans="1:85" ht="12" customHeight="1" outlineLevel="3">
      <c r="A69" s="227"/>
      <c r="B69" s="227"/>
      <c r="C69" s="227">
        <v>4</v>
      </c>
      <c r="D69" s="235" t="s">
        <v>1822</v>
      </c>
      <c r="E69" s="228"/>
      <c r="F69" s="228"/>
      <c r="G69" s="228"/>
      <c r="H69" s="228" t="s">
        <v>1759</v>
      </c>
      <c r="I69" s="228"/>
      <c r="J69" s="228"/>
      <c r="K69" s="228"/>
      <c r="L69" s="228"/>
      <c r="M69" s="228"/>
      <c r="N69" s="228"/>
      <c r="O69" s="228"/>
      <c r="P69" s="250">
        <v>46037</v>
      </c>
      <c r="Q69" s="250">
        <v>46037</v>
      </c>
      <c r="R69" s="228"/>
      <c r="S69" s="229">
        <v>0.1</v>
      </c>
      <c r="T69" s="229">
        <v>0</v>
      </c>
      <c r="U69" s="229">
        <v>1</v>
      </c>
      <c r="V69" s="229">
        <v>0</v>
      </c>
      <c r="W69" s="250"/>
      <c r="X69" s="250"/>
      <c r="Y69" s="230"/>
      <c r="Z69" s="231">
        <v>0</v>
      </c>
      <c r="AA69" s="229">
        <v>0.1</v>
      </c>
      <c r="AB69" s="228" t="s">
        <v>1883</v>
      </c>
      <c r="AC69" s="191" t="s">
        <v>1887</v>
      </c>
      <c r="AD69" s="234">
        <v>0</v>
      </c>
      <c r="AE69" s="253">
        <v>0</v>
      </c>
      <c r="AF69" s="240"/>
      <c r="AG69" s="241"/>
      <c r="AH69" s="241"/>
      <c r="AI69" s="241"/>
      <c r="AJ69" s="241"/>
      <c r="AK69" s="241"/>
      <c r="AL69" s="241"/>
      <c r="AM69" s="241"/>
      <c r="AN69" s="241"/>
      <c r="AO69" s="241"/>
      <c r="AP69" s="241"/>
      <c r="AQ69" s="241"/>
      <c r="AR69" s="241"/>
      <c r="AS69" s="241"/>
      <c r="AT69" s="241"/>
      <c r="AU69" s="241"/>
      <c r="AV69" s="241"/>
      <c r="AW69" s="241"/>
      <c r="AX69" s="241"/>
      <c r="AY69" s="241"/>
      <c r="AZ69" s="241"/>
      <c r="BA69" s="241"/>
      <c r="BB69" s="241"/>
      <c r="BC69" s="241"/>
      <c r="BD69" s="241"/>
      <c r="BE69" s="241"/>
      <c r="BF69" s="241"/>
      <c r="BG69" s="241"/>
      <c r="BH69" s="241"/>
      <c r="BI69" s="241"/>
      <c r="BJ69" s="241"/>
      <c r="BK69" s="241"/>
      <c r="BL69" s="241"/>
      <c r="BM69" s="241"/>
      <c r="BN69" s="241"/>
      <c r="BO69" s="241"/>
      <c r="BP69" s="241"/>
      <c r="BQ69" s="241"/>
      <c r="BR69" s="241"/>
      <c r="BS69" s="241"/>
      <c r="BT69" s="241"/>
      <c r="BU69" s="241"/>
      <c r="BV69" s="241"/>
      <c r="BW69" s="241"/>
      <c r="BX69" s="241"/>
      <c r="BY69" s="241"/>
      <c r="BZ69" s="241"/>
      <c r="CA69" s="241" t="str">
        <f>"    " &amp; TEXT(AE69,"#0.00%") &amp; " " &amp; "47주차 주간보고" &amp; "(오승헌님)" &amp; " " &amp; IF(P69="","",TEXT(P69,"M/D-")) &amp; IF(Q69="","",TEXT(Q69,"M/D")) &amp; " "</f>
        <v xml:space="preserve">    0.00% 47주차 주간보고(오승헌님) 1/15-1/15 </v>
      </c>
      <c r="CB69" s="241"/>
      <c r="CC69" s="241"/>
      <c r="CD69" s="241"/>
      <c r="CE69" s="241"/>
      <c r="CF69" s="241"/>
      <c r="CG69" s="241"/>
    </row>
    <row r="70" spans="1:85" ht="12" customHeight="1" outlineLevel="3">
      <c r="A70" s="227"/>
      <c r="B70" s="227"/>
      <c r="C70" s="227">
        <v>4</v>
      </c>
      <c r="D70" s="235" t="s">
        <v>1823</v>
      </c>
      <c r="E70" s="228"/>
      <c r="F70" s="228"/>
      <c r="G70" s="228"/>
      <c r="H70" s="228" t="s">
        <v>1760</v>
      </c>
      <c r="I70" s="228"/>
      <c r="J70" s="228"/>
      <c r="K70" s="228"/>
      <c r="L70" s="228"/>
      <c r="M70" s="228"/>
      <c r="N70" s="228"/>
      <c r="O70" s="228"/>
      <c r="P70" s="250">
        <v>46044</v>
      </c>
      <c r="Q70" s="250">
        <v>46044</v>
      </c>
      <c r="R70" s="228"/>
      <c r="S70" s="229">
        <v>0.1</v>
      </c>
      <c r="T70" s="229">
        <v>0</v>
      </c>
      <c r="U70" s="229">
        <v>1</v>
      </c>
      <c r="V70" s="229">
        <v>0</v>
      </c>
      <c r="W70" s="250"/>
      <c r="X70" s="250"/>
      <c r="Y70" s="230"/>
      <c r="Z70" s="231">
        <v>0</v>
      </c>
      <c r="AA70" s="229">
        <v>0.1</v>
      </c>
      <c r="AB70" s="228" t="s">
        <v>1883</v>
      </c>
      <c r="AC70" s="191" t="s">
        <v>1887</v>
      </c>
      <c r="AD70" s="234">
        <v>0</v>
      </c>
      <c r="AE70" s="253">
        <v>0</v>
      </c>
      <c r="AF70" s="240"/>
      <c r="AG70" s="241"/>
      <c r="AH70" s="241"/>
      <c r="AI70" s="241"/>
      <c r="AJ70" s="241"/>
      <c r="AK70" s="241"/>
      <c r="AL70" s="241"/>
      <c r="AM70" s="241"/>
      <c r="AN70" s="241"/>
      <c r="AO70" s="241"/>
      <c r="AP70" s="241"/>
      <c r="AQ70" s="241"/>
      <c r="AR70" s="241"/>
      <c r="AS70" s="241"/>
      <c r="AT70" s="241"/>
      <c r="AU70" s="241"/>
      <c r="AV70" s="241"/>
      <c r="AW70" s="241"/>
      <c r="AX70" s="241"/>
      <c r="AY70" s="241"/>
      <c r="AZ70" s="241"/>
      <c r="BA70" s="241"/>
      <c r="BB70" s="241"/>
      <c r="BC70" s="241"/>
      <c r="BD70" s="241"/>
      <c r="BE70" s="241"/>
      <c r="BF70" s="241"/>
      <c r="BG70" s="241"/>
      <c r="BH70" s="241"/>
      <c r="BI70" s="241"/>
      <c r="BJ70" s="241"/>
      <c r="BK70" s="241"/>
      <c r="BL70" s="241"/>
      <c r="BM70" s="241"/>
      <c r="BN70" s="241"/>
      <c r="BO70" s="241"/>
      <c r="BP70" s="241"/>
      <c r="BQ70" s="241"/>
      <c r="BR70" s="241"/>
      <c r="BS70" s="241"/>
      <c r="BT70" s="241"/>
      <c r="BU70" s="241"/>
      <c r="BV70" s="241"/>
      <c r="BW70" s="241"/>
      <c r="BX70" s="241"/>
      <c r="BY70" s="241"/>
      <c r="BZ70" s="241"/>
      <c r="CA70" s="241"/>
      <c r="CB70" s="241" t="str">
        <f>"    " &amp; TEXT(AE70,"#0.00%") &amp; " " &amp; "48주차 주간보고" &amp; "(오승헌님)" &amp; " " &amp; IF(P70="","",TEXT(P70,"M/D-")) &amp; IF(Q70="","",TEXT(Q70,"M/D")) &amp; " "</f>
        <v xml:space="preserve">    0.00% 48주차 주간보고(오승헌님) 1/22-1/22 </v>
      </c>
      <c r="CC70" s="241"/>
      <c r="CD70" s="241"/>
      <c r="CE70" s="241"/>
      <c r="CF70" s="241"/>
      <c r="CG70" s="241"/>
    </row>
    <row r="71" spans="1:85" ht="12" customHeight="1" outlineLevel="3">
      <c r="A71" s="227"/>
      <c r="B71" s="227"/>
      <c r="C71" s="227">
        <v>4</v>
      </c>
      <c r="D71" s="235" t="s">
        <v>1824</v>
      </c>
      <c r="E71" s="228"/>
      <c r="F71" s="228"/>
      <c r="G71" s="228"/>
      <c r="H71" s="228" t="s">
        <v>1761</v>
      </c>
      <c r="I71" s="228"/>
      <c r="J71" s="228"/>
      <c r="K71" s="228"/>
      <c r="L71" s="228"/>
      <c r="M71" s="228"/>
      <c r="N71" s="228"/>
      <c r="O71" s="228"/>
      <c r="P71" s="250">
        <v>46051</v>
      </c>
      <c r="Q71" s="250">
        <v>46051</v>
      </c>
      <c r="R71" s="228"/>
      <c r="S71" s="229">
        <v>0.1</v>
      </c>
      <c r="T71" s="229">
        <v>0</v>
      </c>
      <c r="U71" s="229">
        <v>1</v>
      </c>
      <c r="V71" s="229">
        <v>0</v>
      </c>
      <c r="W71" s="250"/>
      <c r="X71" s="250"/>
      <c r="Y71" s="230"/>
      <c r="Z71" s="231">
        <v>0</v>
      </c>
      <c r="AA71" s="229">
        <v>0.1</v>
      </c>
      <c r="AB71" s="228" t="s">
        <v>1883</v>
      </c>
      <c r="AC71" s="191" t="s">
        <v>1887</v>
      </c>
      <c r="AD71" s="234">
        <v>0</v>
      </c>
      <c r="AE71" s="253">
        <v>0</v>
      </c>
      <c r="AF71" s="240"/>
      <c r="AG71" s="241"/>
      <c r="AH71" s="241"/>
      <c r="AI71" s="241"/>
      <c r="AJ71" s="241"/>
      <c r="AK71" s="241"/>
      <c r="AL71" s="241"/>
      <c r="AM71" s="241"/>
      <c r="AN71" s="241"/>
      <c r="AO71" s="241"/>
      <c r="AP71" s="241"/>
      <c r="AQ71" s="241"/>
      <c r="AR71" s="241"/>
      <c r="AS71" s="241"/>
      <c r="AT71" s="241"/>
      <c r="AU71" s="241"/>
      <c r="AV71" s="241"/>
      <c r="AW71" s="241"/>
      <c r="AX71" s="241"/>
      <c r="AY71" s="241"/>
      <c r="AZ71" s="241"/>
      <c r="BA71" s="241"/>
      <c r="BB71" s="241"/>
      <c r="BC71" s="241"/>
      <c r="BD71" s="241"/>
      <c r="BE71" s="241"/>
      <c r="BF71" s="241"/>
      <c r="BG71" s="241"/>
      <c r="BH71" s="241"/>
      <c r="BI71" s="241"/>
      <c r="BJ71" s="241"/>
      <c r="BK71" s="241"/>
      <c r="BL71" s="241"/>
      <c r="BM71" s="241"/>
      <c r="BN71" s="241"/>
      <c r="BO71" s="241"/>
      <c r="BP71" s="241"/>
      <c r="BQ71" s="241"/>
      <c r="BR71" s="241"/>
      <c r="BS71" s="241"/>
      <c r="BT71" s="241"/>
      <c r="BU71" s="241"/>
      <c r="BV71" s="241"/>
      <c r="BW71" s="241"/>
      <c r="BX71" s="241"/>
      <c r="BY71" s="241"/>
      <c r="BZ71" s="241"/>
      <c r="CA71" s="241"/>
      <c r="CB71" s="241"/>
      <c r="CC71" s="241" t="str">
        <f>"    " &amp; TEXT(AE71,"#0.00%") &amp; " " &amp; "49주차 주간보고" &amp; "(오승헌님)" &amp; " " &amp; IF(P71="","",TEXT(P71,"M/D-")) &amp; IF(Q71="","",TEXT(Q71,"M/D")) &amp; " "</f>
        <v xml:space="preserve">    0.00% 49주차 주간보고(오승헌님) 1/29-1/29 </v>
      </c>
      <c r="CD71" s="241"/>
      <c r="CE71" s="241"/>
      <c r="CF71" s="241"/>
      <c r="CG71" s="241"/>
    </row>
    <row r="72" spans="1:85" ht="12" customHeight="1" outlineLevel="3">
      <c r="A72" s="227"/>
      <c r="B72" s="227"/>
      <c r="C72" s="227">
        <v>4</v>
      </c>
      <c r="D72" s="235" t="s">
        <v>1825</v>
      </c>
      <c r="E72" s="228"/>
      <c r="F72" s="228"/>
      <c r="G72" s="228"/>
      <c r="H72" s="228" t="s">
        <v>1762</v>
      </c>
      <c r="I72" s="228"/>
      <c r="J72" s="228"/>
      <c r="K72" s="228"/>
      <c r="L72" s="228"/>
      <c r="M72" s="228"/>
      <c r="N72" s="228"/>
      <c r="O72" s="228"/>
      <c r="P72" s="250">
        <v>46058</v>
      </c>
      <c r="Q72" s="250">
        <v>46058</v>
      </c>
      <c r="R72" s="228"/>
      <c r="S72" s="229">
        <v>0.1</v>
      </c>
      <c r="T72" s="229">
        <v>0</v>
      </c>
      <c r="U72" s="229">
        <v>1</v>
      </c>
      <c r="V72" s="229">
        <v>0</v>
      </c>
      <c r="W72" s="250"/>
      <c r="X72" s="250"/>
      <c r="Y72" s="230"/>
      <c r="Z72" s="231">
        <v>0</v>
      </c>
      <c r="AA72" s="229">
        <v>0.1</v>
      </c>
      <c r="AB72" s="228" t="s">
        <v>1883</v>
      </c>
      <c r="AC72" s="191" t="s">
        <v>1887</v>
      </c>
      <c r="AD72" s="234">
        <v>0</v>
      </c>
      <c r="AE72" s="253">
        <v>0</v>
      </c>
      <c r="AF72" s="240"/>
      <c r="AG72" s="241"/>
      <c r="AH72" s="241"/>
      <c r="AI72" s="241"/>
      <c r="AJ72" s="241"/>
      <c r="AK72" s="241"/>
      <c r="AL72" s="241"/>
      <c r="AM72" s="241"/>
      <c r="AN72" s="241"/>
      <c r="AO72" s="241"/>
      <c r="AP72" s="241"/>
      <c r="AQ72" s="241"/>
      <c r="AR72" s="241"/>
      <c r="AS72" s="241"/>
      <c r="AT72" s="241"/>
      <c r="AU72" s="241"/>
      <c r="AV72" s="241"/>
      <c r="AW72" s="241"/>
      <c r="AX72" s="241"/>
      <c r="AY72" s="241"/>
      <c r="AZ72" s="241"/>
      <c r="BA72" s="241"/>
      <c r="BB72" s="241"/>
      <c r="BC72" s="241"/>
      <c r="BD72" s="241"/>
      <c r="BE72" s="241"/>
      <c r="BF72" s="241"/>
      <c r="BG72" s="241"/>
      <c r="BH72" s="241"/>
      <c r="BI72" s="241"/>
      <c r="BJ72" s="241"/>
      <c r="BK72" s="241"/>
      <c r="BL72" s="241"/>
      <c r="BM72" s="241"/>
      <c r="BN72" s="241"/>
      <c r="BO72" s="241"/>
      <c r="BP72" s="241"/>
      <c r="BQ72" s="241"/>
      <c r="BR72" s="241"/>
      <c r="BS72" s="241"/>
      <c r="BT72" s="241"/>
      <c r="BU72" s="241"/>
      <c r="BV72" s="241"/>
      <c r="BW72" s="241"/>
      <c r="BX72" s="241"/>
      <c r="BY72" s="241"/>
      <c r="BZ72" s="241"/>
      <c r="CA72" s="241"/>
      <c r="CB72" s="241"/>
      <c r="CC72" s="241"/>
      <c r="CD72" s="241" t="str">
        <f>"    " &amp; TEXT(AE72,"#0.00%") &amp; " " &amp; "50주차 주간보고" &amp; "(오승헌님)" &amp; " " &amp; IF(P72="","",TEXT(P72,"M/D-")) &amp; IF(Q72="","",TEXT(Q72,"M/D")) &amp; " "</f>
        <v xml:space="preserve">    0.00% 50주차 주간보고(오승헌님) 2/5-2/5 </v>
      </c>
      <c r="CE72" s="241"/>
      <c r="CF72" s="241"/>
      <c r="CG72" s="241"/>
    </row>
    <row r="73" spans="1:85" ht="12" customHeight="1" outlineLevel="2">
      <c r="A73" s="227"/>
      <c r="B73" s="227" t="s">
        <v>1766</v>
      </c>
      <c r="C73" s="227">
        <v>3</v>
      </c>
      <c r="D73" s="235" t="s">
        <v>1473</v>
      </c>
      <c r="E73" s="228"/>
      <c r="F73" s="228"/>
      <c r="G73" s="228" t="s">
        <v>1647</v>
      </c>
      <c r="H73" s="228"/>
      <c r="I73" s="228"/>
      <c r="J73" s="228"/>
      <c r="K73" s="228"/>
      <c r="L73" s="228"/>
      <c r="M73" s="228"/>
      <c r="N73" s="228"/>
      <c r="O73" s="228"/>
      <c r="P73" s="250">
        <v>45762</v>
      </c>
      <c r="Q73" s="250">
        <v>46007</v>
      </c>
      <c r="R73" s="228"/>
      <c r="S73" s="229">
        <v>4</v>
      </c>
      <c r="T73" s="229">
        <v>0</v>
      </c>
      <c r="U73" s="229">
        <v>167</v>
      </c>
      <c r="V73" s="229">
        <v>0</v>
      </c>
      <c r="W73" s="250"/>
      <c r="X73" s="250"/>
      <c r="Y73" s="230">
        <v>0</v>
      </c>
      <c r="Z73" s="231">
        <v>0</v>
      </c>
      <c r="AA73" s="229"/>
      <c r="AB73" s="228"/>
      <c r="AC73" s="191"/>
      <c r="AD73" s="234">
        <v>0</v>
      </c>
      <c r="AE73" s="254">
        <v>0</v>
      </c>
      <c r="AF73" s="240"/>
      <c r="AG73" s="241"/>
      <c r="AH73" s="241"/>
      <c r="AI73" s="241"/>
      <c r="AJ73" s="241"/>
      <c r="AK73" s="241"/>
      <c r="AL73" s="241"/>
      <c r="AM73" s="241"/>
      <c r="AN73" s="241" t="str">
        <f>"  " &amp; TEXT(AE73,"#0.00%") &amp; " "</f>
        <v xml:space="preserve">  0.00% </v>
      </c>
      <c r="AO73" s="241"/>
      <c r="AP73" s="241"/>
      <c r="AQ73" s="241"/>
      <c r="AR73" s="241"/>
      <c r="AS73" s="241"/>
      <c r="AT73" s="241"/>
      <c r="AU73" s="241"/>
      <c r="AV73" s="241"/>
      <c r="AW73" s="241"/>
      <c r="AX73" s="241"/>
      <c r="AY73" s="241"/>
      <c r="AZ73" s="241"/>
      <c r="BA73" s="241"/>
      <c r="BB73" s="241"/>
      <c r="BC73" s="241"/>
      <c r="BD73" s="241"/>
      <c r="BE73" s="241"/>
      <c r="BF73" s="241"/>
      <c r="BG73" s="241"/>
      <c r="BH73" s="241"/>
      <c r="BI73" s="241"/>
      <c r="BJ73" s="241"/>
      <c r="BK73" s="241"/>
      <c r="BL73" s="241"/>
      <c r="BM73" s="241"/>
      <c r="BN73" s="241"/>
      <c r="BO73" s="241"/>
      <c r="BP73" s="241"/>
      <c r="BQ73" s="241"/>
      <c r="BR73" s="241"/>
      <c r="BS73" s="241"/>
      <c r="BT73" s="241"/>
      <c r="BU73" s="241"/>
      <c r="BV73" s="241"/>
      <c r="BW73" s="241" t="str">
        <f>"   " &amp; "워크샵" &amp; " " &amp; IF(P73="","",TEXT(P73,"M/D-")) &amp; IF(Q73="","",TEXT(Q73,"M/D")) &amp; " "</f>
        <v xml:space="preserve">   워크샵 4/15-12/16 </v>
      </c>
      <c r="BX73" s="241"/>
      <c r="BY73" s="241"/>
      <c r="BZ73" s="241"/>
      <c r="CA73" s="241"/>
      <c r="CB73" s="241"/>
      <c r="CC73" s="241"/>
      <c r="CD73" s="241"/>
      <c r="CE73" s="241"/>
      <c r="CF73" s="241"/>
      <c r="CG73" s="241"/>
    </row>
    <row r="74" spans="1:85" ht="12" customHeight="1" outlineLevel="3">
      <c r="A74" s="227"/>
      <c r="B74" s="227"/>
      <c r="C74" s="227">
        <v>4</v>
      </c>
      <c r="D74" s="235" t="s">
        <v>1826</v>
      </c>
      <c r="E74" s="228"/>
      <c r="F74" s="228"/>
      <c r="G74" s="228"/>
      <c r="H74" s="228" t="s">
        <v>1648</v>
      </c>
      <c r="I74" s="228"/>
      <c r="J74" s="228"/>
      <c r="K74" s="228"/>
      <c r="L74" s="228"/>
      <c r="M74" s="228"/>
      <c r="N74" s="228"/>
      <c r="O74" s="228"/>
      <c r="P74" s="250">
        <v>45762</v>
      </c>
      <c r="Q74" s="250">
        <v>45762</v>
      </c>
      <c r="R74" s="228"/>
      <c r="S74" s="229">
        <v>1</v>
      </c>
      <c r="T74" s="229">
        <v>0</v>
      </c>
      <c r="U74" s="229">
        <v>1</v>
      </c>
      <c r="V74" s="229">
        <v>0</v>
      </c>
      <c r="W74" s="250"/>
      <c r="X74" s="250"/>
      <c r="Y74" s="230"/>
      <c r="Z74" s="231">
        <v>0</v>
      </c>
      <c r="AA74" s="229">
        <v>1</v>
      </c>
      <c r="AB74" s="228" t="s">
        <v>1883</v>
      </c>
      <c r="AC74" s="191" t="s">
        <v>1889</v>
      </c>
      <c r="AD74" s="234">
        <v>0</v>
      </c>
      <c r="AE74" s="253">
        <v>0</v>
      </c>
      <c r="AF74" s="240"/>
      <c r="AG74" s="241"/>
      <c r="AH74" s="241"/>
      <c r="AI74" s="241"/>
      <c r="AJ74" s="241"/>
      <c r="AK74" s="241"/>
      <c r="AL74" s="241"/>
      <c r="AM74" s="241"/>
      <c r="AN74" s="241" t="str">
        <f>"  " &amp; TEXT(AE74,"#0.00%") &amp; " " &amp; "분석/설계 단계" &amp; "(오승헌님)" &amp; " " &amp; IF(P74="","",TEXT(P74,"M/D-")) &amp; IF(Q74="","",TEXT(Q74,"M/D")) &amp; " "</f>
        <v xml:space="preserve">  0.00% 분석/설계 단계(오승헌님) 4/15-4/15 </v>
      </c>
      <c r="AO74" s="241"/>
      <c r="AP74" s="241"/>
      <c r="AQ74" s="241"/>
      <c r="AR74" s="241"/>
      <c r="AS74" s="241"/>
      <c r="AT74" s="241"/>
      <c r="AU74" s="241"/>
      <c r="AV74" s="241"/>
      <c r="AW74" s="241"/>
      <c r="AX74" s="241"/>
      <c r="AY74" s="241"/>
      <c r="AZ74" s="241"/>
      <c r="BA74" s="241"/>
      <c r="BB74" s="241"/>
      <c r="BC74" s="241"/>
      <c r="BD74" s="241"/>
      <c r="BE74" s="241"/>
      <c r="BF74" s="241"/>
      <c r="BG74" s="241"/>
      <c r="BH74" s="241"/>
      <c r="BI74" s="241"/>
      <c r="BJ74" s="241"/>
      <c r="BK74" s="241"/>
      <c r="BL74" s="241"/>
      <c r="BM74" s="241"/>
      <c r="BN74" s="241"/>
      <c r="BO74" s="241"/>
      <c r="BP74" s="241"/>
      <c r="BQ74" s="241"/>
      <c r="BR74" s="241"/>
      <c r="BS74" s="241"/>
      <c r="BT74" s="241"/>
      <c r="BU74" s="241"/>
      <c r="BV74" s="241"/>
      <c r="BW74" s="241"/>
      <c r="BX74" s="241"/>
      <c r="BY74" s="241"/>
      <c r="BZ74" s="241"/>
      <c r="CA74" s="241"/>
      <c r="CB74" s="241"/>
      <c r="CC74" s="241"/>
      <c r="CD74" s="241"/>
      <c r="CE74" s="241"/>
      <c r="CF74" s="241"/>
      <c r="CG74" s="241"/>
    </row>
    <row r="75" spans="1:85" ht="12" customHeight="1" outlineLevel="3">
      <c r="A75" s="227"/>
      <c r="B75" s="227"/>
      <c r="C75" s="227">
        <v>4</v>
      </c>
      <c r="D75" s="235" t="s">
        <v>1827</v>
      </c>
      <c r="E75" s="228"/>
      <c r="F75" s="228"/>
      <c r="G75" s="228"/>
      <c r="H75" s="228" t="s">
        <v>1763</v>
      </c>
      <c r="I75" s="228"/>
      <c r="J75" s="228"/>
      <c r="K75" s="228"/>
      <c r="L75" s="228"/>
      <c r="M75" s="228"/>
      <c r="N75" s="228"/>
      <c r="O75" s="228"/>
      <c r="P75" s="250">
        <v>45888</v>
      </c>
      <c r="Q75" s="250">
        <v>45888</v>
      </c>
      <c r="R75" s="228"/>
      <c r="S75" s="229">
        <v>1</v>
      </c>
      <c r="T75" s="229">
        <v>0</v>
      </c>
      <c r="U75" s="229">
        <v>1</v>
      </c>
      <c r="V75" s="229">
        <v>0</v>
      </c>
      <c r="W75" s="250"/>
      <c r="X75" s="250"/>
      <c r="Y75" s="230"/>
      <c r="Z75" s="231">
        <v>0</v>
      </c>
      <c r="AA75" s="229">
        <v>1</v>
      </c>
      <c r="AB75" s="228" t="s">
        <v>1883</v>
      </c>
      <c r="AC75" s="191" t="s">
        <v>1890</v>
      </c>
      <c r="AD75" s="234">
        <v>0</v>
      </c>
      <c r="AE75" s="253">
        <v>0</v>
      </c>
      <c r="AF75" s="240"/>
      <c r="AG75" s="241"/>
      <c r="AH75" s="241"/>
      <c r="AI75" s="241"/>
      <c r="AJ75" s="241"/>
      <c r="AK75" s="241"/>
      <c r="AL75" s="241"/>
      <c r="AM75" s="241"/>
      <c r="AN75" s="241"/>
      <c r="AO75" s="241"/>
      <c r="AP75" s="241"/>
      <c r="AQ75" s="241"/>
      <c r="AR75" s="241"/>
      <c r="AS75" s="241"/>
      <c r="AT75" s="241"/>
      <c r="AU75" s="241"/>
      <c r="AV75" s="241"/>
      <c r="AW75" s="241"/>
      <c r="AX75" s="241"/>
      <c r="AY75" s="241"/>
      <c r="AZ75" s="241"/>
      <c r="BA75" s="241"/>
      <c r="BB75" s="241"/>
      <c r="BC75" s="241"/>
      <c r="BD75" s="241"/>
      <c r="BE75" s="241"/>
      <c r="BF75" s="241" t="str">
        <f>"  " &amp; TEXT(AE75,"#0.00%") &amp; " " &amp; "1차 오픈단계" &amp; "(오승헌님)" &amp; " " &amp; IF(P75="","",TEXT(P75,"M/D-")) &amp; IF(Q75="","",TEXT(Q75,"M/D")) &amp; " "</f>
        <v xml:space="preserve">  0.00% 1차 오픈단계(오승헌님) 8/19-8/19 </v>
      </c>
      <c r="BG75" s="241"/>
      <c r="BH75" s="241"/>
      <c r="BI75" s="241"/>
      <c r="BJ75" s="241"/>
      <c r="BK75" s="241"/>
      <c r="BL75" s="241"/>
      <c r="BM75" s="241"/>
      <c r="BN75" s="241"/>
      <c r="BO75" s="241"/>
      <c r="BP75" s="241"/>
      <c r="BQ75" s="241"/>
      <c r="BR75" s="241"/>
      <c r="BS75" s="241"/>
      <c r="BT75" s="241"/>
      <c r="BU75" s="241"/>
      <c r="BV75" s="241"/>
      <c r="BW75" s="241"/>
      <c r="BX75" s="241"/>
      <c r="BY75" s="241"/>
      <c r="BZ75" s="241"/>
      <c r="CA75" s="241"/>
      <c r="CB75" s="241"/>
      <c r="CC75" s="241"/>
      <c r="CD75" s="241"/>
      <c r="CE75" s="241"/>
      <c r="CF75" s="241"/>
      <c r="CG75" s="241"/>
    </row>
    <row r="76" spans="1:85" ht="12" customHeight="1" outlineLevel="3">
      <c r="A76" s="227"/>
      <c r="B76" s="227"/>
      <c r="C76" s="227">
        <v>4</v>
      </c>
      <c r="D76" s="235" t="s">
        <v>1828</v>
      </c>
      <c r="E76" s="228"/>
      <c r="F76" s="228"/>
      <c r="G76" s="228"/>
      <c r="H76" s="228" t="s">
        <v>1764</v>
      </c>
      <c r="I76" s="228"/>
      <c r="J76" s="228"/>
      <c r="K76" s="228"/>
      <c r="L76" s="228"/>
      <c r="M76" s="228"/>
      <c r="N76" s="228"/>
      <c r="O76" s="228"/>
      <c r="P76" s="250">
        <v>45944</v>
      </c>
      <c r="Q76" s="250">
        <v>45944</v>
      </c>
      <c r="R76" s="228"/>
      <c r="S76" s="229">
        <v>1</v>
      </c>
      <c r="T76" s="229">
        <v>0</v>
      </c>
      <c r="U76" s="229">
        <v>1</v>
      </c>
      <c r="V76" s="229">
        <v>0</v>
      </c>
      <c r="W76" s="250"/>
      <c r="X76" s="250"/>
      <c r="Y76" s="230"/>
      <c r="Z76" s="231">
        <v>0</v>
      </c>
      <c r="AA76" s="229">
        <v>1</v>
      </c>
      <c r="AB76" s="228" t="s">
        <v>1883</v>
      </c>
      <c r="AC76" s="191" t="s">
        <v>1890</v>
      </c>
      <c r="AD76" s="234">
        <v>0</v>
      </c>
      <c r="AE76" s="253">
        <v>0</v>
      </c>
      <c r="AF76" s="240"/>
      <c r="AG76" s="241"/>
      <c r="AH76" s="241"/>
      <c r="AI76" s="241"/>
      <c r="AJ76" s="241"/>
      <c r="AK76" s="241"/>
      <c r="AL76" s="241"/>
      <c r="AM76" s="241"/>
      <c r="AN76" s="241"/>
      <c r="AO76" s="241"/>
      <c r="AP76" s="241"/>
      <c r="AQ76" s="241"/>
      <c r="AR76" s="241"/>
      <c r="AS76" s="241"/>
      <c r="AT76" s="241"/>
      <c r="AU76" s="241"/>
      <c r="AV76" s="241"/>
      <c r="AW76" s="241"/>
      <c r="AX76" s="241"/>
      <c r="AY76" s="241"/>
      <c r="AZ76" s="241"/>
      <c r="BA76" s="241"/>
      <c r="BB76" s="241"/>
      <c r="BC76" s="241"/>
      <c r="BD76" s="241"/>
      <c r="BE76" s="241"/>
      <c r="BF76" s="241"/>
      <c r="BG76" s="241"/>
      <c r="BH76" s="241"/>
      <c r="BI76" s="241"/>
      <c r="BJ76" s="241"/>
      <c r="BK76" s="241"/>
      <c r="BL76" s="241"/>
      <c r="BM76" s="241"/>
      <c r="BN76" s="241" t="str">
        <f>"  " &amp; TEXT(AE76,"#0.00%") &amp; " " &amp; "2차 오픈단계" &amp; "(오승헌님)" &amp; " " &amp; IF(P76="","",TEXT(P76,"M/D-")) &amp; IF(Q76="","",TEXT(Q76,"M/D")) &amp; " "</f>
        <v xml:space="preserve">  0.00% 2차 오픈단계(오승헌님) 10/14-10/14 </v>
      </c>
      <c r="BO76" s="241"/>
      <c r="BP76" s="241"/>
      <c r="BQ76" s="241"/>
      <c r="BR76" s="241"/>
      <c r="BS76" s="241"/>
      <c r="BT76" s="241"/>
      <c r="BU76" s="241"/>
      <c r="BV76" s="241"/>
      <c r="BW76" s="241"/>
      <c r="BX76" s="241"/>
      <c r="BY76" s="241"/>
      <c r="BZ76" s="241"/>
      <c r="CA76" s="241"/>
      <c r="CB76" s="241"/>
      <c r="CC76" s="241"/>
      <c r="CD76" s="241"/>
      <c r="CE76" s="241"/>
      <c r="CF76" s="241"/>
      <c r="CG76" s="241"/>
    </row>
    <row r="77" spans="1:85" ht="12" customHeight="1" outlineLevel="3">
      <c r="A77" s="227"/>
      <c r="B77" s="227"/>
      <c r="C77" s="227">
        <v>4</v>
      </c>
      <c r="D77" s="235" t="s">
        <v>1829</v>
      </c>
      <c r="E77" s="228"/>
      <c r="F77" s="228"/>
      <c r="G77" s="228"/>
      <c r="H77" s="228" t="s">
        <v>1765</v>
      </c>
      <c r="I77" s="228"/>
      <c r="J77" s="228"/>
      <c r="K77" s="228"/>
      <c r="L77" s="228"/>
      <c r="M77" s="228"/>
      <c r="N77" s="228"/>
      <c r="O77" s="228"/>
      <c r="P77" s="250">
        <v>46007</v>
      </c>
      <c r="Q77" s="250">
        <v>46007</v>
      </c>
      <c r="R77" s="228"/>
      <c r="S77" s="229">
        <v>1</v>
      </c>
      <c r="T77" s="229">
        <v>0</v>
      </c>
      <c r="U77" s="229">
        <v>1</v>
      </c>
      <c r="V77" s="229">
        <v>0</v>
      </c>
      <c r="W77" s="250"/>
      <c r="X77" s="250"/>
      <c r="Y77" s="230"/>
      <c r="Z77" s="231">
        <v>0</v>
      </c>
      <c r="AA77" s="229">
        <v>1</v>
      </c>
      <c r="AB77" s="228" t="s">
        <v>1883</v>
      </c>
      <c r="AC77" s="191" t="s">
        <v>1890</v>
      </c>
      <c r="AD77" s="234">
        <v>0</v>
      </c>
      <c r="AE77" s="253">
        <v>0</v>
      </c>
      <c r="AF77" s="240"/>
      <c r="AG77" s="241"/>
      <c r="AH77" s="241"/>
      <c r="AI77" s="241"/>
      <c r="AJ77" s="241"/>
      <c r="AK77" s="241"/>
      <c r="AL77" s="241"/>
      <c r="AM77" s="241"/>
      <c r="AN77" s="241"/>
      <c r="AO77" s="241"/>
      <c r="AP77" s="241"/>
      <c r="AQ77" s="241"/>
      <c r="AR77" s="241"/>
      <c r="AS77" s="241"/>
      <c r="AT77" s="241"/>
      <c r="AU77" s="241"/>
      <c r="AV77" s="241"/>
      <c r="AW77" s="241"/>
      <c r="AX77" s="241"/>
      <c r="AY77" s="241"/>
      <c r="AZ77" s="241"/>
      <c r="BA77" s="241"/>
      <c r="BB77" s="241"/>
      <c r="BC77" s="241"/>
      <c r="BD77" s="241"/>
      <c r="BE77" s="241"/>
      <c r="BF77" s="241"/>
      <c r="BG77" s="241"/>
      <c r="BH77" s="241"/>
      <c r="BI77" s="241"/>
      <c r="BJ77" s="241"/>
      <c r="BK77" s="241"/>
      <c r="BL77" s="241"/>
      <c r="BM77" s="241"/>
      <c r="BN77" s="241"/>
      <c r="BO77" s="241"/>
      <c r="BP77" s="241"/>
      <c r="BQ77" s="241"/>
      <c r="BR77" s="241"/>
      <c r="BS77" s="241"/>
      <c r="BT77" s="241"/>
      <c r="BU77" s="241"/>
      <c r="BV77" s="241"/>
      <c r="BW77" s="241" t="str">
        <f>"  " &amp; TEXT(AE77,"#0.00%") &amp; " " &amp; "3차 오픈단계" &amp; "(오승헌님)" &amp; " " &amp; IF(P77="","",TEXT(P77,"M/D-")) &amp; IF(Q77="","",TEXT(Q77,"M/D")) &amp; " "</f>
        <v xml:space="preserve">  0.00% 3차 오픈단계(오승헌님) 12/16-12/16 </v>
      </c>
      <c r="BX77" s="241"/>
      <c r="BY77" s="241"/>
      <c r="BZ77" s="241"/>
      <c r="CA77" s="241"/>
      <c r="CB77" s="241"/>
      <c r="CC77" s="241"/>
      <c r="CD77" s="241"/>
      <c r="CE77" s="241"/>
      <c r="CF77" s="241"/>
      <c r="CG77" s="241"/>
    </row>
    <row r="78" spans="1:85" ht="12" customHeight="1" outlineLevel="2">
      <c r="A78" s="227"/>
      <c r="B78" s="227" t="s">
        <v>1766</v>
      </c>
      <c r="C78" s="227">
        <v>3</v>
      </c>
      <c r="D78" s="235" t="s">
        <v>1475</v>
      </c>
      <c r="E78" s="228"/>
      <c r="F78" s="228"/>
      <c r="G78" s="228" t="s">
        <v>1649</v>
      </c>
      <c r="H78" s="228"/>
      <c r="I78" s="228"/>
      <c r="J78" s="228"/>
      <c r="K78" s="228"/>
      <c r="L78" s="228"/>
      <c r="M78" s="228"/>
      <c r="N78" s="228"/>
      <c r="O78" s="228"/>
      <c r="P78" s="250">
        <v>45735</v>
      </c>
      <c r="Q78" s="250">
        <v>45954</v>
      </c>
      <c r="R78" s="228"/>
      <c r="S78" s="229">
        <v>17.200000000000003</v>
      </c>
      <c r="T78" s="229">
        <v>0</v>
      </c>
      <c r="U78" s="229">
        <v>149</v>
      </c>
      <c r="V78" s="229">
        <v>0</v>
      </c>
      <c r="W78" s="250"/>
      <c r="X78" s="250"/>
      <c r="Y78" s="230">
        <v>0</v>
      </c>
      <c r="Z78" s="231">
        <v>0</v>
      </c>
      <c r="AA78" s="229"/>
      <c r="AB78" s="228"/>
      <c r="AC78" s="191"/>
      <c r="AD78" s="234">
        <v>0</v>
      </c>
      <c r="AE78" s="254">
        <v>0</v>
      </c>
      <c r="AF78" s="240"/>
      <c r="AG78" s="241"/>
      <c r="AH78" s="241"/>
      <c r="AI78" s="241"/>
      <c r="AJ78" s="241" t="str">
        <f>"   " &amp; TEXT(AE78,"#0.00%") &amp; " "</f>
        <v xml:space="preserve">   0.00% </v>
      </c>
      <c r="AK78" s="241"/>
      <c r="AL78" s="241"/>
      <c r="AM78" s="241"/>
      <c r="AN78" s="241"/>
      <c r="AO78" s="241"/>
      <c r="AP78" s="241"/>
      <c r="AQ78" s="241"/>
      <c r="AR78" s="241"/>
      <c r="AS78" s="241"/>
      <c r="AT78" s="241"/>
      <c r="AU78" s="241"/>
      <c r="AV78" s="241"/>
      <c r="AW78" s="241"/>
      <c r="AX78" s="241"/>
      <c r="AY78" s="241"/>
      <c r="AZ78" s="241"/>
      <c r="BA78" s="241"/>
      <c r="BB78" s="241"/>
      <c r="BC78" s="241"/>
      <c r="BD78" s="241"/>
      <c r="BE78" s="241"/>
      <c r="BF78" s="241"/>
      <c r="BG78" s="241"/>
      <c r="BH78" s="241"/>
      <c r="BI78" s="241"/>
      <c r="BJ78" s="241"/>
      <c r="BK78" s="241"/>
      <c r="BL78" s="241"/>
      <c r="BM78" s="241"/>
      <c r="BN78" s="241"/>
      <c r="BO78" s="241" t="str">
        <f>"      " &amp; "품질 점검" &amp; " " &amp; IF(P78="","",TEXT(P78,"M/D-")) &amp; IF(Q78="","",TEXT(Q78,"M/D")) &amp; " "</f>
        <v xml:space="preserve">      품질 점검 3/19-10/24 </v>
      </c>
      <c r="BP78" s="241"/>
      <c r="BQ78" s="241"/>
      <c r="BR78" s="241"/>
      <c r="BS78" s="241"/>
      <c r="BT78" s="241"/>
      <c r="BU78" s="241"/>
      <c r="BV78" s="241"/>
      <c r="BW78" s="241"/>
      <c r="BX78" s="241"/>
      <c r="BY78" s="241"/>
      <c r="BZ78" s="241"/>
      <c r="CA78" s="241"/>
      <c r="CB78" s="241"/>
      <c r="CC78" s="241"/>
      <c r="CD78" s="241"/>
      <c r="CE78" s="241"/>
      <c r="CF78" s="241"/>
      <c r="CG78" s="241"/>
    </row>
    <row r="79" spans="1:85" ht="12" customHeight="1" outlineLevel="3">
      <c r="A79" s="227"/>
      <c r="B79" s="227" t="s">
        <v>1766</v>
      </c>
      <c r="C79" s="227">
        <v>4</v>
      </c>
      <c r="D79" s="235" t="s">
        <v>1830</v>
      </c>
      <c r="E79" s="228"/>
      <c r="F79" s="228"/>
      <c r="G79" s="228"/>
      <c r="H79" s="228" t="s">
        <v>1650</v>
      </c>
      <c r="I79" s="228"/>
      <c r="J79" s="228"/>
      <c r="K79" s="228"/>
      <c r="L79" s="228"/>
      <c r="M79" s="228"/>
      <c r="N79" s="228"/>
      <c r="O79" s="228"/>
      <c r="P79" s="250">
        <v>45735</v>
      </c>
      <c r="Q79" s="250">
        <v>45735</v>
      </c>
      <c r="R79" s="228"/>
      <c r="S79" s="229">
        <v>0.1</v>
      </c>
      <c r="T79" s="229">
        <v>0</v>
      </c>
      <c r="U79" s="229">
        <v>1</v>
      </c>
      <c r="V79" s="229">
        <v>0</v>
      </c>
      <c r="W79" s="250"/>
      <c r="X79" s="250"/>
      <c r="Y79" s="230">
        <v>0</v>
      </c>
      <c r="Z79" s="231">
        <v>0</v>
      </c>
      <c r="AA79" s="229"/>
      <c r="AB79" s="228"/>
      <c r="AC79" s="191"/>
      <c r="AD79" s="234">
        <v>0</v>
      </c>
      <c r="AE79" s="254">
        <v>0</v>
      </c>
      <c r="AF79" s="240"/>
      <c r="AG79" s="241"/>
      <c r="AH79" s="241"/>
      <c r="AI79" s="241"/>
      <c r="AJ79" s="241" t="str">
        <f>"   " &amp; TEXT(AE79,"#0.00%") &amp; " " &amp; "착수 가이드" &amp; " " &amp; IF(P79="","",TEXT(P79,"M/D-")) &amp; IF(Q79="","",TEXT(Q79,"M/D")) &amp; " "</f>
        <v xml:space="preserve">   0.00% 착수 가이드 3/19-3/19 </v>
      </c>
      <c r="AK79" s="241"/>
      <c r="AL79" s="241"/>
      <c r="AM79" s="241"/>
      <c r="AN79" s="241"/>
      <c r="AO79" s="241"/>
      <c r="AP79" s="241"/>
      <c r="AQ79" s="241"/>
      <c r="AR79" s="241"/>
      <c r="AS79" s="241"/>
      <c r="AT79" s="241"/>
      <c r="AU79" s="241"/>
      <c r="AV79" s="241"/>
      <c r="AW79" s="241"/>
      <c r="AX79" s="241"/>
      <c r="AY79" s="241"/>
      <c r="AZ79" s="241"/>
      <c r="BA79" s="241"/>
      <c r="BB79" s="241"/>
      <c r="BC79" s="241"/>
      <c r="BD79" s="241"/>
      <c r="BE79" s="241"/>
      <c r="BF79" s="241"/>
      <c r="BG79" s="241"/>
      <c r="BH79" s="241"/>
      <c r="BI79" s="241"/>
      <c r="BJ79" s="241"/>
      <c r="BK79" s="241"/>
      <c r="BL79" s="241"/>
      <c r="BM79" s="241"/>
      <c r="BN79" s="241"/>
      <c r="BO79" s="241"/>
      <c r="BP79" s="241"/>
      <c r="BQ79" s="241"/>
      <c r="BR79" s="241"/>
      <c r="BS79" s="241"/>
      <c r="BT79" s="241"/>
      <c r="BU79" s="241"/>
      <c r="BV79" s="241"/>
      <c r="BW79" s="241"/>
      <c r="BX79" s="241"/>
      <c r="BY79" s="241"/>
      <c r="BZ79" s="241"/>
      <c r="CA79" s="241"/>
      <c r="CB79" s="241"/>
      <c r="CC79" s="241"/>
      <c r="CD79" s="241"/>
      <c r="CE79" s="241"/>
      <c r="CF79" s="241"/>
      <c r="CG79" s="241"/>
    </row>
    <row r="80" spans="1:85" ht="12" customHeight="1" outlineLevel="4">
      <c r="A80" s="227"/>
      <c r="B80" s="227"/>
      <c r="C80" s="227">
        <v>5</v>
      </c>
      <c r="D80" s="235" t="s">
        <v>1831</v>
      </c>
      <c r="E80" s="228"/>
      <c r="F80" s="228"/>
      <c r="G80" s="228"/>
      <c r="H80" s="228"/>
      <c r="I80" s="228" t="s">
        <v>1651</v>
      </c>
      <c r="J80" s="228"/>
      <c r="K80" s="228"/>
      <c r="L80" s="228"/>
      <c r="M80" s="228"/>
      <c r="N80" s="228"/>
      <c r="O80" s="228"/>
      <c r="P80" s="250">
        <v>45735</v>
      </c>
      <c r="Q80" s="250">
        <v>45735</v>
      </c>
      <c r="R80" s="228"/>
      <c r="S80" s="229">
        <v>0.1</v>
      </c>
      <c r="T80" s="229">
        <v>0</v>
      </c>
      <c r="U80" s="229">
        <v>1</v>
      </c>
      <c r="V80" s="229">
        <v>0</v>
      </c>
      <c r="W80" s="250"/>
      <c r="X80" s="250"/>
      <c r="Y80" s="230"/>
      <c r="Z80" s="231">
        <v>0</v>
      </c>
      <c r="AA80" s="229">
        <v>0.1</v>
      </c>
      <c r="AB80" s="228" t="s">
        <v>1891</v>
      </c>
      <c r="AC80" s="191"/>
      <c r="AD80" s="234">
        <v>0</v>
      </c>
      <c r="AE80" s="253">
        <v>0</v>
      </c>
      <c r="AF80" s="240"/>
      <c r="AG80" s="241"/>
      <c r="AH80" s="241"/>
      <c r="AI80" s="241"/>
      <c r="AJ80" s="241" t="str">
        <f>"   " &amp; TEXT(AE80,"#0.00%") &amp; " " &amp; "착수가이드 설명" &amp; "(서정만님)" &amp; " " &amp; IF(P80="","",TEXT(P80,"M/D-")) &amp; IF(Q80="","",TEXT(Q80,"M/D")) &amp; " "</f>
        <v xml:space="preserve">   0.00% 착수가이드 설명(서정만님) 3/19-3/19 </v>
      </c>
      <c r="AK80" s="241"/>
      <c r="AL80" s="241"/>
      <c r="AM80" s="241"/>
      <c r="AN80" s="241"/>
      <c r="AO80" s="241"/>
      <c r="AP80" s="241"/>
      <c r="AQ80" s="241"/>
      <c r="AR80" s="241"/>
      <c r="AS80" s="241"/>
      <c r="AT80" s="241"/>
      <c r="AU80" s="241"/>
      <c r="AV80" s="241"/>
      <c r="AW80" s="241"/>
      <c r="AX80" s="241"/>
      <c r="AY80" s="241"/>
      <c r="AZ80" s="241"/>
      <c r="BA80" s="241"/>
      <c r="BB80" s="241"/>
      <c r="BC80" s="241"/>
      <c r="BD80" s="241"/>
      <c r="BE80" s="241"/>
      <c r="BF80" s="241"/>
      <c r="BG80" s="241"/>
      <c r="BH80" s="241"/>
      <c r="BI80" s="241"/>
      <c r="BJ80" s="241"/>
      <c r="BK80" s="241"/>
      <c r="BL80" s="241"/>
      <c r="BM80" s="241"/>
      <c r="BN80" s="241"/>
      <c r="BO80" s="241"/>
      <c r="BP80" s="241"/>
      <c r="BQ80" s="241"/>
      <c r="BR80" s="241"/>
      <c r="BS80" s="241"/>
      <c r="BT80" s="241"/>
      <c r="BU80" s="241"/>
      <c r="BV80" s="241"/>
      <c r="BW80" s="241"/>
      <c r="BX80" s="241"/>
      <c r="BY80" s="241"/>
      <c r="BZ80" s="241"/>
      <c r="CA80" s="241"/>
      <c r="CB80" s="241"/>
      <c r="CC80" s="241"/>
      <c r="CD80" s="241"/>
      <c r="CE80" s="241"/>
      <c r="CF80" s="241"/>
      <c r="CG80" s="241"/>
    </row>
    <row r="81" spans="1:85" ht="12" customHeight="1" outlineLevel="3">
      <c r="A81" s="227"/>
      <c r="B81" s="227" t="s">
        <v>1766</v>
      </c>
      <c r="C81" s="227">
        <v>4</v>
      </c>
      <c r="D81" s="235" t="s">
        <v>1832</v>
      </c>
      <c r="E81" s="228"/>
      <c r="F81" s="228"/>
      <c r="G81" s="228"/>
      <c r="H81" s="228" t="s">
        <v>1652</v>
      </c>
      <c r="I81" s="228"/>
      <c r="J81" s="228"/>
      <c r="K81" s="228"/>
      <c r="L81" s="228"/>
      <c r="M81" s="228"/>
      <c r="N81" s="228"/>
      <c r="O81" s="228"/>
      <c r="P81" s="250">
        <v>45838</v>
      </c>
      <c r="Q81" s="250">
        <v>45856</v>
      </c>
      <c r="R81" s="228"/>
      <c r="S81" s="229">
        <v>8</v>
      </c>
      <c r="T81" s="229">
        <v>0</v>
      </c>
      <c r="U81" s="229">
        <v>15</v>
      </c>
      <c r="V81" s="229">
        <v>0</v>
      </c>
      <c r="W81" s="250"/>
      <c r="X81" s="250"/>
      <c r="Y81" s="230">
        <v>0</v>
      </c>
      <c r="Z81" s="231">
        <v>0</v>
      </c>
      <c r="AA81" s="229"/>
      <c r="AB81" s="228"/>
      <c r="AC81" s="191"/>
      <c r="AD81" s="234">
        <v>0</v>
      </c>
      <c r="AE81" s="254">
        <v>0</v>
      </c>
      <c r="AF81" s="240"/>
      <c r="AG81" s="241"/>
      <c r="AH81" s="241"/>
      <c r="AI81" s="241"/>
      <c r="AJ81" s="241"/>
      <c r="AK81" s="241"/>
      <c r="AL81" s="241"/>
      <c r="AM81" s="241"/>
      <c r="AN81" s="241"/>
      <c r="AO81" s="241"/>
      <c r="AP81" s="241"/>
      <c r="AQ81" s="241"/>
      <c r="AR81" s="241"/>
      <c r="AS81" s="241"/>
      <c r="AT81" s="241"/>
      <c r="AU81" s="241"/>
      <c r="AV81" s="241"/>
      <c r="AW81" s="241"/>
      <c r="AX81" s="241"/>
      <c r="AY81" s="241" t="str">
        <f>" " &amp; TEXT(AE81,"#0.00%") &amp; " " &amp; "중간 점검" &amp; " " &amp; IF(P81="","",TEXT(P81,"M/D-")) &amp; IF(Q81="","",TEXT(Q81,"M/D")) &amp; " "</f>
        <v xml:space="preserve"> 0.00% 중간 점검 6/30-7/18 </v>
      </c>
      <c r="AZ81" s="241"/>
      <c r="BA81" s="241"/>
      <c r="BB81" s="241"/>
      <c r="BC81" s="241"/>
      <c r="BD81" s="241"/>
      <c r="BE81" s="241"/>
      <c r="BF81" s="241"/>
      <c r="BG81" s="241"/>
      <c r="BH81" s="241"/>
      <c r="BI81" s="241"/>
      <c r="BJ81" s="241"/>
      <c r="BK81" s="241"/>
      <c r="BL81" s="241"/>
      <c r="BM81" s="241"/>
      <c r="BN81" s="241"/>
      <c r="BO81" s="241"/>
      <c r="BP81" s="241"/>
      <c r="BQ81" s="241"/>
      <c r="BR81" s="241"/>
      <c r="BS81" s="241"/>
      <c r="BT81" s="241"/>
      <c r="BU81" s="241"/>
      <c r="BV81" s="241"/>
      <c r="BW81" s="241"/>
      <c r="BX81" s="241"/>
      <c r="BY81" s="241"/>
      <c r="BZ81" s="241"/>
      <c r="CA81" s="241"/>
      <c r="CB81" s="241"/>
      <c r="CC81" s="241"/>
      <c r="CD81" s="241"/>
      <c r="CE81" s="241"/>
      <c r="CF81" s="241"/>
      <c r="CG81" s="241"/>
    </row>
    <row r="82" spans="1:85" ht="12" customHeight="1" outlineLevel="4">
      <c r="A82" s="227"/>
      <c r="B82" s="227"/>
      <c r="C82" s="227">
        <v>5</v>
      </c>
      <c r="D82" s="235" t="s">
        <v>1833</v>
      </c>
      <c r="E82" s="228"/>
      <c r="F82" s="228"/>
      <c r="G82" s="228"/>
      <c r="H82" s="228"/>
      <c r="I82" s="228" t="s">
        <v>1653</v>
      </c>
      <c r="J82" s="228"/>
      <c r="K82" s="228"/>
      <c r="L82" s="228"/>
      <c r="M82" s="228"/>
      <c r="N82" s="228"/>
      <c r="O82" s="228"/>
      <c r="P82" s="250">
        <v>45838</v>
      </c>
      <c r="Q82" s="250">
        <v>45842</v>
      </c>
      <c r="R82" s="228"/>
      <c r="S82" s="229">
        <v>0.5</v>
      </c>
      <c r="T82" s="229">
        <v>0</v>
      </c>
      <c r="U82" s="229">
        <v>5</v>
      </c>
      <c r="V82" s="229">
        <v>0</v>
      </c>
      <c r="W82" s="250"/>
      <c r="X82" s="250"/>
      <c r="Y82" s="230"/>
      <c r="Z82" s="231">
        <v>0</v>
      </c>
      <c r="AA82" s="229">
        <v>0.1</v>
      </c>
      <c r="AB82" s="228" t="s">
        <v>1891</v>
      </c>
      <c r="AC82" s="191"/>
      <c r="AD82" s="234">
        <v>0</v>
      </c>
      <c r="AE82" s="253">
        <v>0</v>
      </c>
      <c r="AF82" s="240"/>
      <c r="AG82" s="241"/>
      <c r="AH82" s="241"/>
      <c r="AI82" s="241"/>
      <c r="AJ82" s="241"/>
      <c r="AK82" s="241"/>
      <c r="AL82" s="241"/>
      <c r="AM82" s="241"/>
      <c r="AN82" s="241"/>
      <c r="AO82" s="241"/>
      <c r="AP82" s="241"/>
      <c r="AQ82" s="241"/>
      <c r="AR82" s="241"/>
      <c r="AS82" s="241"/>
      <c r="AT82" s="241"/>
      <c r="AU82" s="241"/>
      <c r="AV82" s="241"/>
      <c r="AW82" s="241"/>
      <c r="AX82" s="241"/>
      <c r="AY82" s="241" t="str">
        <f>" " &amp; TEXT(AE82,"#0.00%") &amp; " " &amp; "중간점검 계획수립" &amp; "(서정만님)" &amp; " " &amp; IF(P82="","",TEXT(P82,"M/D-")) &amp; IF(Q82="","",TEXT(Q82,"M/D")) &amp; " "</f>
        <v xml:space="preserve"> 0.00% 중간점검 계획수립(서정만님) 6/30-7/4 </v>
      </c>
      <c r="AZ82" s="241"/>
      <c r="BA82" s="241"/>
      <c r="BB82" s="241"/>
      <c r="BC82" s="241"/>
      <c r="BD82" s="241"/>
      <c r="BE82" s="241"/>
      <c r="BF82" s="241"/>
      <c r="BG82" s="241"/>
      <c r="BH82" s="241"/>
      <c r="BI82" s="241"/>
      <c r="BJ82" s="241"/>
      <c r="BK82" s="241"/>
      <c r="BL82" s="241"/>
      <c r="BM82" s="241"/>
      <c r="BN82" s="241"/>
      <c r="BO82" s="241"/>
      <c r="BP82" s="241"/>
      <c r="BQ82" s="241"/>
      <c r="BR82" s="241"/>
      <c r="BS82" s="241"/>
      <c r="BT82" s="241"/>
      <c r="BU82" s="241"/>
      <c r="BV82" s="241"/>
      <c r="BW82" s="241"/>
      <c r="BX82" s="241"/>
      <c r="BY82" s="241"/>
      <c r="BZ82" s="241"/>
      <c r="CA82" s="241"/>
      <c r="CB82" s="241"/>
      <c r="CC82" s="241"/>
      <c r="CD82" s="241"/>
      <c r="CE82" s="241"/>
      <c r="CF82" s="241"/>
      <c r="CG82" s="241"/>
    </row>
    <row r="83" spans="1:85" ht="12" customHeight="1" outlineLevel="4">
      <c r="A83" s="227"/>
      <c r="B83" s="227"/>
      <c r="C83" s="227">
        <v>5</v>
      </c>
      <c r="D83" s="235" t="s">
        <v>1834</v>
      </c>
      <c r="E83" s="228"/>
      <c r="F83" s="228"/>
      <c r="G83" s="228"/>
      <c r="H83" s="228"/>
      <c r="I83" s="228" t="s">
        <v>1654</v>
      </c>
      <c r="J83" s="228"/>
      <c r="K83" s="228"/>
      <c r="L83" s="228"/>
      <c r="M83" s="228"/>
      <c r="N83" s="228"/>
      <c r="O83" s="228"/>
      <c r="P83" s="250">
        <v>45845</v>
      </c>
      <c r="Q83" s="250">
        <v>45849</v>
      </c>
      <c r="R83" s="228"/>
      <c r="S83" s="229">
        <v>5</v>
      </c>
      <c r="T83" s="229">
        <v>0</v>
      </c>
      <c r="U83" s="229">
        <v>5</v>
      </c>
      <c r="V83" s="229">
        <v>0</v>
      </c>
      <c r="W83" s="250"/>
      <c r="X83" s="250"/>
      <c r="Y83" s="230"/>
      <c r="Z83" s="231">
        <v>0</v>
      </c>
      <c r="AA83" s="229">
        <v>1</v>
      </c>
      <c r="AB83" s="228" t="s">
        <v>1892</v>
      </c>
      <c r="AC83" s="191"/>
      <c r="AD83" s="234">
        <v>0</v>
      </c>
      <c r="AE83" s="253">
        <v>0</v>
      </c>
      <c r="AF83" s="240"/>
      <c r="AG83" s="241"/>
      <c r="AH83" s="241"/>
      <c r="AI83" s="241"/>
      <c r="AJ83" s="241"/>
      <c r="AK83" s="241"/>
      <c r="AL83" s="241"/>
      <c r="AM83" s="241"/>
      <c r="AN83" s="241"/>
      <c r="AO83" s="241"/>
      <c r="AP83" s="241"/>
      <c r="AQ83" s="241"/>
      <c r="AR83" s="241"/>
      <c r="AS83" s="241"/>
      <c r="AT83" s="241"/>
      <c r="AU83" s="241"/>
      <c r="AV83" s="241"/>
      <c r="AW83" s="241"/>
      <c r="AX83" s="241"/>
      <c r="AY83" s="241"/>
      <c r="AZ83" s="241" t="str">
        <f>" " &amp; TEXT(AE83,"#0.00%") &amp; " " &amp; "중간점검 수행" &amp; "(PL)" &amp; " " &amp; IF(P83="","",TEXT(P83,"M/D-")) &amp; IF(Q83="","",TEXT(Q83,"M/D")) &amp; " "</f>
        <v xml:space="preserve"> 0.00% 중간점검 수행(PL) 7/7-7/11 </v>
      </c>
      <c r="BA83" s="241"/>
      <c r="BB83" s="241"/>
      <c r="BC83" s="241"/>
      <c r="BD83" s="241"/>
      <c r="BE83" s="241"/>
      <c r="BF83" s="241"/>
      <c r="BG83" s="241"/>
      <c r="BH83" s="241"/>
      <c r="BI83" s="241"/>
      <c r="BJ83" s="241"/>
      <c r="BK83" s="241"/>
      <c r="BL83" s="241"/>
      <c r="BM83" s="241"/>
      <c r="BN83" s="241"/>
      <c r="BO83" s="241"/>
      <c r="BP83" s="241"/>
      <c r="BQ83" s="241"/>
      <c r="BR83" s="241"/>
      <c r="BS83" s="241"/>
      <c r="BT83" s="241"/>
      <c r="BU83" s="241"/>
      <c r="BV83" s="241"/>
      <c r="BW83" s="241"/>
      <c r="BX83" s="241"/>
      <c r="BY83" s="241"/>
      <c r="BZ83" s="241"/>
      <c r="CA83" s="241"/>
      <c r="CB83" s="241"/>
      <c r="CC83" s="241"/>
      <c r="CD83" s="241"/>
      <c r="CE83" s="241"/>
      <c r="CF83" s="241"/>
      <c r="CG83" s="241"/>
    </row>
    <row r="84" spans="1:85" ht="12" customHeight="1" outlineLevel="4">
      <c r="A84" s="227"/>
      <c r="B84" s="227"/>
      <c r="C84" s="227">
        <v>5</v>
      </c>
      <c r="D84" s="235" t="s">
        <v>1835</v>
      </c>
      <c r="E84" s="228"/>
      <c r="F84" s="228"/>
      <c r="G84" s="228"/>
      <c r="H84" s="228"/>
      <c r="I84" s="228" t="s">
        <v>1655</v>
      </c>
      <c r="J84" s="228"/>
      <c r="K84" s="228"/>
      <c r="L84" s="228"/>
      <c r="M84" s="228"/>
      <c r="N84" s="228"/>
      <c r="O84" s="228"/>
      <c r="P84" s="250">
        <v>45852</v>
      </c>
      <c r="Q84" s="250">
        <v>45856</v>
      </c>
      <c r="R84" s="228"/>
      <c r="S84" s="229">
        <v>2.5</v>
      </c>
      <c r="T84" s="229">
        <v>0</v>
      </c>
      <c r="U84" s="229">
        <v>5</v>
      </c>
      <c r="V84" s="229">
        <v>0</v>
      </c>
      <c r="W84" s="250"/>
      <c r="X84" s="250"/>
      <c r="Y84" s="230"/>
      <c r="Z84" s="231">
        <v>0</v>
      </c>
      <c r="AA84" s="229">
        <v>0.5</v>
      </c>
      <c r="AB84" s="228" t="s">
        <v>1892</v>
      </c>
      <c r="AC84" s="191"/>
      <c r="AD84" s="234">
        <v>0</v>
      </c>
      <c r="AE84" s="253">
        <v>0</v>
      </c>
      <c r="AF84" s="240"/>
      <c r="AG84" s="241"/>
      <c r="AH84" s="241"/>
      <c r="AI84" s="241"/>
      <c r="AJ84" s="241"/>
      <c r="AK84" s="241"/>
      <c r="AL84" s="241"/>
      <c r="AM84" s="241"/>
      <c r="AN84" s="241"/>
      <c r="AO84" s="241"/>
      <c r="AP84" s="241"/>
      <c r="AQ84" s="241"/>
      <c r="AR84" s="241"/>
      <c r="AS84" s="241"/>
      <c r="AT84" s="241"/>
      <c r="AU84" s="241"/>
      <c r="AV84" s="241"/>
      <c r="AW84" s="241"/>
      <c r="AX84" s="241"/>
      <c r="AY84" s="241"/>
      <c r="AZ84" s="241"/>
      <c r="BA84" s="241" t="str">
        <f>" " &amp; TEXT(AE84,"#0.00%") &amp; " " &amp; "점검결과 개선" &amp; "(PL)" &amp; " " &amp; IF(P84="","",TEXT(P84,"M/D-")) &amp; IF(Q84="","",TEXT(Q84,"M/D")) &amp; " "</f>
        <v xml:space="preserve"> 0.00% 점검결과 개선(PL) 7/14-7/18 </v>
      </c>
      <c r="BB84" s="241"/>
      <c r="BC84" s="241"/>
      <c r="BD84" s="241"/>
      <c r="BE84" s="241"/>
      <c r="BF84" s="241"/>
      <c r="BG84" s="241"/>
      <c r="BH84" s="241"/>
      <c r="BI84" s="241"/>
      <c r="BJ84" s="241"/>
      <c r="BK84" s="241"/>
      <c r="BL84" s="241"/>
      <c r="BM84" s="241"/>
      <c r="BN84" s="241"/>
      <c r="BO84" s="241"/>
      <c r="BP84" s="241"/>
      <c r="BQ84" s="241"/>
      <c r="BR84" s="241"/>
      <c r="BS84" s="241"/>
      <c r="BT84" s="241"/>
      <c r="BU84" s="241"/>
      <c r="BV84" s="241"/>
      <c r="BW84" s="241"/>
      <c r="BX84" s="241"/>
      <c r="BY84" s="241"/>
      <c r="BZ84" s="241"/>
      <c r="CA84" s="241"/>
      <c r="CB84" s="241"/>
      <c r="CC84" s="241"/>
      <c r="CD84" s="241"/>
      <c r="CE84" s="241"/>
      <c r="CF84" s="241"/>
      <c r="CG84" s="241"/>
    </row>
    <row r="85" spans="1:85" ht="12" customHeight="1" outlineLevel="3">
      <c r="A85" s="227"/>
      <c r="B85" s="227" t="s">
        <v>1766</v>
      </c>
      <c r="C85" s="227">
        <v>4</v>
      </c>
      <c r="D85" s="235" t="s">
        <v>1836</v>
      </c>
      <c r="E85" s="228"/>
      <c r="F85" s="228"/>
      <c r="G85" s="228"/>
      <c r="H85" s="228" t="s">
        <v>1656</v>
      </c>
      <c r="I85" s="228"/>
      <c r="J85" s="228"/>
      <c r="K85" s="228"/>
      <c r="L85" s="228"/>
      <c r="M85" s="228"/>
      <c r="N85" s="228"/>
      <c r="O85" s="228"/>
      <c r="P85" s="250">
        <v>45929</v>
      </c>
      <c r="Q85" s="250">
        <v>45954</v>
      </c>
      <c r="R85" s="228"/>
      <c r="S85" s="229">
        <v>9.1</v>
      </c>
      <c r="T85" s="229">
        <v>0</v>
      </c>
      <c r="U85" s="229">
        <v>15</v>
      </c>
      <c r="V85" s="229">
        <v>0</v>
      </c>
      <c r="W85" s="250"/>
      <c r="X85" s="250"/>
      <c r="Y85" s="230">
        <v>0</v>
      </c>
      <c r="Z85" s="231">
        <v>0</v>
      </c>
      <c r="AA85" s="229"/>
      <c r="AB85" s="228"/>
      <c r="AC85" s="191"/>
      <c r="AD85" s="234">
        <v>0</v>
      </c>
      <c r="AE85" s="254">
        <v>0</v>
      </c>
      <c r="AF85" s="240"/>
      <c r="AG85" s="241"/>
      <c r="AH85" s="241"/>
      <c r="AI85" s="241"/>
      <c r="AJ85" s="241"/>
      <c r="AK85" s="241"/>
      <c r="AL85" s="241"/>
      <c r="AM85" s="241"/>
      <c r="AN85" s="241"/>
      <c r="AO85" s="241"/>
      <c r="AP85" s="241"/>
      <c r="AQ85" s="241"/>
      <c r="AR85" s="241"/>
      <c r="AS85" s="241"/>
      <c r="AT85" s="241"/>
      <c r="AU85" s="241"/>
      <c r="AV85" s="241"/>
      <c r="AW85" s="241"/>
      <c r="AX85" s="241"/>
      <c r="AY85" s="241"/>
      <c r="AZ85" s="241"/>
      <c r="BA85" s="241"/>
      <c r="BB85" s="241"/>
      <c r="BC85" s="241"/>
      <c r="BD85" s="241"/>
      <c r="BE85" s="241"/>
      <c r="BF85" s="241"/>
      <c r="BG85" s="241"/>
      <c r="BH85" s="241"/>
      <c r="BI85" s="241"/>
      <c r="BJ85" s="241"/>
      <c r="BK85" s="241"/>
      <c r="BL85" s="241" t="str">
        <f>" " &amp; TEXT(AE85,"#0.00%") &amp; " "</f>
        <v xml:space="preserve"> 0.00% </v>
      </c>
      <c r="BM85" s="241"/>
      <c r="BN85" s="241"/>
      <c r="BO85" s="241" t="str">
        <f>"      " &amp; "오픈 사전 점검" &amp; " " &amp; IF(P85="","",TEXT(P85,"M/D-")) &amp; IF(Q85="","",TEXT(Q85,"M/D")) &amp; " "</f>
        <v xml:space="preserve">      오픈 사전 점검 9/29-10/24 </v>
      </c>
      <c r="BP85" s="241"/>
      <c r="BQ85" s="241"/>
      <c r="BR85" s="241"/>
      <c r="BS85" s="241"/>
      <c r="BT85" s="241"/>
      <c r="BU85" s="241"/>
      <c r="BV85" s="241"/>
      <c r="BW85" s="241"/>
      <c r="BX85" s="241"/>
      <c r="BY85" s="241"/>
      <c r="BZ85" s="241"/>
      <c r="CA85" s="241"/>
      <c r="CB85" s="241"/>
      <c r="CC85" s="241"/>
      <c r="CD85" s="241"/>
      <c r="CE85" s="241"/>
      <c r="CF85" s="241"/>
      <c r="CG85" s="241"/>
    </row>
    <row r="86" spans="1:85" ht="12" customHeight="1" outlineLevel="4">
      <c r="A86" s="227"/>
      <c r="B86" s="227"/>
      <c r="C86" s="227">
        <v>5</v>
      </c>
      <c r="D86" s="235" t="s">
        <v>1837</v>
      </c>
      <c r="E86" s="228"/>
      <c r="F86" s="228"/>
      <c r="G86" s="228"/>
      <c r="H86" s="228"/>
      <c r="I86" s="228" t="s">
        <v>1657</v>
      </c>
      <c r="J86" s="228"/>
      <c r="K86" s="228"/>
      <c r="L86" s="228"/>
      <c r="M86" s="228"/>
      <c r="N86" s="228"/>
      <c r="O86" s="228"/>
      <c r="P86" s="250">
        <v>45929</v>
      </c>
      <c r="Q86" s="250">
        <v>45933</v>
      </c>
      <c r="R86" s="228"/>
      <c r="S86" s="229">
        <v>0.4</v>
      </c>
      <c r="T86" s="229">
        <v>0</v>
      </c>
      <c r="U86" s="229">
        <v>4</v>
      </c>
      <c r="V86" s="229">
        <v>0</v>
      </c>
      <c r="W86" s="250"/>
      <c r="X86" s="250"/>
      <c r="Y86" s="230"/>
      <c r="Z86" s="231">
        <v>0</v>
      </c>
      <c r="AA86" s="229">
        <v>0.1</v>
      </c>
      <c r="AB86" s="228" t="s">
        <v>1891</v>
      </c>
      <c r="AC86" s="191"/>
      <c r="AD86" s="234">
        <v>0</v>
      </c>
      <c r="AE86" s="253">
        <v>0</v>
      </c>
      <c r="AF86" s="240"/>
      <c r="AG86" s="241"/>
      <c r="AH86" s="241"/>
      <c r="AI86" s="241"/>
      <c r="AJ86" s="241"/>
      <c r="AK86" s="241"/>
      <c r="AL86" s="241"/>
      <c r="AM86" s="241"/>
      <c r="AN86" s="241"/>
      <c r="AO86" s="241"/>
      <c r="AP86" s="241"/>
      <c r="AQ86" s="241"/>
      <c r="AR86" s="241"/>
      <c r="AS86" s="241"/>
      <c r="AT86" s="241"/>
      <c r="AU86" s="241"/>
      <c r="AV86" s="241"/>
      <c r="AW86" s="241"/>
      <c r="AX86" s="241"/>
      <c r="AY86" s="241"/>
      <c r="AZ86" s="241"/>
      <c r="BA86" s="241"/>
      <c r="BB86" s="241"/>
      <c r="BC86" s="241"/>
      <c r="BD86" s="241"/>
      <c r="BE86" s="241"/>
      <c r="BF86" s="241"/>
      <c r="BG86" s="241"/>
      <c r="BH86" s="241"/>
      <c r="BI86" s="241"/>
      <c r="BJ86" s="241"/>
      <c r="BK86" s="241"/>
      <c r="BL86" s="241" t="str">
        <f>" " &amp; TEXT(AE86,"#0.00%") &amp; " " &amp; "오픈 사전 점검 계획수립" &amp; "(서정만님)" &amp; " " &amp; IF(P86="","",TEXT(P86,"M/D-")) &amp; IF(Q86="","",TEXT(Q86,"M/D")) &amp; " "</f>
        <v xml:space="preserve"> 0.00% 오픈 사전 점검 계획수립(서정만님) 9/29-10/3 </v>
      </c>
      <c r="BM86" s="241"/>
      <c r="BN86" s="241"/>
      <c r="BO86" s="241"/>
      <c r="BP86" s="241"/>
      <c r="BQ86" s="241"/>
      <c r="BR86" s="241"/>
      <c r="BS86" s="241"/>
      <c r="BT86" s="241"/>
      <c r="BU86" s="241"/>
      <c r="BV86" s="241"/>
      <c r="BW86" s="241"/>
      <c r="BX86" s="241"/>
      <c r="BY86" s="241"/>
      <c r="BZ86" s="241"/>
      <c r="CA86" s="241"/>
      <c r="CB86" s="241"/>
      <c r="CC86" s="241"/>
      <c r="CD86" s="241"/>
      <c r="CE86" s="241"/>
      <c r="CF86" s="241"/>
      <c r="CG86" s="241"/>
    </row>
    <row r="87" spans="1:85" ht="12" customHeight="1" outlineLevel="4">
      <c r="A87" s="227"/>
      <c r="B87" s="227"/>
      <c r="C87" s="227">
        <v>5</v>
      </c>
      <c r="D87" s="235" t="s">
        <v>1838</v>
      </c>
      <c r="E87" s="228"/>
      <c r="F87" s="228"/>
      <c r="G87" s="228"/>
      <c r="H87" s="228"/>
      <c r="I87" s="228" t="s">
        <v>1658</v>
      </c>
      <c r="J87" s="228"/>
      <c r="K87" s="228"/>
      <c r="L87" s="228"/>
      <c r="M87" s="228"/>
      <c r="N87" s="228"/>
      <c r="O87" s="228"/>
      <c r="P87" s="250">
        <v>45929</v>
      </c>
      <c r="Q87" s="250">
        <v>45933</v>
      </c>
      <c r="R87" s="228"/>
      <c r="S87" s="229">
        <v>1.2</v>
      </c>
      <c r="T87" s="229">
        <v>0</v>
      </c>
      <c r="U87" s="229">
        <v>4</v>
      </c>
      <c r="V87" s="229">
        <v>0</v>
      </c>
      <c r="W87" s="250"/>
      <c r="X87" s="250"/>
      <c r="Y87" s="230"/>
      <c r="Z87" s="231">
        <v>0</v>
      </c>
      <c r="AA87" s="229">
        <v>0.3</v>
      </c>
      <c r="AB87" s="228" t="s">
        <v>1892</v>
      </c>
      <c r="AC87" s="191"/>
      <c r="AD87" s="234">
        <v>0</v>
      </c>
      <c r="AE87" s="253">
        <v>0</v>
      </c>
      <c r="AF87" s="240"/>
      <c r="AG87" s="241"/>
      <c r="AH87" s="241"/>
      <c r="AI87" s="241"/>
      <c r="AJ87" s="241"/>
      <c r="AK87" s="241"/>
      <c r="AL87" s="241"/>
      <c r="AM87" s="241"/>
      <c r="AN87" s="241"/>
      <c r="AO87" s="241"/>
      <c r="AP87" s="241"/>
      <c r="AQ87" s="241"/>
      <c r="AR87" s="241"/>
      <c r="AS87" s="241"/>
      <c r="AT87" s="241"/>
      <c r="AU87" s="241"/>
      <c r="AV87" s="241"/>
      <c r="AW87" s="241"/>
      <c r="AX87" s="241"/>
      <c r="AY87" s="241"/>
      <c r="AZ87" s="241"/>
      <c r="BA87" s="241"/>
      <c r="BB87" s="241"/>
      <c r="BC87" s="241"/>
      <c r="BD87" s="241"/>
      <c r="BE87" s="241"/>
      <c r="BF87" s="241"/>
      <c r="BG87" s="241"/>
      <c r="BH87" s="241"/>
      <c r="BI87" s="241"/>
      <c r="BJ87" s="241"/>
      <c r="BK87" s="241"/>
      <c r="BL87" s="241" t="str">
        <f>" " &amp; TEXT(AE87,"#0.00%") &amp; " " &amp; "오픈 사전 테스트 수행" &amp; "(PL)" &amp; " " &amp; IF(P87="","",TEXT(P87,"M/D-")) &amp; IF(Q87="","",TEXT(Q87,"M/D")) &amp; " "</f>
        <v xml:space="preserve"> 0.00% 오픈 사전 테스트 수행(PL) 9/29-10/3 </v>
      </c>
      <c r="BM87" s="241"/>
      <c r="BN87" s="241"/>
      <c r="BO87" s="241"/>
      <c r="BP87" s="241"/>
      <c r="BQ87" s="241"/>
      <c r="BR87" s="241"/>
      <c r="BS87" s="241"/>
      <c r="BT87" s="241"/>
      <c r="BU87" s="241"/>
      <c r="BV87" s="241"/>
      <c r="BW87" s="241"/>
      <c r="BX87" s="241"/>
      <c r="BY87" s="241"/>
      <c r="BZ87" s="241"/>
      <c r="CA87" s="241"/>
      <c r="CB87" s="241"/>
      <c r="CC87" s="241"/>
      <c r="CD87" s="241"/>
      <c r="CE87" s="241"/>
      <c r="CF87" s="241"/>
      <c r="CG87" s="241"/>
    </row>
    <row r="88" spans="1:85" ht="12" customHeight="1" outlineLevel="4">
      <c r="A88" s="227"/>
      <c r="B88" s="227"/>
      <c r="C88" s="227">
        <v>5</v>
      </c>
      <c r="D88" s="235" t="s">
        <v>1839</v>
      </c>
      <c r="E88" s="228"/>
      <c r="F88" s="228"/>
      <c r="G88" s="228"/>
      <c r="H88" s="228"/>
      <c r="I88" s="228" t="s">
        <v>1659</v>
      </c>
      <c r="J88" s="228"/>
      <c r="K88" s="228"/>
      <c r="L88" s="228"/>
      <c r="M88" s="228"/>
      <c r="N88" s="228"/>
      <c r="O88" s="228"/>
      <c r="P88" s="250">
        <v>45943</v>
      </c>
      <c r="Q88" s="250">
        <v>45947</v>
      </c>
      <c r="R88" s="228"/>
      <c r="S88" s="229">
        <v>5</v>
      </c>
      <c r="T88" s="229">
        <v>0</v>
      </c>
      <c r="U88" s="229">
        <v>5</v>
      </c>
      <c r="V88" s="229">
        <v>0</v>
      </c>
      <c r="W88" s="250"/>
      <c r="X88" s="250"/>
      <c r="Y88" s="230"/>
      <c r="Z88" s="231">
        <v>0</v>
      </c>
      <c r="AA88" s="229">
        <v>1</v>
      </c>
      <c r="AB88" s="228" t="s">
        <v>1892</v>
      </c>
      <c r="AC88" s="191"/>
      <c r="AD88" s="234">
        <v>0</v>
      </c>
      <c r="AE88" s="253">
        <v>0</v>
      </c>
      <c r="AF88" s="240"/>
      <c r="AG88" s="241"/>
      <c r="AH88" s="241"/>
      <c r="AI88" s="241"/>
      <c r="AJ88" s="241"/>
      <c r="AK88" s="241"/>
      <c r="AL88" s="241"/>
      <c r="AM88" s="241"/>
      <c r="AN88" s="241"/>
      <c r="AO88" s="241"/>
      <c r="AP88" s="241"/>
      <c r="AQ88" s="241"/>
      <c r="AR88" s="241"/>
      <c r="AS88" s="241"/>
      <c r="AT88" s="241"/>
      <c r="AU88" s="241"/>
      <c r="AV88" s="241"/>
      <c r="AW88" s="241"/>
      <c r="AX88" s="241"/>
      <c r="AY88" s="241"/>
      <c r="AZ88" s="241"/>
      <c r="BA88" s="241"/>
      <c r="BB88" s="241"/>
      <c r="BC88" s="241"/>
      <c r="BD88" s="241"/>
      <c r="BE88" s="241"/>
      <c r="BF88" s="241"/>
      <c r="BG88" s="241"/>
      <c r="BH88" s="241"/>
      <c r="BI88" s="241"/>
      <c r="BJ88" s="241"/>
      <c r="BK88" s="241"/>
      <c r="BL88" s="241"/>
      <c r="BM88" s="241"/>
      <c r="BN88" s="241" t="str">
        <f>" " &amp; TEXT(AE88,"#0.00%") &amp; " " &amp; "오픈 사전 점검 수행" &amp; "(PL)" &amp; " " &amp; IF(P88="","",TEXT(P88,"M/D-")) &amp; IF(Q88="","",TEXT(Q88,"M/D")) &amp; " "</f>
        <v xml:space="preserve"> 0.00% 오픈 사전 점검 수행(PL) 10/13-10/17 </v>
      </c>
      <c r="BO88" s="241"/>
      <c r="BP88" s="241"/>
      <c r="BQ88" s="241"/>
      <c r="BR88" s="241"/>
      <c r="BS88" s="241"/>
      <c r="BT88" s="241"/>
      <c r="BU88" s="241"/>
      <c r="BV88" s="241"/>
      <c r="BW88" s="241"/>
      <c r="BX88" s="241"/>
      <c r="BY88" s="241"/>
      <c r="BZ88" s="241"/>
      <c r="CA88" s="241"/>
      <c r="CB88" s="241"/>
      <c r="CC88" s="241"/>
      <c r="CD88" s="241"/>
      <c r="CE88" s="241"/>
      <c r="CF88" s="241"/>
      <c r="CG88" s="241"/>
    </row>
    <row r="89" spans="1:85" ht="12" customHeight="1" outlineLevel="4">
      <c r="A89" s="227"/>
      <c r="B89" s="227"/>
      <c r="C89" s="227">
        <v>5</v>
      </c>
      <c r="D89" s="235" t="s">
        <v>1840</v>
      </c>
      <c r="E89" s="228"/>
      <c r="F89" s="228"/>
      <c r="G89" s="228"/>
      <c r="H89" s="228"/>
      <c r="I89" s="228" t="s">
        <v>1655</v>
      </c>
      <c r="J89" s="228"/>
      <c r="K89" s="228"/>
      <c r="L89" s="228"/>
      <c r="M89" s="228"/>
      <c r="N89" s="228"/>
      <c r="O89" s="228"/>
      <c r="P89" s="250">
        <v>45950</v>
      </c>
      <c r="Q89" s="250">
        <v>45954</v>
      </c>
      <c r="R89" s="228"/>
      <c r="S89" s="229">
        <v>2.5</v>
      </c>
      <c r="T89" s="229">
        <v>0</v>
      </c>
      <c r="U89" s="229">
        <v>5</v>
      </c>
      <c r="V89" s="229">
        <v>0</v>
      </c>
      <c r="W89" s="250"/>
      <c r="X89" s="250"/>
      <c r="Y89" s="230"/>
      <c r="Z89" s="231">
        <v>0</v>
      </c>
      <c r="AA89" s="229">
        <v>0.5</v>
      </c>
      <c r="AB89" s="228" t="s">
        <v>1892</v>
      </c>
      <c r="AC89" s="191"/>
      <c r="AD89" s="234">
        <v>0</v>
      </c>
      <c r="AE89" s="253">
        <v>0</v>
      </c>
      <c r="AF89" s="240"/>
      <c r="AG89" s="241"/>
      <c r="AH89" s="241"/>
      <c r="AI89" s="241"/>
      <c r="AJ89" s="241"/>
      <c r="AK89" s="241"/>
      <c r="AL89" s="241"/>
      <c r="AM89" s="241"/>
      <c r="AN89" s="241"/>
      <c r="AO89" s="241"/>
      <c r="AP89" s="241"/>
      <c r="AQ89" s="241"/>
      <c r="AR89" s="241"/>
      <c r="AS89" s="241"/>
      <c r="AT89" s="241"/>
      <c r="AU89" s="241"/>
      <c r="AV89" s="241"/>
      <c r="AW89" s="241"/>
      <c r="AX89" s="241"/>
      <c r="AY89" s="241"/>
      <c r="AZ89" s="241"/>
      <c r="BA89" s="241"/>
      <c r="BB89" s="241"/>
      <c r="BC89" s="241"/>
      <c r="BD89" s="241"/>
      <c r="BE89" s="241"/>
      <c r="BF89" s="241"/>
      <c r="BG89" s="241"/>
      <c r="BH89" s="241"/>
      <c r="BI89" s="241"/>
      <c r="BJ89" s="241"/>
      <c r="BK89" s="241"/>
      <c r="BL89" s="241"/>
      <c r="BM89" s="241"/>
      <c r="BN89" s="241"/>
      <c r="BO89" s="241" t="str">
        <f>" " &amp; TEXT(AE89,"#0.00%") &amp; " " &amp; "점검결과 개선" &amp; "(PL)" &amp; " " &amp; IF(P89="","",TEXT(P89,"M/D-")) &amp; IF(Q89="","",TEXT(Q89,"M/D")) &amp; " "</f>
        <v xml:space="preserve"> 0.00% 점검결과 개선(PL) 10/20-10/24 </v>
      </c>
      <c r="BP89" s="241"/>
      <c r="BQ89" s="241"/>
      <c r="BR89" s="241"/>
      <c r="BS89" s="241"/>
      <c r="BT89" s="241"/>
      <c r="BU89" s="241"/>
      <c r="BV89" s="241"/>
      <c r="BW89" s="241"/>
      <c r="BX89" s="241"/>
      <c r="BY89" s="241"/>
      <c r="BZ89" s="241"/>
      <c r="CA89" s="241"/>
      <c r="CB89" s="241"/>
      <c r="CC89" s="241"/>
      <c r="CD89" s="241"/>
      <c r="CE89" s="241"/>
      <c r="CF89" s="241"/>
      <c r="CG89" s="241"/>
    </row>
    <row r="90" spans="1:85" ht="12" customHeight="1" outlineLevel="2">
      <c r="A90" s="227"/>
      <c r="B90" s="227" t="s">
        <v>1766</v>
      </c>
      <c r="C90" s="227">
        <v>3</v>
      </c>
      <c r="D90" s="235" t="s">
        <v>1841</v>
      </c>
      <c r="E90" s="228"/>
      <c r="F90" s="228"/>
      <c r="G90" s="228" t="s">
        <v>1660</v>
      </c>
      <c r="H90" s="228"/>
      <c r="I90" s="228"/>
      <c r="J90" s="228"/>
      <c r="K90" s="228"/>
      <c r="L90" s="228"/>
      <c r="M90" s="228"/>
      <c r="N90" s="228"/>
      <c r="O90" s="228"/>
      <c r="P90" s="250">
        <v>45908</v>
      </c>
      <c r="Q90" s="250">
        <v>45933</v>
      </c>
      <c r="R90" s="228"/>
      <c r="S90" s="229">
        <v>19.3</v>
      </c>
      <c r="T90" s="229">
        <v>0</v>
      </c>
      <c r="U90" s="229">
        <v>19</v>
      </c>
      <c r="V90" s="229">
        <v>0</v>
      </c>
      <c r="W90" s="250"/>
      <c r="X90" s="250"/>
      <c r="Y90" s="230">
        <v>0</v>
      </c>
      <c r="Z90" s="231">
        <v>0</v>
      </c>
      <c r="AA90" s="229"/>
      <c r="AB90" s="228"/>
      <c r="AC90" s="191"/>
      <c r="AD90" s="234">
        <v>0</v>
      </c>
      <c r="AE90" s="254">
        <v>0</v>
      </c>
      <c r="AF90" s="240"/>
      <c r="AG90" s="241"/>
      <c r="AH90" s="241"/>
      <c r="AI90" s="241"/>
      <c r="AJ90" s="241"/>
      <c r="AK90" s="241"/>
      <c r="AL90" s="241"/>
      <c r="AM90" s="241"/>
      <c r="AN90" s="241"/>
      <c r="AO90" s="241"/>
      <c r="AP90" s="241"/>
      <c r="AQ90" s="241"/>
      <c r="AR90" s="241"/>
      <c r="AS90" s="241"/>
      <c r="AT90" s="241"/>
      <c r="AU90" s="241"/>
      <c r="AV90" s="241"/>
      <c r="AW90" s="241"/>
      <c r="AX90" s="241"/>
      <c r="AY90" s="241"/>
      <c r="AZ90" s="241"/>
      <c r="BA90" s="241"/>
      <c r="BB90" s="241"/>
      <c r="BC90" s="241"/>
      <c r="BD90" s="241"/>
      <c r="BE90" s="241"/>
      <c r="BF90" s="241"/>
      <c r="BG90" s="241"/>
      <c r="BH90" s="241"/>
      <c r="BI90" s="241" t="str">
        <f>" " &amp; TEXT(AE90,"#0.00%") &amp; " "</f>
        <v xml:space="preserve"> 0.00% </v>
      </c>
      <c r="BJ90" s="241"/>
      <c r="BK90" s="241"/>
      <c r="BL90" s="241" t="str">
        <f>"      " &amp; "시스템 점검" &amp; " " &amp; IF(P90="","",TEXT(P90,"M/D-")) &amp; IF(Q90="","",TEXT(Q90,"M/D")) &amp; " "</f>
        <v xml:space="preserve">      시스템 점검 9/8-10/3 </v>
      </c>
      <c r="BM90" s="241"/>
      <c r="BN90" s="241"/>
      <c r="BO90" s="241"/>
      <c r="BP90" s="241"/>
      <c r="BQ90" s="241"/>
      <c r="BR90" s="241"/>
      <c r="BS90" s="241"/>
      <c r="BT90" s="241"/>
      <c r="BU90" s="241"/>
      <c r="BV90" s="241"/>
      <c r="BW90" s="241"/>
      <c r="BX90" s="241"/>
      <c r="BY90" s="241"/>
      <c r="BZ90" s="241"/>
      <c r="CA90" s="241"/>
      <c r="CB90" s="241"/>
      <c r="CC90" s="241"/>
      <c r="CD90" s="241"/>
      <c r="CE90" s="241"/>
      <c r="CF90" s="241"/>
      <c r="CG90" s="241"/>
    </row>
    <row r="91" spans="1:85" ht="12" customHeight="1" outlineLevel="3">
      <c r="A91" s="227"/>
      <c r="B91" s="227" t="s">
        <v>1766</v>
      </c>
      <c r="C91" s="227">
        <v>4</v>
      </c>
      <c r="D91" s="235" t="s">
        <v>1842</v>
      </c>
      <c r="E91" s="228"/>
      <c r="F91" s="228"/>
      <c r="G91" s="228"/>
      <c r="H91" s="228" t="s">
        <v>1661</v>
      </c>
      <c r="I91" s="228"/>
      <c r="J91" s="228"/>
      <c r="K91" s="228"/>
      <c r="L91" s="228"/>
      <c r="M91" s="228"/>
      <c r="N91" s="228"/>
      <c r="O91" s="228"/>
      <c r="P91" s="250">
        <v>45908</v>
      </c>
      <c r="Q91" s="250">
        <v>45933</v>
      </c>
      <c r="R91" s="228"/>
      <c r="S91" s="229">
        <v>6.7</v>
      </c>
      <c r="T91" s="229">
        <v>0</v>
      </c>
      <c r="U91" s="229">
        <v>19</v>
      </c>
      <c r="V91" s="229">
        <v>0</v>
      </c>
      <c r="W91" s="250"/>
      <c r="X91" s="250"/>
      <c r="Y91" s="230">
        <v>0</v>
      </c>
      <c r="Z91" s="231">
        <v>0</v>
      </c>
      <c r="AA91" s="229"/>
      <c r="AB91" s="228"/>
      <c r="AC91" s="191"/>
      <c r="AD91" s="234">
        <v>0</v>
      </c>
      <c r="AE91" s="254">
        <v>0</v>
      </c>
      <c r="AF91" s="240"/>
      <c r="AG91" s="241"/>
      <c r="AH91" s="241"/>
      <c r="AI91" s="241"/>
      <c r="AJ91" s="241"/>
      <c r="AK91" s="241"/>
      <c r="AL91" s="241"/>
      <c r="AM91" s="241"/>
      <c r="AN91" s="241"/>
      <c r="AO91" s="241"/>
      <c r="AP91" s="241"/>
      <c r="AQ91" s="241"/>
      <c r="AR91" s="241"/>
      <c r="AS91" s="241"/>
      <c r="AT91" s="241"/>
      <c r="AU91" s="241"/>
      <c r="AV91" s="241"/>
      <c r="AW91" s="241"/>
      <c r="AX91" s="241"/>
      <c r="AY91" s="241"/>
      <c r="AZ91" s="241"/>
      <c r="BA91" s="241"/>
      <c r="BB91" s="241"/>
      <c r="BC91" s="241"/>
      <c r="BD91" s="241"/>
      <c r="BE91" s="241"/>
      <c r="BF91" s="241"/>
      <c r="BG91" s="241"/>
      <c r="BH91" s="241"/>
      <c r="BI91" s="241" t="str">
        <f>" " &amp; TEXT(AE91,"#0.00%") &amp; " "</f>
        <v xml:space="preserve"> 0.00% </v>
      </c>
      <c r="BJ91" s="241"/>
      <c r="BK91" s="241"/>
      <c r="BL91" s="241" t="str">
        <f>"      " &amp; "소스코드 점검" &amp; " " &amp; IF(P91="","",TEXT(P91,"M/D-")) &amp; IF(Q91="","",TEXT(Q91,"M/D")) &amp; " "</f>
        <v xml:space="preserve">      소스코드 점검 9/8-10/3 </v>
      </c>
      <c r="BM91" s="241"/>
      <c r="BN91" s="241"/>
      <c r="BO91" s="241"/>
      <c r="BP91" s="241"/>
      <c r="BQ91" s="241"/>
      <c r="BR91" s="241"/>
      <c r="BS91" s="241"/>
      <c r="BT91" s="241"/>
      <c r="BU91" s="241"/>
      <c r="BV91" s="241"/>
      <c r="BW91" s="241"/>
      <c r="BX91" s="241"/>
      <c r="BY91" s="241"/>
      <c r="BZ91" s="241"/>
      <c r="CA91" s="241"/>
      <c r="CB91" s="241"/>
      <c r="CC91" s="241"/>
      <c r="CD91" s="241"/>
      <c r="CE91" s="241"/>
      <c r="CF91" s="241"/>
      <c r="CG91" s="241"/>
    </row>
    <row r="92" spans="1:85" ht="12" customHeight="1" outlineLevel="4">
      <c r="A92" s="227"/>
      <c r="B92" s="227"/>
      <c r="C92" s="227">
        <v>5</v>
      </c>
      <c r="D92" s="235" t="s">
        <v>1843</v>
      </c>
      <c r="E92" s="228"/>
      <c r="F92" s="228"/>
      <c r="G92" s="228"/>
      <c r="H92" s="228"/>
      <c r="I92" s="228" t="s">
        <v>1662</v>
      </c>
      <c r="J92" s="228"/>
      <c r="K92" s="228"/>
      <c r="L92" s="228"/>
      <c r="M92" s="228"/>
      <c r="N92" s="228"/>
      <c r="O92" s="228"/>
      <c r="P92" s="250">
        <v>45908</v>
      </c>
      <c r="Q92" s="250">
        <v>45912</v>
      </c>
      <c r="R92" s="228"/>
      <c r="S92" s="229">
        <v>2.5</v>
      </c>
      <c r="T92" s="229">
        <v>0</v>
      </c>
      <c r="U92" s="229">
        <v>5</v>
      </c>
      <c r="V92" s="229">
        <v>0</v>
      </c>
      <c r="W92" s="250"/>
      <c r="X92" s="250"/>
      <c r="Y92" s="230"/>
      <c r="Z92" s="231">
        <v>0</v>
      </c>
      <c r="AA92" s="229">
        <v>0.5</v>
      </c>
      <c r="AB92" s="228" t="s">
        <v>1892</v>
      </c>
      <c r="AC92" s="191"/>
      <c r="AD92" s="234">
        <v>0</v>
      </c>
      <c r="AE92" s="253">
        <v>0</v>
      </c>
      <c r="AF92" s="240"/>
      <c r="AG92" s="241"/>
      <c r="AH92" s="241"/>
      <c r="AI92" s="241"/>
      <c r="AJ92" s="241"/>
      <c r="AK92" s="241"/>
      <c r="AL92" s="241"/>
      <c r="AM92" s="241"/>
      <c r="AN92" s="241"/>
      <c r="AO92" s="241"/>
      <c r="AP92" s="241"/>
      <c r="AQ92" s="241"/>
      <c r="AR92" s="241"/>
      <c r="AS92" s="241"/>
      <c r="AT92" s="241"/>
      <c r="AU92" s="241"/>
      <c r="AV92" s="241"/>
      <c r="AW92" s="241"/>
      <c r="AX92" s="241"/>
      <c r="AY92" s="241"/>
      <c r="AZ92" s="241"/>
      <c r="BA92" s="241"/>
      <c r="BB92" s="241"/>
      <c r="BC92" s="241"/>
      <c r="BD92" s="241"/>
      <c r="BE92" s="241"/>
      <c r="BF92" s="241"/>
      <c r="BG92" s="241"/>
      <c r="BH92" s="241"/>
      <c r="BI92" s="241" t="str">
        <f>" " &amp; TEXT(AE92,"#0.00%") &amp; " " &amp; "소스점검 수행" &amp; "(PL)" &amp; " " &amp; IF(P92="","",TEXT(P92,"M/D-")) &amp; IF(Q92="","",TEXT(Q92,"M/D")) &amp; " "</f>
        <v xml:space="preserve"> 0.00% 소스점검 수행(PL) 9/8-9/12 </v>
      </c>
      <c r="BJ92" s="241"/>
      <c r="BK92" s="241"/>
      <c r="BL92" s="241"/>
      <c r="BM92" s="241"/>
      <c r="BN92" s="241"/>
      <c r="BO92" s="241"/>
      <c r="BP92" s="241"/>
      <c r="BQ92" s="241"/>
      <c r="BR92" s="241"/>
      <c r="BS92" s="241"/>
      <c r="BT92" s="241"/>
      <c r="BU92" s="241"/>
      <c r="BV92" s="241"/>
      <c r="BW92" s="241"/>
      <c r="BX92" s="241"/>
      <c r="BY92" s="241"/>
      <c r="BZ92" s="241"/>
      <c r="CA92" s="241"/>
      <c r="CB92" s="241"/>
      <c r="CC92" s="241"/>
      <c r="CD92" s="241"/>
      <c r="CE92" s="241"/>
      <c r="CF92" s="241"/>
      <c r="CG92" s="241"/>
    </row>
    <row r="93" spans="1:85" ht="12" customHeight="1" outlineLevel="4">
      <c r="A93" s="227"/>
      <c r="B93" s="227"/>
      <c r="C93" s="227">
        <v>5</v>
      </c>
      <c r="D93" s="235" t="s">
        <v>1844</v>
      </c>
      <c r="E93" s="228"/>
      <c r="F93" s="228"/>
      <c r="G93" s="228"/>
      <c r="H93" s="228"/>
      <c r="I93" s="228" t="s">
        <v>1655</v>
      </c>
      <c r="J93" s="228"/>
      <c r="K93" s="228"/>
      <c r="L93" s="228"/>
      <c r="M93" s="228"/>
      <c r="N93" s="228"/>
      <c r="O93" s="228"/>
      <c r="P93" s="250">
        <v>45915</v>
      </c>
      <c r="Q93" s="250">
        <v>45933</v>
      </c>
      <c r="R93" s="228"/>
      <c r="S93" s="229">
        <v>4.2</v>
      </c>
      <c r="T93" s="229">
        <v>0</v>
      </c>
      <c r="U93" s="229">
        <v>14</v>
      </c>
      <c r="V93" s="229">
        <v>0</v>
      </c>
      <c r="W93" s="250"/>
      <c r="X93" s="250"/>
      <c r="Y93" s="230"/>
      <c r="Z93" s="231">
        <v>0</v>
      </c>
      <c r="AA93" s="229">
        <v>0.3</v>
      </c>
      <c r="AB93" s="228" t="s">
        <v>1892</v>
      </c>
      <c r="AC93" s="191"/>
      <c r="AD93" s="234">
        <v>0</v>
      </c>
      <c r="AE93" s="253">
        <v>0</v>
      </c>
      <c r="AF93" s="240"/>
      <c r="AG93" s="241"/>
      <c r="AH93" s="241"/>
      <c r="AI93" s="241"/>
      <c r="AJ93" s="241"/>
      <c r="AK93" s="241"/>
      <c r="AL93" s="241"/>
      <c r="AM93" s="241"/>
      <c r="AN93" s="241"/>
      <c r="AO93" s="241"/>
      <c r="AP93" s="241"/>
      <c r="AQ93" s="241"/>
      <c r="AR93" s="241"/>
      <c r="AS93" s="241"/>
      <c r="AT93" s="241"/>
      <c r="AU93" s="241"/>
      <c r="AV93" s="241"/>
      <c r="AW93" s="241"/>
      <c r="AX93" s="241"/>
      <c r="AY93" s="241"/>
      <c r="AZ93" s="241"/>
      <c r="BA93" s="241"/>
      <c r="BB93" s="241"/>
      <c r="BC93" s="241"/>
      <c r="BD93" s="241"/>
      <c r="BE93" s="241"/>
      <c r="BF93" s="241"/>
      <c r="BG93" s="241"/>
      <c r="BH93" s="241"/>
      <c r="BI93" s="241"/>
      <c r="BJ93" s="241" t="str">
        <f>" " &amp; TEXT(AE93,"#0.00%") &amp; " " &amp; "점검결과 개선" &amp; "(PL)" &amp; " " &amp; IF(P93="","",TEXT(P93,"M/D-")) &amp; IF(Q93="","",TEXT(Q93,"M/D")) &amp; " "</f>
        <v xml:space="preserve"> 0.00% 점검결과 개선(PL) 9/15-10/3 </v>
      </c>
      <c r="BK93" s="241"/>
      <c r="BL93" s="241"/>
      <c r="BM93" s="241"/>
      <c r="BN93" s="241"/>
      <c r="BO93" s="241"/>
      <c r="BP93" s="241"/>
      <c r="BQ93" s="241"/>
      <c r="BR93" s="241"/>
      <c r="BS93" s="241"/>
      <c r="BT93" s="241"/>
      <c r="BU93" s="241"/>
      <c r="BV93" s="241"/>
      <c r="BW93" s="241"/>
      <c r="BX93" s="241"/>
      <c r="BY93" s="241"/>
      <c r="BZ93" s="241"/>
      <c r="CA93" s="241"/>
      <c r="CB93" s="241"/>
      <c r="CC93" s="241"/>
      <c r="CD93" s="241"/>
      <c r="CE93" s="241"/>
      <c r="CF93" s="241"/>
      <c r="CG93" s="241"/>
    </row>
    <row r="94" spans="1:85" ht="12" customHeight="1" outlineLevel="3">
      <c r="A94" s="227"/>
      <c r="B94" s="227" t="s">
        <v>1766</v>
      </c>
      <c r="C94" s="227">
        <v>4</v>
      </c>
      <c r="D94" s="235" t="s">
        <v>1845</v>
      </c>
      <c r="E94" s="228"/>
      <c r="F94" s="228"/>
      <c r="G94" s="228"/>
      <c r="H94" s="256" t="s">
        <v>1663</v>
      </c>
      <c r="I94" s="228"/>
      <c r="J94" s="228"/>
      <c r="K94" s="228"/>
      <c r="L94" s="228"/>
      <c r="M94" s="228"/>
      <c r="N94" s="228"/>
      <c r="O94" s="228"/>
      <c r="P94" s="250">
        <v>45915</v>
      </c>
      <c r="Q94" s="250">
        <v>45933</v>
      </c>
      <c r="R94" s="228"/>
      <c r="S94" s="229">
        <v>4.2</v>
      </c>
      <c r="T94" s="229">
        <v>0</v>
      </c>
      <c r="U94" s="229">
        <v>14</v>
      </c>
      <c r="V94" s="229">
        <v>0</v>
      </c>
      <c r="W94" s="250"/>
      <c r="X94" s="250"/>
      <c r="Y94" s="230">
        <v>0</v>
      </c>
      <c r="Z94" s="231">
        <v>0</v>
      </c>
      <c r="AA94" s="229"/>
      <c r="AB94" s="228"/>
      <c r="AC94" s="191"/>
      <c r="AD94" s="234">
        <v>0</v>
      </c>
      <c r="AE94" s="254">
        <v>0</v>
      </c>
      <c r="AF94" s="240"/>
      <c r="AG94" s="241"/>
      <c r="AH94" s="241"/>
      <c r="AI94" s="241"/>
      <c r="AJ94" s="241"/>
      <c r="AK94" s="241"/>
      <c r="AL94" s="241"/>
      <c r="AM94" s="241"/>
      <c r="AN94" s="241"/>
      <c r="AO94" s="241"/>
      <c r="AP94" s="241"/>
      <c r="AQ94" s="241"/>
      <c r="AR94" s="241"/>
      <c r="AS94" s="241"/>
      <c r="AT94" s="241"/>
      <c r="AU94" s="241"/>
      <c r="AV94" s="241"/>
      <c r="AW94" s="241"/>
      <c r="AX94" s="241"/>
      <c r="AY94" s="241"/>
      <c r="AZ94" s="241"/>
      <c r="BA94" s="241"/>
      <c r="BB94" s="241"/>
      <c r="BC94" s="241"/>
      <c r="BD94" s="241"/>
      <c r="BE94" s="241"/>
      <c r="BF94" s="241"/>
      <c r="BG94" s="241"/>
      <c r="BH94" s="241"/>
      <c r="BI94" s="241"/>
      <c r="BJ94" s="241" t="str">
        <f>" " &amp; TEXT(AE94,"#0.00%") &amp; " " &amp; "구성 점검" &amp; " " &amp; IF(P94="","",TEXT(P94,"M/D-")) &amp; IF(Q94="","",TEXT(Q94,"M/D")) &amp; " "</f>
        <v xml:space="preserve"> 0.00% 구성 점검 9/15-10/3 </v>
      </c>
      <c r="BK94" s="241"/>
      <c r="BL94" s="241"/>
      <c r="BM94" s="241"/>
      <c r="BN94" s="241"/>
      <c r="BO94" s="241"/>
      <c r="BP94" s="241"/>
      <c r="BQ94" s="241"/>
      <c r="BR94" s="241"/>
      <c r="BS94" s="241"/>
      <c r="BT94" s="241"/>
      <c r="BU94" s="241"/>
      <c r="BV94" s="241"/>
      <c r="BW94" s="241"/>
      <c r="BX94" s="241"/>
      <c r="BY94" s="241"/>
      <c r="BZ94" s="241"/>
      <c r="CA94" s="241"/>
      <c r="CB94" s="241"/>
      <c r="CC94" s="241"/>
      <c r="CD94" s="241"/>
      <c r="CE94" s="241"/>
      <c r="CF94" s="241"/>
      <c r="CG94" s="241"/>
    </row>
    <row r="95" spans="1:85" ht="12" customHeight="1" outlineLevel="4">
      <c r="A95" s="227"/>
      <c r="B95" s="227"/>
      <c r="C95" s="227">
        <v>5</v>
      </c>
      <c r="D95" s="235" t="s">
        <v>1846</v>
      </c>
      <c r="E95" s="228"/>
      <c r="F95" s="228"/>
      <c r="G95" s="228"/>
      <c r="H95" s="228"/>
      <c r="I95" s="228" t="s">
        <v>1664</v>
      </c>
      <c r="J95" s="228"/>
      <c r="K95" s="228"/>
      <c r="L95" s="228"/>
      <c r="M95" s="228"/>
      <c r="N95" s="228"/>
      <c r="O95" s="228"/>
      <c r="P95" s="250">
        <v>45915</v>
      </c>
      <c r="Q95" s="250">
        <v>45933</v>
      </c>
      <c r="R95" s="228"/>
      <c r="S95" s="229">
        <v>1.4000000000000001</v>
      </c>
      <c r="T95" s="229">
        <v>0</v>
      </c>
      <c r="U95" s="229">
        <v>14</v>
      </c>
      <c r="V95" s="229">
        <v>0</v>
      </c>
      <c r="W95" s="250"/>
      <c r="X95" s="250"/>
      <c r="Y95" s="230"/>
      <c r="Z95" s="231">
        <v>0</v>
      </c>
      <c r="AA95" s="229">
        <v>0.1</v>
      </c>
      <c r="AB95" s="228"/>
      <c r="AC95" s="191"/>
      <c r="AD95" s="234">
        <v>0</v>
      </c>
      <c r="AE95" s="253">
        <v>0</v>
      </c>
      <c r="AF95" s="240"/>
      <c r="AG95" s="241"/>
      <c r="AH95" s="241"/>
      <c r="AI95" s="241"/>
      <c r="AJ95" s="241"/>
      <c r="AK95" s="241"/>
      <c r="AL95" s="241"/>
      <c r="AM95" s="241"/>
      <c r="AN95" s="241"/>
      <c r="AO95" s="241"/>
      <c r="AP95" s="241"/>
      <c r="AQ95" s="241"/>
      <c r="AR95" s="241"/>
      <c r="AS95" s="241"/>
      <c r="AT95" s="241"/>
      <c r="AU95" s="241"/>
      <c r="AV95" s="241"/>
      <c r="AW95" s="241"/>
      <c r="AX95" s="241"/>
      <c r="AY95" s="241"/>
      <c r="AZ95" s="241"/>
      <c r="BA95" s="241"/>
      <c r="BB95" s="241"/>
      <c r="BC95" s="241"/>
      <c r="BD95" s="241"/>
      <c r="BE95" s="241"/>
      <c r="BF95" s="241"/>
      <c r="BG95" s="241"/>
      <c r="BH95" s="241"/>
      <c r="BI95" s="241"/>
      <c r="BJ95" s="241" t="str">
        <f>" " &amp; TEXT(AE95,"#0.00%") &amp; " " &amp; "구성진단 계획수립" &amp; " " &amp; IF(P95="","",TEXT(P95,"M/D-")) &amp; IF(Q95="","",TEXT(Q95,"M/D")) &amp; " "</f>
        <v xml:space="preserve"> 0.00% 구성진단 계획수립 9/15-10/3 </v>
      </c>
      <c r="BK95" s="241"/>
      <c r="BL95" s="241"/>
      <c r="BM95" s="241"/>
      <c r="BN95" s="241"/>
      <c r="BO95" s="241"/>
      <c r="BP95" s="241"/>
      <c r="BQ95" s="241"/>
      <c r="BR95" s="241"/>
      <c r="BS95" s="241"/>
      <c r="BT95" s="241"/>
      <c r="BU95" s="241"/>
      <c r="BV95" s="241"/>
      <c r="BW95" s="241"/>
      <c r="BX95" s="241"/>
      <c r="BY95" s="241"/>
      <c r="BZ95" s="241"/>
      <c r="CA95" s="241"/>
      <c r="CB95" s="241"/>
      <c r="CC95" s="241"/>
      <c r="CD95" s="241"/>
      <c r="CE95" s="241"/>
      <c r="CF95" s="241"/>
      <c r="CG95" s="241"/>
    </row>
    <row r="96" spans="1:85" ht="12" customHeight="1" outlineLevel="4">
      <c r="A96" s="227"/>
      <c r="B96" s="227"/>
      <c r="C96" s="227">
        <v>5</v>
      </c>
      <c r="D96" s="235" t="s">
        <v>1847</v>
      </c>
      <c r="E96" s="228"/>
      <c r="F96" s="228"/>
      <c r="G96" s="228"/>
      <c r="H96" s="228"/>
      <c r="I96" s="228" t="s">
        <v>1665</v>
      </c>
      <c r="J96" s="228"/>
      <c r="K96" s="228"/>
      <c r="L96" s="228"/>
      <c r="M96" s="228"/>
      <c r="N96" s="228"/>
      <c r="O96" s="228"/>
      <c r="P96" s="250">
        <v>45915</v>
      </c>
      <c r="Q96" s="250">
        <v>45933</v>
      </c>
      <c r="R96" s="228"/>
      <c r="S96" s="229">
        <v>1.4000000000000001</v>
      </c>
      <c r="T96" s="229">
        <v>0</v>
      </c>
      <c r="U96" s="229">
        <v>14</v>
      </c>
      <c r="V96" s="229">
        <v>0</v>
      </c>
      <c r="W96" s="250"/>
      <c r="X96" s="250"/>
      <c r="Y96" s="230"/>
      <c r="Z96" s="231">
        <v>0</v>
      </c>
      <c r="AA96" s="229">
        <v>0.1</v>
      </c>
      <c r="AB96" s="228"/>
      <c r="AC96" s="191"/>
      <c r="AD96" s="234">
        <v>0</v>
      </c>
      <c r="AE96" s="253">
        <v>0</v>
      </c>
      <c r="AF96" s="240"/>
      <c r="AG96" s="241"/>
      <c r="AH96" s="241"/>
      <c r="AI96" s="241"/>
      <c r="AJ96" s="241"/>
      <c r="AK96" s="241"/>
      <c r="AL96" s="241"/>
      <c r="AM96" s="241"/>
      <c r="AN96" s="241"/>
      <c r="AO96" s="241"/>
      <c r="AP96" s="241"/>
      <c r="AQ96" s="241"/>
      <c r="AR96" s="241"/>
      <c r="AS96" s="241"/>
      <c r="AT96" s="241"/>
      <c r="AU96" s="241"/>
      <c r="AV96" s="241"/>
      <c r="AW96" s="241"/>
      <c r="AX96" s="241"/>
      <c r="AY96" s="241"/>
      <c r="AZ96" s="241"/>
      <c r="BA96" s="241"/>
      <c r="BB96" s="241"/>
      <c r="BC96" s="241"/>
      <c r="BD96" s="241"/>
      <c r="BE96" s="241"/>
      <c r="BF96" s="241"/>
      <c r="BG96" s="241"/>
      <c r="BH96" s="241"/>
      <c r="BI96" s="241"/>
      <c r="BJ96" s="241" t="str">
        <f>" " &amp; TEXT(AE96,"#0.00%") &amp; " " &amp; "구성진단 수행" &amp; " " &amp; IF(P96="","",TEXT(P96,"M/D-")) &amp; IF(Q96="","",TEXT(Q96,"M/D")) &amp; " "</f>
        <v xml:space="preserve"> 0.00% 구성진단 수행 9/15-10/3 </v>
      </c>
      <c r="BK96" s="241"/>
      <c r="BL96" s="241"/>
      <c r="BM96" s="241"/>
      <c r="BN96" s="241"/>
      <c r="BO96" s="241"/>
      <c r="BP96" s="241"/>
      <c r="BQ96" s="241"/>
      <c r="BR96" s="241"/>
      <c r="BS96" s="241"/>
      <c r="BT96" s="241"/>
      <c r="BU96" s="241"/>
      <c r="BV96" s="241"/>
      <c r="BW96" s="241"/>
      <c r="BX96" s="241"/>
      <c r="BY96" s="241"/>
      <c r="BZ96" s="241"/>
      <c r="CA96" s="241"/>
      <c r="CB96" s="241"/>
      <c r="CC96" s="241"/>
      <c r="CD96" s="241"/>
      <c r="CE96" s="241"/>
      <c r="CF96" s="241"/>
      <c r="CG96" s="241"/>
    </row>
    <row r="97" spans="1:85" ht="12" customHeight="1" outlineLevel="4">
      <c r="A97" s="227"/>
      <c r="B97" s="227"/>
      <c r="C97" s="227">
        <v>5</v>
      </c>
      <c r="D97" s="235" t="s">
        <v>1848</v>
      </c>
      <c r="E97" s="228"/>
      <c r="F97" s="228"/>
      <c r="G97" s="228"/>
      <c r="H97" s="228"/>
      <c r="I97" s="228" t="s">
        <v>1666</v>
      </c>
      <c r="J97" s="228"/>
      <c r="K97" s="228"/>
      <c r="L97" s="228"/>
      <c r="M97" s="228"/>
      <c r="N97" s="228"/>
      <c r="O97" s="228"/>
      <c r="P97" s="250">
        <v>45915</v>
      </c>
      <c r="Q97" s="250">
        <v>45933</v>
      </c>
      <c r="R97" s="228"/>
      <c r="S97" s="229">
        <v>1.4000000000000001</v>
      </c>
      <c r="T97" s="229">
        <v>0</v>
      </c>
      <c r="U97" s="229">
        <v>14</v>
      </c>
      <c r="V97" s="229">
        <v>0</v>
      </c>
      <c r="W97" s="250"/>
      <c r="X97" s="250"/>
      <c r="Y97" s="230"/>
      <c r="Z97" s="231">
        <v>0</v>
      </c>
      <c r="AA97" s="229">
        <v>0.1</v>
      </c>
      <c r="AB97" s="228"/>
      <c r="AC97" s="191"/>
      <c r="AD97" s="234">
        <v>0</v>
      </c>
      <c r="AE97" s="253">
        <v>0</v>
      </c>
      <c r="AF97" s="240"/>
      <c r="AG97" s="241"/>
      <c r="AH97" s="241"/>
      <c r="AI97" s="241"/>
      <c r="AJ97" s="241"/>
      <c r="AK97" s="241"/>
      <c r="AL97" s="241"/>
      <c r="AM97" s="241"/>
      <c r="AN97" s="241"/>
      <c r="AO97" s="241"/>
      <c r="AP97" s="241"/>
      <c r="AQ97" s="241"/>
      <c r="AR97" s="241"/>
      <c r="AS97" s="241"/>
      <c r="AT97" s="241"/>
      <c r="AU97" s="241"/>
      <c r="AV97" s="241"/>
      <c r="AW97" s="241"/>
      <c r="AX97" s="241"/>
      <c r="AY97" s="241"/>
      <c r="AZ97" s="241"/>
      <c r="BA97" s="241"/>
      <c r="BB97" s="241"/>
      <c r="BC97" s="241"/>
      <c r="BD97" s="241"/>
      <c r="BE97" s="241"/>
      <c r="BF97" s="241"/>
      <c r="BG97" s="241"/>
      <c r="BH97" s="241"/>
      <c r="BI97" s="241"/>
      <c r="BJ97" s="241" t="str">
        <f>" " &amp; TEXT(AE97,"#0.00%") &amp; " " &amp; "진단결과 개선" &amp; " " &amp; IF(P97="","",TEXT(P97,"M/D-")) &amp; IF(Q97="","",TEXT(Q97,"M/D")) &amp; " "</f>
        <v xml:space="preserve"> 0.00% 진단결과 개선 9/15-10/3 </v>
      </c>
      <c r="BK97" s="241"/>
      <c r="BL97" s="241"/>
      <c r="BM97" s="241"/>
      <c r="BN97" s="241"/>
      <c r="BO97" s="241"/>
      <c r="BP97" s="241"/>
      <c r="BQ97" s="241"/>
      <c r="BR97" s="241"/>
      <c r="BS97" s="241"/>
      <c r="BT97" s="241"/>
      <c r="BU97" s="241"/>
      <c r="BV97" s="241"/>
      <c r="BW97" s="241"/>
      <c r="BX97" s="241"/>
      <c r="BY97" s="241"/>
      <c r="BZ97" s="241"/>
      <c r="CA97" s="241"/>
      <c r="CB97" s="241"/>
      <c r="CC97" s="241"/>
      <c r="CD97" s="241"/>
      <c r="CE97" s="241"/>
      <c r="CF97" s="241"/>
      <c r="CG97" s="241"/>
    </row>
    <row r="98" spans="1:85" ht="12" customHeight="1" outlineLevel="3">
      <c r="A98" s="227"/>
      <c r="B98" s="227" t="s">
        <v>1766</v>
      </c>
      <c r="C98" s="227">
        <v>4</v>
      </c>
      <c r="D98" s="235" t="s">
        <v>1849</v>
      </c>
      <c r="E98" s="228"/>
      <c r="F98" s="228"/>
      <c r="G98" s="228"/>
      <c r="H98" s="228" t="s">
        <v>1667</v>
      </c>
      <c r="I98" s="228"/>
      <c r="J98" s="228"/>
      <c r="K98" s="228"/>
      <c r="L98" s="228"/>
      <c r="M98" s="228"/>
      <c r="N98" s="228"/>
      <c r="O98" s="228"/>
      <c r="P98" s="250">
        <v>45915</v>
      </c>
      <c r="Q98" s="250">
        <v>45933</v>
      </c>
      <c r="R98" s="228"/>
      <c r="S98" s="229">
        <v>4.2</v>
      </c>
      <c r="T98" s="229">
        <v>0</v>
      </c>
      <c r="U98" s="229">
        <v>14</v>
      </c>
      <c r="V98" s="229">
        <v>0</v>
      </c>
      <c r="W98" s="250"/>
      <c r="X98" s="250"/>
      <c r="Y98" s="230">
        <v>0</v>
      </c>
      <c r="Z98" s="231">
        <v>0</v>
      </c>
      <c r="AA98" s="229"/>
      <c r="AB98" s="228"/>
      <c r="AC98" s="191"/>
      <c r="AD98" s="234">
        <v>0</v>
      </c>
      <c r="AE98" s="254">
        <v>0</v>
      </c>
      <c r="AF98" s="240"/>
      <c r="AG98" s="241"/>
      <c r="AH98" s="241"/>
      <c r="AI98" s="241"/>
      <c r="AJ98" s="241"/>
      <c r="AK98" s="241"/>
      <c r="AL98" s="241"/>
      <c r="AM98" s="241"/>
      <c r="AN98" s="241"/>
      <c r="AO98" s="241"/>
      <c r="AP98" s="241"/>
      <c r="AQ98" s="241"/>
      <c r="AR98" s="241"/>
      <c r="AS98" s="241"/>
      <c r="AT98" s="241"/>
      <c r="AU98" s="241"/>
      <c r="AV98" s="241"/>
      <c r="AW98" s="241"/>
      <c r="AX98" s="241"/>
      <c r="AY98" s="241"/>
      <c r="AZ98" s="241"/>
      <c r="BA98" s="241"/>
      <c r="BB98" s="241"/>
      <c r="BC98" s="241"/>
      <c r="BD98" s="241"/>
      <c r="BE98" s="241"/>
      <c r="BF98" s="241"/>
      <c r="BG98" s="241"/>
      <c r="BH98" s="241"/>
      <c r="BI98" s="241"/>
      <c r="BJ98" s="241" t="str">
        <f>" " &amp; TEXT(AE98,"#0.00%") &amp; " " &amp; "보안 점검" &amp; " " &amp; IF(P98="","",TEXT(P98,"M/D-")) &amp; IF(Q98="","",TEXT(Q98,"M/D")) &amp; " "</f>
        <v xml:space="preserve"> 0.00% 보안 점검 9/15-10/3 </v>
      </c>
      <c r="BK98" s="241"/>
      <c r="BL98" s="241"/>
      <c r="BM98" s="241"/>
      <c r="BN98" s="241"/>
      <c r="BO98" s="241"/>
      <c r="BP98" s="241"/>
      <c r="BQ98" s="241"/>
      <c r="BR98" s="241"/>
      <c r="BS98" s="241"/>
      <c r="BT98" s="241"/>
      <c r="BU98" s="241"/>
      <c r="BV98" s="241"/>
      <c r="BW98" s="241"/>
      <c r="BX98" s="241"/>
      <c r="BY98" s="241"/>
      <c r="BZ98" s="241"/>
      <c r="CA98" s="241"/>
      <c r="CB98" s="241"/>
      <c r="CC98" s="241"/>
      <c r="CD98" s="241"/>
      <c r="CE98" s="241"/>
      <c r="CF98" s="241"/>
      <c r="CG98" s="241"/>
    </row>
    <row r="99" spans="1:85" ht="12" customHeight="1" outlineLevel="4">
      <c r="A99" s="227"/>
      <c r="B99" s="227"/>
      <c r="C99" s="227">
        <v>5</v>
      </c>
      <c r="D99" s="235" t="s">
        <v>1850</v>
      </c>
      <c r="E99" s="228"/>
      <c r="F99" s="228"/>
      <c r="G99" s="228"/>
      <c r="H99" s="228"/>
      <c r="I99" s="228" t="s">
        <v>1668</v>
      </c>
      <c r="J99" s="228"/>
      <c r="K99" s="228"/>
      <c r="L99" s="228"/>
      <c r="M99" s="228"/>
      <c r="N99" s="228"/>
      <c r="O99" s="228"/>
      <c r="P99" s="250">
        <v>45915</v>
      </c>
      <c r="Q99" s="250">
        <v>45919</v>
      </c>
      <c r="R99" s="228"/>
      <c r="S99" s="229">
        <v>0.5</v>
      </c>
      <c r="T99" s="229">
        <v>0</v>
      </c>
      <c r="U99" s="229">
        <v>5</v>
      </c>
      <c r="V99" s="229">
        <v>0</v>
      </c>
      <c r="W99" s="250"/>
      <c r="X99" s="250"/>
      <c r="Y99" s="230"/>
      <c r="Z99" s="231">
        <v>0</v>
      </c>
      <c r="AA99" s="229">
        <v>0.1</v>
      </c>
      <c r="AB99" s="228" t="s">
        <v>1891</v>
      </c>
      <c r="AC99" s="191"/>
      <c r="AD99" s="234">
        <v>0</v>
      </c>
      <c r="AE99" s="253">
        <v>0</v>
      </c>
      <c r="AF99" s="240"/>
      <c r="AG99" s="241"/>
      <c r="AH99" s="241"/>
      <c r="AI99" s="241"/>
      <c r="AJ99" s="241"/>
      <c r="AK99" s="241"/>
      <c r="AL99" s="241"/>
      <c r="AM99" s="241"/>
      <c r="AN99" s="241"/>
      <c r="AO99" s="241"/>
      <c r="AP99" s="241"/>
      <c r="AQ99" s="241"/>
      <c r="AR99" s="241"/>
      <c r="AS99" s="241"/>
      <c r="AT99" s="241"/>
      <c r="AU99" s="241"/>
      <c r="AV99" s="241"/>
      <c r="AW99" s="241"/>
      <c r="AX99" s="241"/>
      <c r="AY99" s="241"/>
      <c r="AZ99" s="241"/>
      <c r="BA99" s="241"/>
      <c r="BB99" s="241"/>
      <c r="BC99" s="241"/>
      <c r="BD99" s="241"/>
      <c r="BE99" s="241"/>
      <c r="BF99" s="241"/>
      <c r="BG99" s="241"/>
      <c r="BH99" s="241"/>
      <c r="BI99" s="241"/>
      <c r="BJ99" s="241" t="str">
        <f>" " &amp; TEXT(AE99,"#0.00%") &amp; " " &amp; "보안점검 계획수립" &amp; "(서정만님)" &amp; " " &amp; IF(P99="","",TEXT(P99,"M/D-")) &amp; IF(Q99="","",TEXT(Q99,"M/D")) &amp; " "</f>
        <v xml:space="preserve"> 0.00% 보안점검 계획수립(서정만님) 9/15-9/19 </v>
      </c>
      <c r="BK99" s="241"/>
      <c r="BL99" s="241"/>
      <c r="BM99" s="241"/>
      <c r="BN99" s="241"/>
      <c r="BO99" s="241"/>
      <c r="BP99" s="241"/>
      <c r="BQ99" s="241"/>
      <c r="BR99" s="241"/>
      <c r="BS99" s="241"/>
      <c r="BT99" s="241"/>
      <c r="BU99" s="241"/>
      <c r="BV99" s="241"/>
      <c r="BW99" s="241"/>
      <c r="BX99" s="241"/>
      <c r="BY99" s="241"/>
      <c r="BZ99" s="241"/>
      <c r="CA99" s="241"/>
      <c r="CB99" s="241"/>
      <c r="CC99" s="241"/>
      <c r="CD99" s="241"/>
      <c r="CE99" s="241"/>
      <c r="CF99" s="241"/>
      <c r="CG99" s="241"/>
    </row>
    <row r="100" spans="1:85" ht="12" customHeight="1" outlineLevel="4">
      <c r="A100" s="227"/>
      <c r="B100" s="227"/>
      <c r="C100" s="227">
        <v>5</v>
      </c>
      <c r="D100" s="235" t="s">
        <v>1851</v>
      </c>
      <c r="E100" s="228"/>
      <c r="F100" s="228"/>
      <c r="G100" s="228"/>
      <c r="H100" s="228"/>
      <c r="I100" s="228" t="s">
        <v>1669</v>
      </c>
      <c r="J100" s="228"/>
      <c r="K100" s="228"/>
      <c r="L100" s="228"/>
      <c r="M100" s="228"/>
      <c r="N100" s="228"/>
      <c r="O100" s="228"/>
      <c r="P100" s="250">
        <v>45922</v>
      </c>
      <c r="Q100" s="250">
        <v>45926</v>
      </c>
      <c r="R100" s="228"/>
      <c r="S100" s="229">
        <v>2.5</v>
      </c>
      <c r="T100" s="229">
        <v>0</v>
      </c>
      <c r="U100" s="229">
        <v>5</v>
      </c>
      <c r="V100" s="229">
        <v>0</v>
      </c>
      <c r="W100" s="250"/>
      <c r="X100" s="250"/>
      <c r="Y100" s="230"/>
      <c r="Z100" s="231">
        <v>0</v>
      </c>
      <c r="AA100" s="229">
        <v>0.5</v>
      </c>
      <c r="AB100" s="228" t="s">
        <v>1892</v>
      </c>
      <c r="AC100" s="191"/>
      <c r="AD100" s="234">
        <v>0</v>
      </c>
      <c r="AE100" s="253">
        <v>0</v>
      </c>
      <c r="AF100" s="240"/>
      <c r="AG100" s="241"/>
      <c r="AH100" s="241"/>
      <c r="AI100" s="241"/>
      <c r="AJ100" s="241"/>
      <c r="AK100" s="241"/>
      <c r="AL100" s="241"/>
      <c r="AM100" s="241"/>
      <c r="AN100" s="241"/>
      <c r="AO100" s="241"/>
      <c r="AP100" s="241"/>
      <c r="AQ100" s="241"/>
      <c r="AR100" s="241"/>
      <c r="AS100" s="241"/>
      <c r="AT100" s="241"/>
      <c r="AU100" s="241"/>
      <c r="AV100" s="241"/>
      <c r="AW100" s="241"/>
      <c r="AX100" s="241"/>
      <c r="AY100" s="241"/>
      <c r="AZ100" s="241"/>
      <c r="BA100" s="241"/>
      <c r="BB100" s="241"/>
      <c r="BC100" s="241"/>
      <c r="BD100" s="241"/>
      <c r="BE100" s="241"/>
      <c r="BF100" s="241"/>
      <c r="BG100" s="241"/>
      <c r="BH100" s="241"/>
      <c r="BI100" s="241"/>
      <c r="BJ100" s="241"/>
      <c r="BK100" s="241" t="str">
        <f>" " &amp; TEXT(AE100,"#0.00%") &amp; " " &amp; "보안점검 수행" &amp; "(PL)" &amp; " " &amp; IF(P100="","",TEXT(P100,"M/D-")) &amp; IF(Q100="","",TEXT(Q100,"M/D")) &amp; " "</f>
        <v xml:space="preserve"> 0.00% 보안점검 수행(PL) 9/22-9/26 </v>
      </c>
      <c r="BL100" s="241"/>
      <c r="BM100" s="241"/>
      <c r="BN100" s="241"/>
      <c r="BO100" s="241"/>
      <c r="BP100" s="241"/>
      <c r="BQ100" s="241"/>
      <c r="BR100" s="241"/>
      <c r="BS100" s="241"/>
      <c r="BT100" s="241"/>
      <c r="BU100" s="241"/>
      <c r="BV100" s="241"/>
      <c r="BW100" s="241"/>
      <c r="BX100" s="241"/>
      <c r="BY100" s="241"/>
      <c r="BZ100" s="241"/>
      <c r="CA100" s="241"/>
      <c r="CB100" s="241"/>
      <c r="CC100" s="241"/>
      <c r="CD100" s="241"/>
      <c r="CE100" s="241"/>
      <c r="CF100" s="241"/>
      <c r="CG100" s="241"/>
    </row>
    <row r="101" spans="1:85" ht="12" customHeight="1" outlineLevel="4">
      <c r="A101" s="227"/>
      <c r="B101" s="227"/>
      <c r="C101" s="227">
        <v>5</v>
      </c>
      <c r="D101" s="235" t="s">
        <v>1852</v>
      </c>
      <c r="E101" s="228"/>
      <c r="F101" s="228"/>
      <c r="G101" s="228"/>
      <c r="H101" s="228"/>
      <c r="I101" s="228" t="s">
        <v>1655</v>
      </c>
      <c r="J101" s="228"/>
      <c r="K101" s="228"/>
      <c r="L101" s="228"/>
      <c r="M101" s="228"/>
      <c r="N101" s="228"/>
      <c r="O101" s="228"/>
      <c r="P101" s="250">
        <v>45929</v>
      </c>
      <c r="Q101" s="250">
        <v>45933</v>
      </c>
      <c r="R101" s="228"/>
      <c r="S101" s="229">
        <v>1.2</v>
      </c>
      <c r="T101" s="229">
        <v>0</v>
      </c>
      <c r="U101" s="229">
        <v>4</v>
      </c>
      <c r="V101" s="229">
        <v>0</v>
      </c>
      <c r="W101" s="250"/>
      <c r="X101" s="250"/>
      <c r="Y101" s="230"/>
      <c r="Z101" s="231">
        <v>0</v>
      </c>
      <c r="AA101" s="229">
        <v>0.3</v>
      </c>
      <c r="AB101" s="228" t="s">
        <v>1892</v>
      </c>
      <c r="AC101" s="191"/>
      <c r="AD101" s="234">
        <v>0</v>
      </c>
      <c r="AE101" s="253">
        <v>0</v>
      </c>
      <c r="AF101" s="240"/>
      <c r="AG101" s="241"/>
      <c r="AH101" s="241"/>
      <c r="AI101" s="241"/>
      <c r="AJ101" s="241"/>
      <c r="AK101" s="241"/>
      <c r="AL101" s="241"/>
      <c r="AM101" s="241"/>
      <c r="AN101" s="241"/>
      <c r="AO101" s="241"/>
      <c r="AP101" s="241"/>
      <c r="AQ101" s="241"/>
      <c r="AR101" s="241"/>
      <c r="AS101" s="241"/>
      <c r="AT101" s="241"/>
      <c r="AU101" s="241"/>
      <c r="AV101" s="241"/>
      <c r="AW101" s="241"/>
      <c r="AX101" s="241"/>
      <c r="AY101" s="241"/>
      <c r="AZ101" s="241"/>
      <c r="BA101" s="241"/>
      <c r="BB101" s="241"/>
      <c r="BC101" s="241"/>
      <c r="BD101" s="241"/>
      <c r="BE101" s="241"/>
      <c r="BF101" s="241"/>
      <c r="BG101" s="241"/>
      <c r="BH101" s="241"/>
      <c r="BI101" s="241"/>
      <c r="BJ101" s="241"/>
      <c r="BK101" s="241"/>
      <c r="BL101" s="241" t="str">
        <f>" " &amp; TEXT(AE101,"#0.00%") &amp; " " &amp; "점검결과 개선" &amp; "(PL)" &amp; " " &amp; IF(P101="","",TEXT(P101,"M/D-")) &amp; IF(Q101="","",TEXT(Q101,"M/D")) &amp; " "</f>
        <v xml:space="preserve"> 0.00% 점검결과 개선(PL) 9/29-10/3 </v>
      </c>
      <c r="BM101" s="241"/>
      <c r="BN101" s="241"/>
      <c r="BO101" s="241"/>
      <c r="BP101" s="241"/>
      <c r="BQ101" s="241"/>
      <c r="BR101" s="241"/>
      <c r="BS101" s="241"/>
      <c r="BT101" s="241"/>
      <c r="BU101" s="241"/>
      <c r="BV101" s="241"/>
      <c r="BW101" s="241"/>
      <c r="BX101" s="241"/>
      <c r="BY101" s="241"/>
      <c r="BZ101" s="241"/>
      <c r="CA101" s="241"/>
      <c r="CB101" s="241"/>
      <c r="CC101" s="241"/>
      <c r="CD101" s="241"/>
      <c r="CE101" s="241"/>
      <c r="CF101" s="241"/>
      <c r="CG101" s="241"/>
    </row>
    <row r="102" spans="1:85" ht="12" customHeight="1" outlineLevel="3">
      <c r="A102" s="227"/>
      <c r="B102" s="227" t="s">
        <v>1766</v>
      </c>
      <c r="C102" s="227">
        <v>4</v>
      </c>
      <c r="D102" s="235" t="s">
        <v>1853</v>
      </c>
      <c r="E102" s="228"/>
      <c r="F102" s="228"/>
      <c r="G102" s="228"/>
      <c r="H102" s="256" t="s">
        <v>1670</v>
      </c>
      <c r="I102" s="228"/>
      <c r="J102" s="228"/>
      <c r="K102" s="228"/>
      <c r="L102" s="228"/>
      <c r="M102" s="228"/>
      <c r="N102" s="228"/>
      <c r="O102" s="228"/>
      <c r="P102" s="250">
        <v>45915</v>
      </c>
      <c r="Q102" s="250">
        <v>45933</v>
      </c>
      <c r="R102" s="228"/>
      <c r="S102" s="229">
        <v>4.2</v>
      </c>
      <c r="T102" s="229">
        <v>0</v>
      </c>
      <c r="U102" s="229">
        <v>14</v>
      </c>
      <c r="V102" s="229">
        <v>0</v>
      </c>
      <c r="W102" s="250"/>
      <c r="X102" s="250"/>
      <c r="Y102" s="230">
        <v>0</v>
      </c>
      <c r="Z102" s="231">
        <v>0</v>
      </c>
      <c r="AA102" s="229"/>
      <c r="AB102" s="228"/>
      <c r="AC102" s="191"/>
      <c r="AD102" s="234">
        <v>0</v>
      </c>
      <c r="AE102" s="254">
        <v>0</v>
      </c>
      <c r="AF102" s="240"/>
      <c r="AG102" s="241"/>
      <c r="AH102" s="241"/>
      <c r="AI102" s="241"/>
      <c r="AJ102" s="241"/>
      <c r="AK102" s="241"/>
      <c r="AL102" s="241"/>
      <c r="AM102" s="241"/>
      <c r="AN102" s="241"/>
      <c r="AO102" s="241"/>
      <c r="AP102" s="241"/>
      <c r="AQ102" s="241"/>
      <c r="AR102" s="241"/>
      <c r="AS102" s="241"/>
      <c r="AT102" s="241"/>
      <c r="AU102" s="241"/>
      <c r="AV102" s="241"/>
      <c r="AW102" s="241"/>
      <c r="AX102" s="241"/>
      <c r="AY102" s="241"/>
      <c r="AZ102" s="241"/>
      <c r="BA102" s="241"/>
      <c r="BB102" s="241"/>
      <c r="BC102" s="241"/>
      <c r="BD102" s="241"/>
      <c r="BE102" s="241"/>
      <c r="BF102" s="241"/>
      <c r="BG102" s="241"/>
      <c r="BH102" s="241"/>
      <c r="BI102" s="241"/>
      <c r="BJ102" s="241" t="str">
        <f>" " &amp; TEXT(AE102,"#0.00%") &amp; " " &amp; "성능 점검(인프라)" &amp; " " &amp; IF(P102="","",TEXT(P102,"M/D-")) &amp; IF(Q102="","",TEXT(Q102,"M/D")) &amp; " "</f>
        <v xml:space="preserve"> 0.00% 성능 점검(인프라) 9/15-10/3 </v>
      </c>
      <c r="BK102" s="241"/>
      <c r="BL102" s="241"/>
      <c r="BM102" s="241"/>
      <c r="BN102" s="241"/>
      <c r="BO102" s="241"/>
      <c r="BP102" s="241"/>
      <c r="BQ102" s="241"/>
      <c r="BR102" s="241"/>
      <c r="BS102" s="241"/>
      <c r="BT102" s="241"/>
      <c r="BU102" s="241"/>
      <c r="BV102" s="241"/>
      <c r="BW102" s="241"/>
      <c r="BX102" s="241"/>
      <c r="BY102" s="241"/>
      <c r="BZ102" s="241"/>
      <c r="CA102" s="241"/>
      <c r="CB102" s="241"/>
      <c r="CC102" s="241"/>
      <c r="CD102" s="241"/>
      <c r="CE102" s="241"/>
      <c r="CF102" s="241"/>
      <c r="CG102" s="241"/>
    </row>
    <row r="103" spans="1:85" ht="12" customHeight="1" outlineLevel="4">
      <c r="A103" s="227"/>
      <c r="B103" s="227"/>
      <c r="C103" s="227">
        <v>5</v>
      </c>
      <c r="D103" s="235" t="s">
        <v>1854</v>
      </c>
      <c r="E103" s="228"/>
      <c r="F103" s="228"/>
      <c r="G103" s="228"/>
      <c r="H103" s="228"/>
      <c r="I103" s="228" t="s">
        <v>1671</v>
      </c>
      <c r="J103" s="228"/>
      <c r="K103" s="228"/>
      <c r="L103" s="228"/>
      <c r="M103" s="228"/>
      <c r="N103" s="228"/>
      <c r="O103" s="228"/>
      <c r="P103" s="250">
        <v>45915</v>
      </c>
      <c r="Q103" s="250">
        <v>45933</v>
      </c>
      <c r="R103" s="228"/>
      <c r="S103" s="229">
        <v>1.4000000000000001</v>
      </c>
      <c r="T103" s="229">
        <v>0</v>
      </c>
      <c r="U103" s="229">
        <v>14</v>
      </c>
      <c r="V103" s="229">
        <v>0</v>
      </c>
      <c r="W103" s="250"/>
      <c r="X103" s="250"/>
      <c r="Y103" s="230"/>
      <c r="Z103" s="231">
        <v>0</v>
      </c>
      <c r="AA103" s="229">
        <v>0.1</v>
      </c>
      <c r="AB103" s="228" t="s">
        <v>1892</v>
      </c>
      <c r="AC103" s="191"/>
      <c r="AD103" s="234">
        <v>0</v>
      </c>
      <c r="AE103" s="253">
        <v>0</v>
      </c>
      <c r="AF103" s="240"/>
      <c r="AG103" s="241"/>
      <c r="AH103" s="241"/>
      <c r="AI103" s="241"/>
      <c r="AJ103" s="241"/>
      <c r="AK103" s="241"/>
      <c r="AL103" s="241"/>
      <c r="AM103" s="241"/>
      <c r="AN103" s="241"/>
      <c r="AO103" s="241"/>
      <c r="AP103" s="241"/>
      <c r="AQ103" s="241"/>
      <c r="AR103" s="241"/>
      <c r="AS103" s="241"/>
      <c r="AT103" s="241"/>
      <c r="AU103" s="241"/>
      <c r="AV103" s="241"/>
      <c r="AW103" s="241"/>
      <c r="AX103" s="241"/>
      <c r="AY103" s="241"/>
      <c r="AZ103" s="241"/>
      <c r="BA103" s="241"/>
      <c r="BB103" s="241"/>
      <c r="BC103" s="241"/>
      <c r="BD103" s="241"/>
      <c r="BE103" s="241"/>
      <c r="BF103" s="241"/>
      <c r="BG103" s="241"/>
      <c r="BH103" s="241"/>
      <c r="BI103" s="241"/>
      <c r="BJ103" s="241" t="str">
        <f>" " &amp; TEXT(AE103,"#0.00%") &amp; " " &amp; "성능테스트 계획수립" &amp; "(PL)" &amp; " " &amp; IF(P103="","",TEXT(P103,"M/D-")) &amp; IF(Q103="","",TEXT(Q103,"M/D")) &amp; " "</f>
        <v xml:space="preserve"> 0.00% 성능테스트 계획수립(PL) 9/15-10/3 </v>
      </c>
      <c r="BK103" s="241"/>
      <c r="BL103" s="241"/>
      <c r="BM103" s="241"/>
      <c r="BN103" s="241"/>
      <c r="BO103" s="241"/>
      <c r="BP103" s="241"/>
      <c r="BQ103" s="241"/>
      <c r="BR103" s="241"/>
      <c r="BS103" s="241"/>
      <c r="BT103" s="241"/>
      <c r="BU103" s="241"/>
      <c r="BV103" s="241"/>
      <c r="BW103" s="241"/>
      <c r="BX103" s="241"/>
      <c r="BY103" s="241"/>
      <c r="BZ103" s="241"/>
      <c r="CA103" s="241"/>
      <c r="CB103" s="241"/>
      <c r="CC103" s="241"/>
      <c r="CD103" s="241"/>
      <c r="CE103" s="241"/>
      <c r="CF103" s="241"/>
      <c r="CG103" s="241"/>
    </row>
    <row r="104" spans="1:85" ht="12" customHeight="1" outlineLevel="4">
      <c r="A104" s="227"/>
      <c r="B104" s="227"/>
      <c r="C104" s="227">
        <v>5</v>
      </c>
      <c r="D104" s="235" t="s">
        <v>1855</v>
      </c>
      <c r="E104" s="228"/>
      <c r="F104" s="228"/>
      <c r="G104" s="228"/>
      <c r="H104" s="228"/>
      <c r="I104" s="228" t="s">
        <v>1672</v>
      </c>
      <c r="J104" s="228"/>
      <c r="K104" s="228"/>
      <c r="L104" s="228"/>
      <c r="M104" s="228"/>
      <c r="N104" s="228"/>
      <c r="O104" s="228"/>
      <c r="P104" s="250">
        <v>45915</v>
      </c>
      <c r="Q104" s="250">
        <v>45933</v>
      </c>
      <c r="R104" s="228"/>
      <c r="S104" s="229">
        <v>1.4000000000000001</v>
      </c>
      <c r="T104" s="229">
        <v>0</v>
      </c>
      <c r="U104" s="229">
        <v>14</v>
      </c>
      <c r="V104" s="229">
        <v>0</v>
      </c>
      <c r="W104" s="250"/>
      <c r="X104" s="250"/>
      <c r="Y104" s="230"/>
      <c r="Z104" s="231">
        <v>0</v>
      </c>
      <c r="AA104" s="229">
        <v>0.1</v>
      </c>
      <c r="AB104" s="228" t="s">
        <v>1892</v>
      </c>
      <c r="AC104" s="191"/>
      <c r="AD104" s="234">
        <v>0</v>
      </c>
      <c r="AE104" s="253">
        <v>0</v>
      </c>
      <c r="AF104" s="240"/>
      <c r="AG104" s="241"/>
      <c r="AH104" s="241"/>
      <c r="AI104" s="241"/>
      <c r="AJ104" s="241"/>
      <c r="AK104" s="241"/>
      <c r="AL104" s="241"/>
      <c r="AM104" s="241"/>
      <c r="AN104" s="241"/>
      <c r="AO104" s="241"/>
      <c r="AP104" s="241"/>
      <c r="AQ104" s="241"/>
      <c r="AR104" s="241"/>
      <c r="AS104" s="241"/>
      <c r="AT104" s="241"/>
      <c r="AU104" s="241"/>
      <c r="AV104" s="241"/>
      <c r="AW104" s="241"/>
      <c r="AX104" s="241"/>
      <c r="AY104" s="241"/>
      <c r="AZ104" s="241"/>
      <c r="BA104" s="241"/>
      <c r="BB104" s="241"/>
      <c r="BC104" s="241"/>
      <c r="BD104" s="241"/>
      <c r="BE104" s="241"/>
      <c r="BF104" s="241"/>
      <c r="BG104" s="241"/>
      <c r="BH104" s="241"/>
      <c r="BI104" s="241"/>
      <c r="BJ104" s="241" t="str">
        <f>" " &amp; TEXT(AE104,"#0.00%") &amp; " " &amp; "성능테스트 수행" &amp; "(PL)" &amp; " " &amp; IF(P104="","",TEXT(P104,"M/D-")) &amp; IF(Q104="","",TEXT(Q104,"M/D")) &amp; " "</f>
        <v xml:space="preserve"> 0.00% 성능테스트 수행(PL) 9/15-10/3 </v>
      </c>
      <c r="BK104" s="241"/>
      <c r="BL104" s="241"/>
      <c r="BM104" s="241"/>
      <c r="BN104" s="241"/>
      <c r="BO104" s="241"/>
      <c r="BP104" s="241"/>
      <c r="BQ104" s="241"/>
      <c r="BR104" s="241"/>
      <c r="BS104" s="241"/>
      <c r="BT104" s="241"/>
      <c r="BU104" s="241"/>
      <c r="BV104" s="241"/>
      <c r="BW104" s="241"/>
      <c r="BX104" s="241"/>
      <c r="BY104" s="241"/>
      <c r="BZ104" s="241"/>
      <c r="CA104" s="241"/>
      <c r="CB104" s="241"/>
      <c r="CC104" s="241"/>
      <c r="CD104" s="241"/>
      <c r="CE104" s="241"/>
      <c r="CF104" s="241"/>
      <c r="CG104" s="241"/>
    </row>
    <row r="105" spans="1:85" ht="12" customHeight="1" outlineLevel="4">
      <c r="A105" s="227"/>
      <c r="B105" s="227"/>
      <c r="C105" s="227">
        <v>5</v>
      </c>
      <c r="D105" s="235" t="s">
        <v>1856</v>
      </c>
      <c r="E105" s="228"/>
      <c r="F105" s="228"/>
      <c r="G105" s="228"/>
      <c r="H105" s="228"/>
      <c r="I105" s="228" t="s">
        <v>1673</v>
      </c>
      <c r="J105" s="228"/>
      <c r="K105" s="228"/>
      <c r="L105" s="228"/>
      <c r="M105" s="228"/>
      <c r="N105" s="228"/>
      <c r="O105" s="228"/>
      <c r="P105" s="250">
        <v>45915</v>
      </c>
      <c r="Q105" s="250">
        <v>45933</v>
      </c>
      <c r="R105" s="228"/>
      <c r="S105" s="229">
        <v>1.4000000000000001</v>
      </c>
      <c r="T105" s="229">
        <v>0</v>
      </c>
      <c r="U105" s="229">
        <v>14</v>
      </c>
      <c r="V105" s="229">
        <v>0</v>
      </c>
      <c r="W105" s="250"/>
      <c r="X105" s="250"/>
      <c r="Y105" s="230"/>
      <c r="Z105" s="231">
        <v>0</v>
      </c>
      <c r="AA105" s="229">
        <v>0.1</v>
      </c>
      <c r="AB105" s="228" t="s">
        <v>1892</v>
      </c>
      <c r="AC105" s="191"/>
      <c r="AD105" s="234">
        <v>0</v>
      </c>
      <c r="AE105" s="253">
        <v>0</v>
      </c>
      <c r="AF105" s="240"/>
      <c r="AG105" s="241"/>
      <c r="AH105" s="241"/>
      <c r="AI105" s="241"/>
      <c r="AJ105" s="241"/>
      <c r="AK105" s="241"/>
      <c r="AL105" s="241"/>
      <c r="AM105" s="241"/>
      <c r="AN105" s="241"/>
      <c r="AO105" s="241"/>
      <c r="AP105" s="241"/>
      <c r="AQ105" s="241"/>
      <c r="AR105" s="241"/>
      <c r="AS105" s="241"/>
      <c r="AT105" s="241"/>
      <c r="AU105" s="241"/>
      <c r="AV105" s="241"/>
      <c r="AW105" s="241"/>
      <c r="AX105" s="241"/>
      <c r="AY105" s="241"/>
      <c r="AZ105" s="241"/>
      <c r="BA105" s="241"/>
      <c r="BB105" s="241"/>
      <c r="BC105" s="241"/>
      <c r="BD105" s="241"/>
      <c r="BE105" s="241"/>
      <c r="BF105" s="241"/>
      <c r="BG105" s="241"/>
      <c r="BH105" s="241"/>
      <c r="BI105" s="241"/>
      <c r="BJ105" s="241" t="str">
        <f>" " &amp; TEXT(AE105,"#0.00%") &amp; " " &amp; "수행결과 조치" &amp; "(PL)" &amp; " " &amp; IF(P105="","",TEXT(P105,"M/D-")) &amp; IF(Q105="","",TEXT(Q105,"M/D")) &amp; " "</f>
        <v xml:space="preserve"> 0.00% 수행결과 조치(PL) 9/15-10/3 </v>
      </c>
      <c r="BK105" s="241"/>
      <c r="BL105" s="241"/>
      <c r="BM105" s="241"/>
      <c r="BN105" s="241"/>
      <c r="BO105" s="241"/>
      <c r="BP105" s="241"/>
      <c r="BQ105" s="241"/>
      <c r="BR105" s="241"/>
      <c r="BS105" s="241"/>
      <c r="BT105" s="241"/>
      <c r="BU105" s="241"/>
      <c r="BV105" s="241"/>
      <c r="BW105" s="241"/>
      <c r="BX105" s="241"/>
      <c r="BY105" s="241"/>
      <c r="BZ105" s="241"/>
      <c r="CA105" s="241"/>
      <c r="CB105" s="241"/>
      <c r="CC105" s="241"/>
      <c r="CD105" s="241"/>
      <c r="CE105" s="241"/>
      <c r="CF105" s="241"/>
      <c r="CG105" s="241"/>
    </row>
    <row r="106" spans="1:85" ht="12" customHeight="1" outlineLevel="1">
      <c r="A106" s="227"/>
      <c r="B106" s="227" t="s">
        <v>1766</v>
      </c>
      <c r="C106" s="227">
        <v>2</v>
      </c>
      <c r="D106" s="235" t="s">
        <v>1457</v>
      </c>
      <c r="E106" s="228"/>
      <c r="F106" s="228" t="s">
        <v>1674</v>
      </c>
      <c r="G106" s="228"/>
      <c r="H106" s="228"/>
      <c r="I106" s="228"/>
      <c r="J106" s="228"/>
      <c r="K106" s="228"/>
      <c r="L106" s="228"/>
      <c r="M106" s="228"/>
      <c r="N106" s="228"/>
      <c r="O106" s="228"/>
      <c r="P106" s="250">
        <v>46058</v>
      </c>
      <c r="Q106" s="250">
        <v>46066</v>
      </c>
      <c r="R106" s="228"/>
      <c r="S106" s="229">
        <v>5.2</v>
      </c>
      <c r="T106" s="229">
        <v>0</v>
      </c>
      <c r="U106" s="229">
        <v>7</v>
      </c>
      <c r="V106" s="229">
        <v>0</v>
      </c>
      <c r="W106" s="250"/>
      <c r="X106" s="250"/>
      <c r="Y106" s="230">
        <v>0</v>
      </c>
      <c r="Z106" s="231">
        <v>0</v>
      </c>
      <c r="AA106" s="229"/>
      <c r="AB106" s="228"/>
      <c r="AC106" s="191"/>
      <c r="AD106" s="234">
        <v>0</v>
      </c>
      <c r="AE106" s="254">
        <v>0</v>
      </c>
      <c r="AF106" s="240"/>
      <c r="AG106" s="241"/>
      <c r="AH106" s="241"/>
      <c r="AI106" s="241"/>
      <c r="AJ106" s="241"/>
      <c r="AK106" s="241"/>
      <c r="AL106" s="241"/>
      <c r="AM106" s="241"/>
      <c r="AN106" s="241"/>
      <c r="AO106" s="241"/>
      <c r="AP106" s="241"/>
      <c r="AQ106" s="241"/>
      <c r="AR106" s="241"/>
      <c r="AS106" s="241"/>
      <c r="AT106" s="241"/>
      <c r="AU106" s="241"/>
      <c r="AV106" s="241"/>
      <c r="AW106" s="241"/>
      <c r="AX106" s="241"/>
      <c r="AY106" s="241"/>
      <c r="AZ106" s="241"/>
      <c r="BA106" s="241"/>
      <c r="BB106" s="241"/>
      <c r="BC106" s="241"/>
      <c r="BD106" s="241"/>
      <c r="BE106" s="241"/>
      <c r="BF106" s="241"/>
      <c r="BG106" s="241"/>
      <c r="BH106" s="241"/>
      <c r="BI106" s="241"/>
      <c r="BJ106" s="241"/>
      <c r="BK106" s="241"/>
      <c r="BL106" s="241"/>
      <c r="BM106" s="241"/>
      <c r="BN106" s="241"/>
      <c r="BO106" s="241"/>
      <c r="BP106" s="241"/>
      <c r="BQ106" s="241"/>
      <c r="BR106" s="241"/>
      <c r="BS106" s="241"/>
      <c r="BT106" s="241"/>
      <c r="BU106" s="241"/>
      <c r="BV106" s="241"/>
      <c r="BW106" s="241"/>
      <c r="BX106" s="241"/>
      <c r="BY106" s="241"/>
      <c r="BZ106" s="241"/>
      <c r="CA106" s="241"/>
      <c r="CB106" s="241"/>
      <c r="CC106" s="241"/>
      <c r="CD106" s="241" t="str">
        <f>"    " &amp; TEXT(AE106,"#0.00%") &amp; " " &amp; "프로젝트 구축 종료" &amp; " " &amp; IF(P106="","",TEXT(P106,"M/D-")) &amp; IF(Q106="","",TEXT(Q106,"M/D")) &amp; " "</f>
        <v xml:space="preserve">    0.00% 프로젝트 구축 종료 2/5-2/13 </v>
      </c>
      <c r="CE106" s="241"/>
      <c r="CF106" s="241"/>
      <c r="CG106" s="241"/>
    </row>
    <row r="107" spans="1:85" ht="12" customHeight="1" outlineLevel="2">
      <c r="A107" s="227"/>
      <c r="B107" s="227" t="s">
        <v>1766</v>
      </c>
      <c r="C107" s="227">
        <v>3</v>
      </c>
      <c r="D107" s="235" t="s">
        <v>1452</v>
      </c>
      <c r="E107" s="228"/>
      <c r="F107" s="228"/>
      <c r="G107" s="228" t="s">
        <v>1675</v>
      </c>
      <c r="H107" s="228"/>
      <c r="I107" s="228"/>
      <c r="J107" s="228"/>
      <c r="K107" s="228"/>
      <c r="L107" s="228"/>
      <c r="M107" s="228"/>
      <c r="N107" s="228"/>
      <c r="O107" s="228"/>
      <c r="P107" s="250">
        <v>46058</v>
      </c>
      <c r="Q107" s="250">
        <v>46066</v>
      </c>
      <c r="R107" s="228"/>
      <c r="S107" s="229">
        <v>5.2</v>
      </c>
      <c r="T107" s="229">
        <v>0</v>
      </c>
      <c r="U107" s="229">
        <v>7</v>
      </c>
      <c r="V107" s="229">
        <v>0</v>
      </c>
      <c r="W107" s="250"/>
      <c r="X107" s="250"/>
      <c r="Y107" s="230">
        <v>0</v>
      </c>
      <c r="Z107" s="231">
        <v>0</v>
      </c>
      <c r="AA107" s="229"/>
      <c r="AB107" s="228"/>
      <c r="AC107" s="191"/>
      <c r="AD107" s="234">
        <v>0</v>
      </c>
      <c r="AE107" s="254">
        <v>0</v>
      </c>
      <c r="AF107" s="240"/>
      <c r="AG107" s="241"/>
      <c r="AH107" s="241"/>
      <c r="AI107" s="241"/>
      <c r="AJ107" s="241"/>
      <c r="AK107" s="241"/>
      <c r="AL107" s="241"/>
      <c r="AM107" s="241"/>
      <c r="AN107" s="241"/>
      <c r="AO107" s="241"/>
      <c r="AP107" s="241"/>
      <c r="AQ107" s="241"/>
      <c r="AR107" s="241"/>
      <c r="AS107" s="241"/>
      <c r="AT107" s="241"/>
      <c r="AU107" s="241"/>
      <c r="AV107" s="241"/>
      <c r="AW107" s="241"/>
      <c r="AX107" s="241"/>
      <c r="AY107" s="241"/>
      <c r="AZ107" s="241"/>
      <c r="BA107" s="241"/>
      <c r="BB107" s="241"/>
      <c r="BC107" s="241"/>
      <c r="BD107" s="241"/>
      <c r="BE107" s="241"/>
      <c r="BF107" s="241"/>
      <c r="BG107" s="241"/>
      <c r="BH107" s="241"/>
      <c r="BI107" s="241"/>
      <c r="BJ107" s="241"/>
      <c r="BK107" s="241"/>
      <c r="BL107" s="241"/>
      <c r="BM107" s="241"/>
      <c r="BN107" s="241"/>
      <c r="BO107" s="241"/>
      <c r="BP107" s="241"/>
      <c r="BQ107" s="241"/>
      <c r="BR107" s="241"/>
      <c r="BS107" s="241"/>
      <c r="BT107" s="241"/>
      <c r="BU107" s="241"/>
      <c r="BV107" s="241"/>
      <c r="BW107" s="241"/>
      <c r="BX107" s="241"/>
      <c r="BY107" s="241"/>
      <c r="BZ107" s="241"/>
      <c r="CA107" s="241"/>
      <c r="CB107" s="241"/>
      <c r="CC107" s="241"/>
      <c r="CD107" s="241" t="str">
        <f>"    " &amp; TEXT(AE107,"#0.00%") &amp; " " &amp; "검수" &amp; " " &amp; IF(P107="","",TEXT(P107,"M/D-")) &amp; IF(Q107="","",TEXT(Q107,"M/D")) &amp; " "</f>
        <v xml:space="preserve">    0.00% 검수 2/5-2/13 </v>
      </c>
      <c r="CE107" s="241"/>
      <c r="CF107" s="241"/>
      <c r="CG107" s="241"/>
    </row>
    <row r="108" spans="1:85" ht="12" customHeight="1" outlineLevel="3">
      <c r="A108" s="227"/>
      <c r="B108" s="227"/>
      <c r="C108" s="227">
        <v>4</v>
      </c>
      <c r="D108" s="235" t="s">
        <v>1857</v>
      </c>
      <c r="E108" s="228"/>
      <c r="F108" s="228"/>
      <c r="G108" s="228"/>
      <c r="H108" s="228" t="s">
        <v>1676</v>
      </c>
      <c r="I108" s="228"/>
      <c r="J108" s="228"/>
      <c r="K108" s="228"/>
      <c r="L108" s="228"/>
      <c r="M108" s="228"/>
      <c r="N108" s="228"/>
      <c r="O108" s="228"/>
      <c r="P108" s="250">
        <v>46058</v>
      </c>
      <c r="Q108" s="250">
        <v>46059</v>
      </c>
      <c r="R108" s="228"/>
      <c r="S108" s="229">
        <v>0.2</v>
      </c>
      <c r="T108" s="229">
        <v>0</v>
      </c>
      <c r="U108" s="229">
        <v>2</v>
      </c>
      <c r="V108" s="229">
        <v>0</v>
      </c>
      <c r="W108" s="250"/>
      <c r="X108" s="250"/>
      <c r="Y108" s="230"/>
      <c r="Z108" s="231">
        <v>0</v>
      </c>
      <c r="AA108" s="229">
        <v>0.1</v>
      </c>
      <c r="AB108" s="228" t="s">
        <v>1883</v>
      </c>
      <c r="AC108" s="191" t="s">
        <v>1893</v>
      </c>
      <c r="AD108" s="234">
        <v>0</v>
      </c>
      <c r="AE108" s="253">
        <v>0</v>
      </c>
      <c r="AF108" s="240"/>
      <c r="AG108" s="241"/>
      <c r="AH108" s="241"/>
      <c r="AI108" s="241"/>
      <c r="AJ108" s="241"/>
      <c r="AK108" s="241"/>
      <c r="AL108" s="241"/>
      <c r="AM108" s="241"/>
      <c r="AN108" s="241"/>
      <c r="AO108" s="241"/>
      <c r="AP108" s="241"/>
      <c r="AQ108" s="241"/>
      <c r="AR108" s="241"/>
      <c r="AS108" s="241"/>
      <c r="AT108" s="241"/>
      <c r="AU108" s="241"/>
      <c r="AV108" s="241"/>
      <c r="AW108" s="241"/>
      <c r="AX108" s="241"/>
      <c r="AY108" s="241"/>
      <c r="AZ108" s="241"/>
      <c r="BA108" s="241"/>
      <c r="BB108" s="241"/>
      <c r="BC108" s="241"/>
      <c r="BD108" s="241"/>
      <c r="BE108" s="241"/>
      <c r="BF108" s="241"/>
      <c r="BG108" s="241"/>
      <c r="BH108" s="241"/>
      <c r="BI108" s="241"/>
      <c r="BJ108" s="241"/>
      <c r="BK108" s="241"/>
      <c r="BL108" s="241"/>
      <c r="BM108" s="241"/>
      <c r="BN108" s="241"/>
      <c r="BO108" s="241"/>
      <c r="BP108" s="241"/>
      <c r="BQ108" s="241"/>
      <c r="BR108" s="241"/>
      <c r="BS108" s="241"/>
      <c r="BT108" s="241"/>
      <c r="BU108" s="241"/>
      <c r="BV108" s="241"/>
      <c r="BW108" s="241"/>
      <c r="BX108" s="241"/>
      <c r="BY108" s="241"/>
      <c r="BZ108" s="241"/>
      <c r="CA108" s="241"/>
      <c r="CB108" s="241"/>
      <c r="CC108" s="241"/>
      <c r="CD108" s="241" t="str">
        <f>"    " &amp; TEXT(AE108,"#0.00%") &amp; " " &amp; "검수 요청" &amp; "(오승헌님)" &amp; " " &amp; IF(P108="","",TEXT(P108,"M/D-")) &amp; IF(Q108="","",TEXT(Q108,"M/D")) &amp; " "</f>
        <v xml:space="preserve">    0.00% 검수 요청(오승헌님) 2/5-2/6 </v>
      </c>
      <c r="CE108" s="241"/>
      <c r="CF108" s="241"/>
      <c r="CG108" s="241"/>
    </row>
    <row r="109" spans="1:85" ht="12" customHeight="1" outlineLevel="3">
      <c r="A109" s="227"/>
      <c r="B109" s="227"/>
      <c r="C109" s="227">
        <v>4</v>
      </c>
      <c r="D109" s="235" t="s">
        <v>1858</v>
      </c>
      <c r="E109" s="228"/>
      <c r="F109" s="228"/>
      <c r="G109" s="228"/>
      <c r="H109" s="228" t="s">
        <v>1677</v>
      </c>
      <c r="I109" s="228"/>
      <c r="J109" s="228"/>
      <c r="K109" s="228"/>
      <c r="L109" s="228"/>
      <c r="M109" s="228"/>
      <c r="N109" s="228"/>
      <c r="O109" s="228"/>
      <c r="P109" s="250">
        <v>46062</v>
      </c>
      <c r="Q109" s="250">
        <v>46066</v>
      </c>
      <c r="R109" s="228"/>
      <c r="S109" s="229">
        <v>5</v>
      </c>
      <c r="T109" s="229">
        <v>0</v>
      </c>
      <c r="U109" s="229">
        <v>5</v>
      </c>
      <c r="V109" s="229">
        <v>0</v>
      </c>
      <c r="W109" s="250"/>
      <c r="X109" s="250"/>
      <c r="Y109" s="230"/>
      <c r="Z109" s="231">
        <v>0</v>
      </c>
      <c r="AA109" s="229">
        <v>1</v>
      </c>
      <c r="AB109" s="228" t="s">
        <v>1883</v>
      </c>
      <c r="AC109" s="191"/>
      <c r="AD109" s="234">
        <v>0</v>
      </c>
      <c r="AE109" s="253">
        <v>0</v>
      </c>
      <c r="AF109" s="240"/>
      <c r="AG109" s="241"/>
      <c r="AH109" s="241"/>
      <c r="AI109" s="241"/>
      <c r="AJ109" s="241"/>
      <c r="AK109" s="241"/>
      <c r="AL109" s="241"/>
      <c r="AM109" s="241"/>
      <c r="AN109" s="241"/>
      <c r="AO109" s="241"/>
      <c r="AP109" s="241"/>
      <c r="AQ109" s="241"/>
      <c r="AR109" s="241"/>
      <c r="AS109" s="241"/>
      <c r="AT109" s="241"/>
      <c r="AU109" s="241"/>
      <c r="AV109" s="241"/>
      <c r="AW109" s="241"/>
      <c r="AX109" s="241"/>
      <c r="AY109" s="241"/>
      <c r="AZ109" s="241"/>
      <c r="BA109" s="241"/>
      <c r="BB109" s="241"/>
      <c r="BC109" s="241"/>
      <c r="BD109" s="241"/>
      <c r="BE109" s="241"/>
      <c r="BF109" s="241"/>
      <c r="BG109" s="241"/>
      <c r="BH109" s="241"/>
      <c r="BI109" s="241"/>
      <c r="BJ109" s="241"/>
      <c r="BK109" s="241"/>
      <c r="BL109" s="241"/>
      <c r="BM109" s="241"/>
      <c r="BN109" s="241"/>
      <c r="BO109" s="241"/>
      <c r="BP109" s="241"/>
      <c r="BQ109" s="241"/>
      <c r="BR109" s="241"/>
      <c r="BS109" s="241"/>
      <c r="BT109" s="241"/>
      <c r="BU109" s="241"/>
      <c r="BV109" s="241"/>
      <c r="BW109" s="241"/>
      <c r="BX109" s="241"/>
      <c r="BY109" s="241"/>
      <c r="BZ109" s="241"/>
      <c r="CA109" s="241"/>
      <c r="CB109" s="241"/>
      <c r="CC109" s="241"/>
      <c r="CD109" s="241"/>
      <c r="CE109" s="241" t="str">
        <f>" " &amp; TEXT(AE109,"#0.00%") &amp; " " &amp; "검수 완료" &amp; "(오승헌님)" &amp; " " &amp; IF(P109="","",TEXT(P109,"M/D-")) &amp; IF(Q109="","",TEXT(Q109,"M/D")) &amp; " "</f>
        <v xml:space="preserve"> 0.00% 검수 완료(오승헌님) 2/9-2/13 </v>
      </c>
      <c r="CF109" s="241"/>
      <c r="CG109" s="241"/>
    </row>
    <row r="110" spans="1:85" ht="12" customHeight="1">
      <c r="A110" s="227"/>
      <c r="B110" s="227" t="s">
        <v>1766</v>
      </c>
      <c r="C110" s="227">
        <v>1</v>
      </c>
      <c r="D110" s="235" t="s">
        <v>790</v>
      </c>
      <c r="E110" s="228" t="s">
        <v>1955</v>
      </c>
      <c r="F110" s="228"/>
      <c r="G110" s="228"/>
      <c r="H110" s="228"/>
      <c r="I110" s="228"/>
      <c r="J110" s="228"/>
      <c r="K110" s="228"/>
      <c r="L110" s="228"/>
      <c r="M110" s="228"/>
      <c r="N110" s="228"/>
      <c r="O110" s="228"/>
      <c r="P110" s="250">
        <v>45705</v>
      </c>
      <c r="Q110" s="250">
        <v>45863</v>
      </c>
      <c r="R110" s="228"/>
      <c r="S110" s="229">
        <v>379.5</v>
      </c>
      <c r="T110" s="229">
        <v>23</v>
      </c>
      <c r="U110" s="229">
        <v>111</v>
      </c>
      <c r="V110" s="229">
        <v>13</v>
      </c>
      <c r="W110" s="250"/>
      <c r="X110" s="250"/>
      <c r="Y110" s="230">
        <v>0</v>
      </c>
      <c r="Z110" s="231">
        <v>0</v>
      </c>
      <c r="AA110" s="229"/>
      <c r="AB110" s="228"/>
      <c r="AC110" s="191"/>
      <c r="AD110" s="234">
        <v>6.0606060606060608E-2</v>
      </c>
      <c r="AE110" s="243">
        <v>0</v>
      </c>
      <c r="AF110" s="240" t="str">
        <f>" " &amp; TEXT(AE110,"#0.00%") &amp; " "</f>
        <v xml:space="preserve"> 0.00% </v>
      </c>
      <c r="AG110" s="241"/>
      <c r="AH110" s="241"/>
      <c r="AI110" s="241"/>
      <c r="AJ110" s="241"/>
      <c r="AK110" s="241"/>
      <c r="AL110" s="241"/>
      <c r="AM110" s="241"/>
      <c r="AN110" s="241"/>
      <c r="AO110" s="241"/>
      <c r="AP110" s="241"/>
      <c r="AQ110" s="241"/>
      <c r="AR110" s="241"/>
      <c r="AS110" s="241"/>
      <c r="AT110" s="241"/>
      <c r="AU110" s="241"/>
      <c r="AV110" s="241"/>
      <c r="AW110" s="241"/>
      <c r="AX110" s="241"/>
      <c r="AY110" s="241"/>
      <c r="AZ110" s="241"/>
      <c r="BA110" s="241"/>
      <c r="BB110" s="241" t="str">
        <f>"      " &amp; "인프라/아키텍처" &amp; " " &amp; IF(P110="","",TEXT(P110,"M/D-")) &amp; IF(Q110="","",TEXT(Q110,"M/D")) &amp; " "</f>
        <v xml:space="preserve">      인프라/아키텍처 2/17-7/25 </v>
      </c>
      <c r="BC110" s="241"/>
      <c r="BD110" s="241"/>
      <c r="BE110" s="241"/>
      <c r="BF110" s="241"/>
      <c r="BG110" s="241"/>
      <c r="BH110" s="241"/>
      <c r="BI110" s="241"/>
      <c r="BJ110" s="241"/>
      <c r="BK110" s="241"/>
      <c r="BL110" s="241"/>
      <c r="BM110" s="241"/>
      <c r="BN110" s="241"/>
      <c r="BO110" s="241"/>
      <c r="BP110" s="241"/>
      <c r="BQ110" s="241"/>
      <c r="BR110" s="241"/>
      <c r="BS110" s="241"/>
      <c r="BT110" s="241"/>
      <c r="BU110" s="241"/>
      <c r="BV110" s="241"/>
      <c r="BW110" s="241"/>
      <c r="BX110" s="241"/>
      <c r="BY110" s="241"/>
      <c r="BZ110" s="241"/>
      <c r="CA110" s="241"/>
      <c r="CB110" s="241"/>
      <c r="CC110" s="241"/>
      <c r="CD110" s="241"/>
      <c r="CE110" s="241"/>
      <c r="CF110" s="241"/>
      <c r="CG110" s="241"/>
    </row>
    <row r="111" spans="1:85" ht="12" customHeight="1" outlineLevel="1">
      <c r="A111" s="227"/>
      <c r="B111" s="227" t="s">
        <v>1766</v>
      </c>
      <c r="C111" s="227">
        <v>2</v>
      </c>
      <c r="D111" s="235" t="s">
        <v>1461</v>
      </c>
      <c r="E111" s="228"/>
      <c r="F111" s="201" t="s">
        <v>1909</v>
      </c>
      <c r="G111" s="228"/>
      <c r="H111" s="228"/>
      <c r="I111" s="228"/>
      <c r="J111" s="228"/>
      <c r="K111" s="228"/>
      <c r="L111" s="228"/>
      <c r="M111" s="228"/>
      <c r="N111" s="228"/>
      <c r="O111" s="228"/>
      <c r="P111" s="250">
        <v>45705</v>
      </c>
      <c r="Q111" s="250">
        <v>45758</v>
      </c>
      <c r="R111" s="228"/>
      <c r="S111" s="229">
        <v>84</v>
      </c>
      <c r="T111" s="229">
        <v>23</v>
      </c>
      <c r="U111" s="229">
        <v>39</v>
      </c>
      <c r="V111" s="229">
        <v>13</v>
      </c>
      <c r="W111" s="250"/>
      <c r="X111" s="250"/>
      <c r="Y111" s="230">
        <v>0</v>
      </c>
      <c r="Z111" s="231">
        <v>0</v>
      </c>
      <c r="AA111" s="229"/>
      <c r="AB111" s="228"/>
      <c r="AC111" s="191"/>
      <c r="AD111" s="234">
        <v>0.27380952380952384</v>
      </c>
      <c r="AE111" s="243">
        <v>0</v>
      </c>
      <c r="AF111" s="240" t="str">
        <f>" " &amp; TEXT(AE111,"#0.00%") &amp; " "</f>
        <v xml:space="preserve"> 0.00% </v>
      </c>
      <c r="AG111" s="241"/>
      <c r="AH111" s="241"/>
      <c r="AI111" s="241"/>
      <c r="AJ111" s="241"/>
      <c r="AK111" s="241"/>
      <c r="AL111" s="241"/>
      <c r="AM111" s="241" t="str">
        <f>"      " &amp; "분석/설계" &amp; " " &amp; IF(P111="","",TEXT(P111,"M/D-")) &amp; IF(Q111="","",TEXT(Q111,"M/D")) &amp; " "</f>
        <v xml:space="preserve">      분석/설계 2/17-4/11 </v>
      </c>
      <c r="AN111" s="241"/>
      <c r="AO111" s="241"/>
      <c r="AP111" s="241"/>
      <c r="AQ111" s="241"/>
      <c r="AR111" s="241"/>
      <c r="AS111" s="241"/>
      <c r="AT111" s="241"/>
      <c r="AU111" s="241"/>
      <c r="AV111" s="241"/>
      <c r="AW111" s="241"/>
      <c r="AX111" s="241"/>
      <c r="AY111" s="241"/>
      <c r="AZ111" s="241"/>
      <c r="BA111" s="241"/>
      <c r="BB111" s="241"/>
      <c r="BC111" s="241"/>
      <c r="BD111" s="241"/>
      <c r="BE111" s="241"/>
      <c r="BF111" s="241"/>
      <c r="BG111" s="241"/>
      <c r="BH111" s="241"/>
      <c r="BI111" s="241"/>
      <c r="BJ111" s="241"/>
      <c r="BK111" s="241"/>
      <c r="BL111" s="241"/>
      <c r="BM111" s="241"/>
      <c r="BN111" s="241"/>
      <c r="BO111" s="241"/>
      <c r="BP111" s="241"/>
      <c r="BQ111" s="241"/>
      <c r="BR111" s="241"/>
      <c r="BS111" s="241"/>
      <c r="BT111" s="241"/>
      <c r="BU111" s="241"/>
      <c r="BV111" s="241"/>
      <c r="BW111" s="241"/>
      <c r="BX111" s="241"/>
      <c r="BY111" s="241"/>
      <c r="BZ111" s="241"/>
      <c r="CA111" s="241"/>
      <c r="CB111" s="241"/>
      <c r="CC111" s="241"/>
      <c r="CD111" s="241"/>
      <c r="CE111" s="241"/>
      <c r="CF111" s="241"/>
      <c r="CG111" s="241"/>
    </row>
    <row r="112" spans="1:85" ht="12" customHeight="1" outlineLevel="2">
      <c r="A112" s="227"/>
      <c r="B112" s="227" t="s">
        <v>1766</v>
      </c>
      <c r="C112" s="227">
        <v>3</v>
      </c>
      <c r="D112" s="235" t="s">
        <v>1462</v>
      </c>
      <c r="E112" s="228"/>
      <c r="F112" s="228"/>
      <c r="G112" s="228" t="s">
        <v>1445</v>
      </c>
      <c r="H112" s="228"/>
      <c r="I112" s="228"/>
      <c r="J112" s="228"/>
      <c r="K112" s="228"/>
      <c r="L112" s="228"/>
      <c r="M112" s="228"/>
      <c r="N112" s="228"/>
      <c r="O112" s="228"/>
      <c r="P112" s="250">
        <v>45705</v>
      </c>
      <c r="Q112" s="250">
        <v>45730</v>
      </c>
      <c r="R112" s="228"/>
      <c r="S112" s="229">
        <v>44</v>
      </c>
      <c r="T112" s="229">
        <v>23</v>
      </c>
      <c r="U112" s="229">
        <v>19</v>
      </c>
      <c r="V112" s="229">
        <v>13</v>
      </c>
      <c r="W112" s="250"/>
      <c r="X112" s="250"/>
      <c r="Y112" s="230">
        <v>0</v>
      </c>
      <c r="Z112" s="231">
        <v>0</v>
      </c>
      <c r="AA112" s="229"/>
      <c r="AB112" s="228"/>
      <c r="AC112" s="191"/>
      <c r="AD112" s="234">
        <v>0.52272727272727271</v>
      </c>
      <c r="AE112" s="243">
        <v>0</v>
      </c>
      <c r="AF112" s="240" t="str">
        <f>" " &amp; TEXT(AE112,"#0.00%") &amp; " "</f>
        <v xml:space="preserve"> 0.00% </v>
      </c>
      <c r="AG112" s="241"/>
      <c r="AH112" s="241"/>
      <c r="AI112" s="241" t="str">
        <f>"      " &amp; "분석" &amp; " " &amp; IF(P112="","",TEXT(P112,"M/D-")) &amp; IF(Q112="","",TEXT(Q112,"M/D")) &amp; " "</f>
        <v xml:space="preserve">      분석 2/17-3/14 </v>
      </c>
      <c r="AJ112" s="241"/>
      <c r="AK112" s="241"/>
      <c r="AL112" s="241"/>
      <c r="AM112" s="241"/>
      <c r="AN112" s="241"/>
      <c r="AO112" s="241"/>
      <c r="AP112" s="241"/>
      <c r="AQ112" s="241"/>
      <c r="AR112" s="241"/>
      <c r="AS112" s="241"/>
      <c r="AT112" s="241"/>
      <c r="AU112" s="241"/>
      <c r="AV112" s="241"/>
      <c r="AW112" s="241"/>
      <c r="AX112" s="241"/>
      <c r="AY112" s="241"/>
      <c r="AZ112" s="241"/>
      <c r="BA112" s="241"/>
      <c r="BB112" s="241"/>
      <c r="BC112" s="241"/>
      <c r="BD112" s="241"/>
      <c r="BE112" s="241"/>
      <c r="BF112" s="241"/>
      <c r="BG112" s="241"/>
      <c r="BH112" s="241"/>
      <c r="BI112" s="241"/>
      <c r="BJ112" s="241"/>
      <c r="BK112" s="241"/>
      <c r="BL112" s="241"/>
      <c r="BM112" s="241"/>
      <c r="BN112" s="241"/>
      <c r="BO112" s="241"/>
      <c r="BP112" s="241"/>
      <c r="BQ112" s="241"/>
      <c r="BR112" s="241"/>
      <c r="BS112" s="241"/>
      <c r="BT112" s="241"/>
      <c r="BU112" s="241"/>
      <c r="BV112" s="241"/>
      <c r="BW112" s="241"/>
      <c r="BX112" s="241"/>
      <c r="BY112" s="241"/>
      <c r="BZ112" s="241"/>
      <c r="CA112" s="241"/>
      <c r="CB112" s="241"/>
      <c r="CC112" s="241"/>
      <c r="CD112" s="241"/>
      <c r="CE112" s="241"/>
      <c r="CF112" s="241"/>
      <c r="CG112" s="241"/>
    </row>
    <row r="113" spans="1:85" ht="12" customHeight="1" outlineLevel="3">
      <c r="A113" s="227"/>
      <c r="B113" s="227"/>
      <c r="C113" s="227">
        <v>4</v>
      </c>
      <c r="D113" s="235" t="s">
        <v>1956</v>
      </c>
      <c r="E113" s="228"/>
      <c r="F113" s="228"/>
      <c r="G113" s="228"/>
      <c r="H113" s="228" t="s">
        <v>1910</v>
      </c>
      <c r="I113" s="228"/>
      <c r="J113" s="228"/>
      <c r="K113" s="228"/>
      <c r="L113" s="228"/>
      <c r="M113" s="228"/>
      <c r="N113" s="228"/>
      <c r="O113" s="228"/>
      <c r="P113" s="250">
        <v>45705</v>
      </c>
      <c r="Q113" s="250">
        <v>45730</v>
      </c>
      <c r="R113" s="228"/>
      <c r="S113" s="229">
        <v>19</v>
      </c>
      <c r="T113" s="229">
        <v>13</v>
      </c>
      <c r="U113" s="229">
        <v>19</v>
      </c>
      <c r="V113" s="229">
        <v>13</v>
      </c>
      <c r="W113" s="250"/>
      <c r="X113" s="250"/>
      <c r="Y113" s="230"/>
      <c r="Z113" s="231">
        <v>0</v>
      </c>
      <c r="AA113" s="229">
        <v>1</v>
      </c>
      <c r="AB113" s="228"/>
      <c r="AC113" s="191"/>
      <c r="AD113" s="234">
        <v>0.68421052631578949</v>
      </c>
      <c r="AE113" s="242">
        <v>0</v>
      </c>
      <c r="AF113" s="240" t="str">
        <f>" " &amp; TEXT(AE113,"#0.00%") &amp; " "</f>
        <v xml:space="preserve"> 0.00% </v>
      </c>
      <c r="AG113" s="241"/>
      <c r="AH113" s="241"/>
      <c r="AI113" s="241" t="str">
        <f>"      " &amp; "공통 요구사항 분석" &amp; " " &amp; IF(P113="","",TEXT(P113,"M/D-")) &amp; IF(Q113="","",TEXT(Q113,"M/D")) &amp; " "</f>
        <v xml:space="preserve">      공통 요구사항 분석 2/17-3/14 </v>
      </c>
      <c r="AJ113" s="241"/>
      <c r="AK113" s="241"/>
      <c r="AL113" s="241"/>
      <c r="AM113" s="241"/>
      <c r="AN113" s="241"/>
      <c r="AO113" s="241"/>
      <c r="AP113" s="241"/>
      <c r="AQ113" s="241"/>
      <c r="AR113" s="241"/>
      <c r="AS113" s="241"/>
      <c r="AT113" s="241"/>
      <c r="AU113" s="241"/>
      <c r="AV113" s="241"/>
      <c r="AW113" s="241"/>
      <c r="AX113" s="241"/>
      <c r="AY113" s="241"/>
      <c r="AZ113" s="241"/>
      <c r="BA113" s="241"/>
      <c r="BB113" s="241"/>
      <c r="BC113" s="241"/>
      <c r="BD113" s="241"/>
      <c r="BE113" s="241"/>
      <c r="BF113" s="241"/>
      <c r="BG113" s="241"/>
      <c r="BH113" s="241"/>
      <c r="BI113" s="241"/>
      <c r="BJ113" s="241"/>
      <c r="BK113" s="241"/>
      <c r="BL113" s="241"/>
      <c r="BM113" s="241"/>
      <c r="BN113" s="241"/>
      <c r="BO113" s="241"/>
      <c r="BP113" s="241"/>
      <c r="BQ113" s="241"/>
      <c r="BR113" s="241"/>
      <c r="BS113" s="241"/>
      <c r="BT113" s="241"/>
      <c r="BU113" s="241"/>
      <c r="BV113" s="241"/>
      <c r="BW113" s="241"/>
      <c r="BX113" s="241"/>
      <c r="BY113" s="241"/>
      <c r="BZ113" s="241"/>
      <c r="CA113" s="241"/>
      <c r="CB113" s="241"/>
      <c r="CC113" s="241"/>
      <c r="CD113" s="241"/>
      <c r="CE113" s="241"/>
      <c r="CF113" s="241"/>
      <c r="CG113" s="241"/>
    </row>
    <row r="114" spans="1:85" ht="12" customHeight="1" outlineLevel="3">
      <c r="A114" s="227"/>
      <c r="B114" s="227"/>
      <c r="C114" s="227">
        <v>4</v>
      </c>
      <c r="D114" s="235" t="s">
        <v>1957</v>
      </c>
      <c r="E114" s="228"/>
      <c r="F114" s="228"/>
      <c r="G114" s="228"/>
      <c r="H114" s="228" t="s">
        <v>1911</v>
      </c>
      <c r="I114" s="228"/>
      <c r="J114" s="228"/>
      <c r="K114" s="228"/>
      <c r="L114" s="228"/>
      <c r="M114" s="228"/>
      <c r="N114" s="228"/>
      <c r="O114" s="228"/>
      <c r="P114" s="250">
        <v>45712</v>
      </c>
      <c r="Q114" s="250">
        <v>45730</v>
      </c>
      <c r="R114" s="228"/>
      <c r="S114" s="229">
        <v>7</v>
      </c>
      <c r="T114" s="229">
        <v>4</v>
      </c>
      <c r="U114" s="229">
        <v>14</v>
      </c>
      <c r="V114" s="229">
        <v>8</v>
      </c>
      <c r="W114" s="250"/>
      <c r="X114" s="250"/>
      <c r="Y114" s="230"/>
      <c r="Z114" s="231">
        <v>0</v>
      </c>
      <c r="AA114" s="229">
        <v>0.5</v>
      </c>
      <c r="AB114" s="228"/>
      <c r="AC114" s="191"/>
      <c r="AD114" s="234">
        <v>0.5714285714285714</v>
      </c>
      <c r="AE114" s="242">
        <v>0</v>
      </c>
      <c r="AF114" s="240"/>
      <c r="AG114" s="241" t="str">
        <f>" " &amp; TEXT(AE114,"#0.00%") &amp; " " &amp; "어플리케이션(시스템) 요구사항 분석" &amp; " " &amp; IF(P114="","",TEXT(P114,"M/D-")) &amp; IF(Q114="","",TEXT(Q114,"M/D")) &amp; " "</f>
        <v xml:space="preserve"> 0.00% 어플리케이션(시스템) 요구사항 분석 2/24-3/14 </v>
      </c>
      <c r="AH114" s="241"/>
      <c r="AI114" s="241"/>
      <c r="AJ114" s="241"/>
      <c r="AK114" s="241"/>
      <c r="AL114" s="241"/>
      <c r="AM114" s="241"/>
      <c r="AN114" s="241"/>
      <c r="AO114" s="241"/>
      <c r="AP114" s="241"/>
      <c r="AQ114" s="241"/>
      <c r="AR114" s="241"/>
      <c r="AS114" s="241"/>
      <c r="AT114" s="241"/>
      <c r="AU114" s="241"/>
      <c r="AV114" s="241"/>
      <c r="AW114" s="241"/>
      <c r="AX114" s="241"/>
      <c r="AY114" s="241"/>
      <c r="AZ114" s="241"/>
      <c r="BA114" s="241"/>
      <c r="BB114" s="241"/>
      <c r="BC114" s="241"/>
      <c r="BD114" s="241"/>
      <c r="BE114" s="241"/>
      <c r="BF114" s="241"/>
      <c r="BG114" s="241"/>
      <c r="BH114" s="241"/>
      <c r="BI114" s="241"/>
      <c r="BJ114" s="241"/>
      <c r="BK114" s="241"/>
      <c r="BL114" s="241"/>
      <c r="BM114" s="241"/>
      <c r="BN114" s="241"/>
      <c r="BO114" s="241"/>
      <c r="BP114" s="241"/>
      <c r="BQ114" s="241"/>
      <c r="BR114" s="241"/>
      <c r="BS114" s="241"/>
      <c r="BT114" s="241"/>
      <c r="BU114" s="241"/>
      <c r="BV114" s="241"/>
      <c r="BW114" s="241"/>
      <c r="BX114" s="241"/>
      <c r="BY114" s="241"/>
      <c r="BZ114" s="241"/>
      <c r="CA114" s="241"/>
      <c r="CB114" s="241"/>
      <c r="CC114" s="241"/>
      <c r="CD114" s="241"/>
      <c r="CE114" s="241"/>
      <c r="CF114" s="241"/>
      <c r="CG114" s="241"/>
    </row>
    <row r="115" spans="1:85" ht="12" customHeight="1" outlineLevel="3">
      <c r="A115" s="227"/>
      <c r="B115" s="227"/>
      <c r="C115" s="227">
        <v>4</v>
      </c>
      <c r="D115" s="235" t="s">
        <v>1958</v>
      </c>
      <c r="E115" s="228"/>
      <c r="F115" s="228"/>
      <c r="G115" s="228"/>
      <c r="H115" s="228" t="s">
        <v>1912</v>
      </c>
      <c r="I115" s="228"/>
      <c r="J115" s="228"/>
      <c r="K115" s="228"/>
      <c r="L115" s="228"/>
      <c r="M115" s="228"/>
      <c r="N115" s="228"/>
      <c r="O115" s="228"/>
      <c r="P115" s="250">
        <v>45719</v>
      </c>
      <c r="Q115" s="250">
        <v>45730</v>
      </c>
      <c r="R115" s="228"/>
      <c r="S115" s="229">
        <v>4.5</v>
      </c>
      <c r="T115" s="229">
        <v>1.5</v>
      </c>
      <c r="U115" s="229">
        <v>9</v>
      </c>
      <c r="V115" s="229">
        <v>3</v>
      </c>
      <c r="W115" s="250"/>
      <c r="X115" s="250"/>
      <c r="Y115" s="230"/>
      <c r="Z115" s="231">
        <v>0</v>
      </c>
      <c r="AA115" s="229">
        <v>0.5</v>
      </c>
      <c r="AB115" s="228"/>
      <c r="AC115" s="191"/>
      <c r="AD115" s="234">
        <v>0.33333333333333331</v>
      </c>
      <c r="AE115" s="242">
        <v>0</v>
      </c>
      <c r="AF115" s="240"/>
      <c r="AG115" s="241"/>
      <c r="AH115" s="241" t="str">
        <f>" " &amp; TEXT(AE115,"#0.00%") &amp; " " &amp; "CICD 요구사항 분석" &amp; " " &amp; IF(P115="","",TEXT(P115,"M/D-")) &amp; IF(Q115="","",TEXT(Q115,"M/D")) &amp; " "</f>
        <v xml:space="preserve"> 0.00% CICD 요구사항 분석 3/3-3/14 </v>
      </c>
      <c r="AI115" s="241"/>
      <c r="AJ115" s="241"/>
      <c r="AK115" s="241"/>
      <c r="AL115" s="241"/>
      <c r="AM115" s="241"/>
      <c r="AN115" s="241"/>
      <c r="AO115" s="241"/>
      <c r="AP115" s="241"/>
      <c r="AQ115" s="241"/>
      <c r="AR115" s="241"/>
      <c r="AS115" s="241"/>
      <c r="AT115" s="241"/>
      <c r="AU115" s="241"/>
      <c r="AV115" s="241"/>
      <c r="AW115" s="241"/>
      <c r="AX115" s="241"/>
      <c r="AY115" s="241"/>
      <c r="AZ115" s="241"/>
      <c r="BA115" s="241"/>
      <c r="BB115" s="241"/>
      <c r="BC115" s="241"/>
      <c r="BD115" s="241"/>
      <c r="BE115" s="241"/>
      <c r="BF115" s="241"/>
      <c r="BG115" s="241"/>
      <c r="BH115" s="241"/>
      <c r="BI115" s="241"/>
      <c r="BJ115" s="241"/>
      <c r="BK115" s="241"/>
      <c r="BL115" s="241"/>
      <c r="BM115" s="241"/>
      <c r="BN115" s="241"/>
      <c r="BO115" s="241"/>
      <c r="BP115" s="241"/>
      <c r="BQ115" s="241"/>
      <c r="BR115" s="241"/>
      <c r="BS115" s="241"/>
      <c r="BT115" s="241"/>
      <c r="BU115" s="241"/>
      <c r="BV115" s="241"/>
      <c r="BW115" s="241"/>
      <c r="BX115" s="241"/>
      <c r="BY115" s="241"/>
      <c r="BZ115" s="241"/>
      <c r="CA115" s="241"/>
      <c r="CB115" s="241"/>
      <c r="CC115" s="241"/>
      <c r="CD115" s="241"/>
      <c r="CE115" s="241"/>
      <c r="CF115" s="241"/>
      <c r="CG115" s="241"/>
    </row>
    <row r="116" spans="1:85" ht="12" customHeight="1" outlineLevel="3">
      <c r="A116" s="227"/>
      <c r="B116" s="227"/>
      <c r="C116" s="227">
        <v>4</v>
      </c>
      <c r="D116" s="235" t="s">
        <v>1959</v>
      </c>
      <c r="E116" s="228"/>
      <c r="F116" s="228"/>
      <c r="G116" s="228"/>
      <c r="H116" s="228" t="s">
        <v>1913</v>
      </c>
      <c r="I116" s="228"/>
      <c r="J116" s="228"/>
      <c r="K116" s="228"/>
      <c r="L116" s="228"/>
      <c r="M116" s="228"/>
      <c r="N116" s="228"/>
      <c r="O116" s="228"/>
      <c r="P116" s="250">
        <v>45719</v>
      </c>
      <c r="Q116" s="250">
        <v>45730</v>
      </c>
      <c r="R116" s="228"/>
      <c r="S116" s="229">
        <v>4.5</v>
      </c>
      <c r="T116" s="229">
        <v>1.5</v>
      </c>
      <c r="U116" s="229">
        <v>9</v>
      </c>
      <c r="V116" s="229">
        <v>3</v>
      </c>
      <c r="W116" s="250"/>
      <c r="X116" s="250"/>
      <c r="Y116" s="230"/>
      <c r="Z116" s="231">
        <v>0</v>
      </c>
      <c r="AA116" s="229">
        <v>0.5</v>
      </c>
      <c r="AB116" s="228"/>
      <c r="AC116" s="191"/>
      <c r="AD116" s="234">
        <v>0.33333333333333331</v>
      </c>
      <c r="AE116" s="242">
        <v>0</v>
      </c>
      <c r="AF116" s="240"/>
      <c r="AG116" s="241"/>
      <c r="AH116" s="241" t="str">
        <f>" " &amp; TEXT(AE116,"#0.00%") &amp; " " &amp; "Framework 요구사항 분석" &amp; " " &amp; IF(P116="","",TEXT(P116,"M/D-")) &amp; IF(Q116="","",TEXT(Q116,"M/D")) &amp; " "</f>
        <v xml:space="preserve"> 0.00% Framework 요구사항 분석 3/3-3/14 </v>
      </c>
      <c r="AI116" s="241"/>
      <c r="AJ116" s="241"/>
      <c r="AK116" s="241"/>
      <c r="AL116" s="241"/>
      <c r="AM116" s="241"/>
      <c r="AN116" s="241"/>
      <c r="AO116" s="241"/>
      <c r="AP116" s="241"/>
      <c r="AQ116" s="241"/>
      <c r="AR116" s="241"/>
      <c r="AS116" s="241"/>
      <c r="AT116" s="241"/>
      <c r="AU116" s="241"/>
      <c r="AV116" s="241"/>
      <c r="AW116" s="241"/>
      <c r="AX116" s="241"/>
      <c r="AY116" s="241"/>
      <c r="AZ116" s="241"/>
      <c r="BA116" s="241"/>
      <c r="BB116" s="241"/>
      <c r="BC116" s="241"/>
      <c r="BD116" s="241"/>
      <c r="BE116" s="241"/>
      <c r="BF116" s="241"/>
      <c r="BG116" s="241"/>
      <c r="BH116" s="241"/>
      <c r="BI116" s="241"/>
      <c r="BJ116" s="241"/>
      <c r="BK116" s="241"/>
      <c r="BL116" s="241"/>
      <c r="BM116" s="241"/>
      <c r="BN116" s="241"/>
      <c r="BO116" s="241"/>
      <c r="BP116" s="241"/>
      <c r="BQ116" s="241"/>
      <c r="BR116" s="241"/>
      <c r="BS116" s="241"/>
      <c r="BT116" s="241"/>
      <c r="BU116" s="241"/>
      <c r="BV116" s="241"/>
      <c r="BW116" s="241"/>
      <c r="BX116" s="241"/>
      <c r="BY116" s="241"/>
      <c r="BZ116" s="241"/>
      <c r="CA116" s="241"/>
      <c r="CB116" s="241"/>
      <c r="CC116" s="241"/>
      <c r="CD116" s="241"/>
      <c r="CE116" s="241"/>
      <c r="CF116" s="241"/>
      <c r="CG116" s="241"/>
    </row>
    <row r="117" spans="1:85" ht="12" customHeight="1" outlineLevel="3">
      <c r="A117" s="227"/>
      <c r="B117" s="227"/>
      <c r="C117" s="227">
        <v>4</v>
      </c>
      <c r="D117" s="235" t="s">
        <v>1960</v>
      </c>
      <c r="E117" s="228"/>
      <c r="F117" s="228"/>
      <c r="G117" s="228"/>
      <c r="H117" s="228" t="s">
        <v>1908</v>
      </c>
      <c r="I117" s="228"/>
      <c r="J117" s="228"/>
      <c r="K117" s="228"/>
      <c r="L117" s="228"/>
      <c r="M117" s="228"/>
      <c r="N117" s="228"/>
      <c r="O117" s="228"/>
      <c r="P117" s="250">
        <v>45719</v>
      </c>
      <c r="Q117" s="250">
        <v>45730</v>
      </c>
      <c r="R117" s="228"/>
      <c r="S117" s="229">
        <v>9</v>
      </c>
      <c r="T117" s="229">
        <v>3</v>
      </c>
      <c r="U117" s="229">
        <v>9</v>
      </c>
      <c r="V117" s="229">
        <v>3</v>
      </c>
      <c r="W117" s="250"/>
      <c r="X117" s="250"/>
      <c r="Y117" s="230"/>
      <c r="Z117" s="231">
        <v>0</v>
      </c>
      <c r="AA117" s="229">
        <v>1</v>
      </c>
      <c r="AB117" s="228"/>
      <c r="AC117" s="191"/>
      <c r="AD117" s="234">
        <v>0.33333333333333331</v>
      </c>
      <c r="AE117" s="242">
        <v>0</v>
      </c>
      <c r="AF117" s="240"/>
      <c r="AG117" s="241"/>
      <c r="AH117" s="241" t="str">
        <f>" " &amp; TEXT(AE117,"#0.00%") &amp; " " &amp; "클라우드 서비스 요구사항 및 To-Be 방향성 정의" &amp; " " &amp; IF(P117="","",TEXT(P117,"M/D-")) &amp; IF(Q117="","",TEXT(Q117,"M/D")) &amp; " "</f>
        <v xml:space="preserve"> 0.00% 클라우드 서비스 요구사항 및 To-Be 방향성 정의 3/3-3/14 </v>
      </c>
      <c r="AI117" s="241"/>
      <c r="AJ117" s="241"/>
      <c r="AK117" s="241"/>
      <c r="AL117" s="241"/>
      <c r="AM117" s="241"/>
      <c r="AN117" s="241"/>
      <c r="AO117" s="241"/>
      <c r="AP117" s="241"/>
      <c r="AQ117" s="241"/>
      <c r="AR117" s="241"/>
      <c r="AS117" s="241"/>
      <c r="AT117" s="241"/>
      <c r="AU117" s="241"/>
      <c r="AV117" s="241"/>
      <c r="AW117" s="241"/>
      <c r="AX117" s="241"/>
      <c r="AY117" s="241"/>
      <c r="AZ117" s="241"/>
      <c r="BA117" s="241"/>
      <c r="BB117" s="241"/>
      <c r="BC117" s="241"/>
      <c r="BD117" s="241"/>
      <c r="BE117" s="241"/>
      <c r="BF117" s="241"/>
      <c r="BG117" s="241"/>
      <c r="BH117" s="241"/>
      <c r="BI117" s="241"/>
      <c r="BJ117" s="241"/>
      <c r="BK117" s="241"/>
      <c r="BL117" s="241"/>
      <c r="BM117" s="241"/>
      <c r="BN117" s="241"/>
      <c r="BO117" s="241"/>
      <c r="BP117" s="241"/>
      <c r="BQ117" s="241"/>
      <c r="BR117" s="241"/>
      <c r="BS117" s="241"/>
      <c r="BT117" s="241"/>
      <c r="BU117" s="241"/>
      <c r="BV117" s="241"/>
      <c r="BW117" s="241"/>
      <c r="BX117" s="241"/>
      <c r="BY117" s="241"/>
      <c r="BZ117" s="241"/>
      <c r="CA117" s="241"/>
      <c r="CB117" s="241"/>
      <c r="CC117" s="241"/>
      <c r="CD117" s="241"/>
      <c r="CE117" s="241"/>
      <c r="CF117" s="241"/>
      <c r="CG117" s="241"/>
    </row>
    <row r="118" spans="1:85" ht="12" customHeight="1" outlineLevel="2">
      <c r="A118" s="227"/>
      <c r="B118" s="227" t="s">
        <v>1766</v>
      </c>
      <c r="C118" s="227">
        <v>3</v>
      </c>
      <c r="D118" s="235" t="s">
        <v>1463</v>
      </c>
      <c r="E118" s="228"/>
      <c r="F118" s="228"/>
      <c r="G118" s="228" t="s">
        <v>1449</v>
      </c>
      <c r="H118" s="228"/>
      <c r="I118" s="228"/>
      <c r="J118" s="228"/>
      <c r="K118" s="228"/>
      <c r="L118" s="228"/>
      <c r="M118" s="228"/>
      <c r="N118" s="228"/>
      <c r="O118" s="228"/>
      <c r="P118" s="250">
        <v>45726</v>
      </c>
      <c r="Q118" s="250">
        <v>45758</v>
      </c>
      <c r="R118" s="228"/>
      <c r="S118" s="229">
        <v>40</v>
      </c>
      <c r="T118" s="229">
        <v>0</v>
      </c>
      <c r="U118" s="229">
        <v>25</v>
      </c>
      <c r="V118" s="229">
        <v>0</v>
      </c>
      <c r="W118" s="250"/>
      <c r="X118" s="250"/>
      <c r="Y118" s="230">
        <v>0</v>
      </c>
      <c r="Z118" s="231">
        <v>0</v>
      </c>
      <c r="AA118" s="229"/>
      <c r="AB118" s="228"/>
      <c r="AC118" s="191"/>
      <c r="AD118" s="234">
        <v>0</v>
      </c>
      <c r="AE118" s="254">
        <v>0</v>
      </c>
      <c r="AF118" s="240"/>
      <c r="AG118" s="241"/>
      <c r="AH118" s="241"/>
      <c r="AI118" s="241" t="str">
        <f>" " &amp; TEXT(AE118,"#0.00%") &amp; " "</f>
        <v xml:space="preserve"> 0.00% </v>
      </c>
      <c r="AJ118" s="241"/>
      <c r="AK118" s="241"/>
      <c r="AL118" s="241"/>
      <c r="AM118" s="241" t="str">
        <f>"      " &amp; "설계" &amp; " " &amp; IF(P118="","",TEXT(P118,"M/D-")) &amp; IF(Q118="","",TEXT(Q118,"M/D")) &amp; " "</f>
        <v xml:space="preserve">      설계 3/10-4/11 </v>
      </c>
      <c r="AN118" s="241"/>
      <c r="AO118" s="241"/>
      <c r="AP118" s="241"/>
      <c r="AQ118" s="241"/>
      <c r="AR118" s="241"/>
      <c r="AS118" s="241"/>
      <c r="AT118" s="241"/>
      <c r="AU118" s="241"/>
      <c r="AV118" s="241"/>
      <c r="AW118" s="241"/>
      <c r="AX118" s="241"/>
      <c r="AY118" s="241"/>
      <c r="AZ118" s="241"/>
      <c r="BA118" s="241"/>
      <c r="BB118" s="241"/>
      <c r="BC118" s="241"/>
      <c r="BD118" s="241"/>
      <c r="BE118" s="241"/>
      <c r="BF118" s="241"/>
      <c r="BG118" s="241"/>
      <c r="BH118" s="241"/>
      <c r="BI118" s="241"/>
      <c r="BJ118" s="241"/>
      <c r="BK118" s="241"/>
      <c r="BL118" s="241"/>
      <c r="BM118" s="241"/>
      <c r="BN118" s="241"/>
      <c r="BO118" s="241"/>
      <c r="BP118" s="241"/>
      <c r="BQ118" s="241"/>
      <c r="BR118" s="241"/>
      <c r="BS118" s="241"/>
      <c r="BT118" s="241"/>
      <c r="BU118" s="241"/>
      <c r="BV118" s="241"/>
      <c r="BW118" s="241"/>
      <c r="BX118" s="241"/>
      <c r="BY118" s="241"/>
      <c r="BZ118" s="241"/>
      <c r="CA118" s="241"/>
      <c r="CB118" s="241"/>
      <c r="CC118" s="241"/>
      <c r="CD118" s="241"/>
      <c r="CE118" s="241"/>
      <c r="CF118" s="241"/>
      <c r="CG118" s="241"/>
    </row>
    <row r="119" spans="1:85" ht="12" customHeight="1" outlineLevel="3">
      <c r="A119" s="227"/>
      <c r="B119" s="227" t="s">
        <v>1766</v>
      </c>
      <c r="C119" s="227">
        <v>4</v>
      </c>
      <c r="D119" s="235" t="s">
        <v>1464</v>
      </c>
      <c r="E119" s="228"/>
      <c r="F119" s="228"/>
      <c r="G119" s="228"/>
      <c r="H119" s="228" t="s">
        <v>1914</v>
      </c>
      <c r="I119" s="228"/>
      <c r="J119" s="228"/>
      <c r="K119" s="228"/>
      <c r="L119" s="228"/>
      <c r="M119" s="228"/>
      <c r="N119" s="228"/>
      <c r="O119" s="228"/>
      <c r="P119" s="250"/>
      <c r="Q119" s="250"/>
      <c r="R119" s="228"/>
      <c r="S119" s="229">
        <v>0</v>
      </c>
      <c r="T119" s="229">
        <v>0</v>
      </c>
      <c r="U119" s="229">
        <v>0</v>
      </c>
      <c r="V119" s="229">
        <v>0</v>
      </c>
      <c r="W119" s="250"/>
      <c r="X119" s="250"/>
      <c r="Y119" s="230">
        <v>0</v>
      </c>
      <c r="Z119" s="231">
        <v>0</v>
      </c>
      <c r="AA119" s="229"/>
      <c r="AB119" s="228"/>
      <c r="AC119" s="191"/>
      <c r="AD119" s="234">
        <v>0</v>
      </c>
      <c r="AE119" s="252">
        <v>0</v>
      </c>
      <c r="AF119" s="240"/>
      <c r="AG119" s="241"/>
      <c r="AH119" s="241"/>
      <c r="AI119" s="241"/>
      <c r="AJ119" s="241"/>
      <c r="AK119" s="241"/>
      <c r="AL119" s="241"/>
      <c r="AM119" s="241"/>
      <c r="AN119" s="241"/>
      <c r="AO119" s="241"/>
      <c r="AP119" s="241"/>
      <c r="AQ119" s="241"/>
      <c r="AR119" s="241"/>
      <c r="AS119" s="241"/>
      <c r="AT119" s="241"/>
      <c r="AU119" s="241"/>
      <c r="AV119" s="241"/>
      <c r="AW119" s="241"/>
      <c r="AX119" s="241"/>
      <c r="AY119" s="241"/>
      <c r="AZ119" s="241"/>
      <c r="BA119" s="241"/>
      <c r="BB119" s="241"/>
      <c r="BC119" s="241"/>
      <c r="BD119" s="241"/>
      <c r="BE119" s="241"/>
      <c r="BF119" s="241"/>
      <c r="BG119" s="241"/>
      <c r="BH119" s="241"/>
      <c r="BI119" s="241"/>
      <c r="BJ119" s="241"/>
      <c r="BK119" s="241"/>
      <c r="BL119" s="241"/>
      <c r="BM119" s="241"/>
      <c r="BN119" s="241"/>
      <c r="BO119" s="241"/>
      <c r="BP119" s="241"/>
      <c r="BQ119" s="241"/>
      <c r="BR119" s="241"/>
      <c r="BS119" s="241"/>
      <c r="BT119" s="241"/>
      <c r="BU119" s="241"/>
      <c r="BV119" s="241"/>
      <c r="BW119" s="241"/>
      <c r="BX119" s="241"/>
      <c r="BY119" s="241"/>
      <c r="BZ119" s="241"/>
      <c r="CA119" s="241"/>
      <c r="CB119" s="241"/>
      <c r="CC119" s="241"/>
      <c r="CD119" s="241"/>
      <c r="CE119" s="241"/>
      <c r="CF119" s="241"/>
      <c r="CG119" s="241"/>
    </row>
    <row r="120" spans="1:85" ht="12" customHeight="1" outlineLevel="4">
      <c r="A120" s="227"/>
      <c r="B120" s="227"/>
      <c r="C120" s="227">
        <v>5</v>
      </c>
      <c r="D120" s="235" t="s">
        <v>1961</v>
      </c>
      <c r="E120" s="228"/>
      <c r="F120" s="228"/>
      <c r="G120" s="228"/>
      <c r="H120" s="228"/>
      <c r="I120" s="228" t="s">
        <v>1915</v>
      </c>
      <c r="J120" s="228"/>
      <c r="K120" s="228"/>
      <c r="L120" s="228"/>
      <c r="M120" s="228"/>
      <c r="N120" s="228"/>
      <c r="O120" s="228"/>
      <c r="P120" s="250"/>
      <c r="Q120" s="250"/>
      <c r="R120" s="228"/>
      <c r="S120" s="229">
        <v>0</v>
      </c>
      <c r="T120" s="229">
        <v>0</v>
      </c>
      <c r="U120" s="229">
        <v>0</v>
      </c>
      <c r="V120" s="229">
        <v>0</v>
      </c>
      <c r="W120" s="250"/>
      <c r="X120" s="250"/>
      <c r="Y120" s="230">
        <v>0</v>
      </c>
      <c r="Z120" s="231">
        <v>0</v>
      </c>
      <c r="AA120" s="229"/>
      <c r="AB120" s="228"/>
      <c r="AC120" s="191"/>
      <c r="AD120" s="234">
        <v>0</v>
      </c>
      <c r="AE120" s="252">
        <v>0</v>
      </c>
      <c r="AF120" s="240"/>
      <c r="AG120" s="241"/>
      <c r="AH120" s="241"/>
      <c r="AI120" s="241"/>
      <c r="AJ120" s="241"/>
      <c r="AK120" s="241"/>
      <c r="AL120" s="241"/>
      <c r="AM120" s="241"/>
      <c r="AN120" s="241"/>
      <c r="AO120" s="241"/>
      <c r="AP120" s="241"/>
      <c r="AQ120" s="241"/>
      <c r="AR120" s="241"/>
      <c r="AS120" s="241"/>
      <c r="AT120" s="241"/>
      <c r="AU120" s="241"/>
      <c r="AV120" s="241"/>
      <c r="AW120" s="241"/>
      <c r="AX120" s="241"/>
      <c r="AY120" s="241"/>
      <c r="AZ120" s="241"/>
      <c r="BA120" s="241"/>
      <c r="BB120" s="241"/>
      <c r="BC120" s="241"/>
      <c r="BD120" s="241"/>
      <c r="BE120" s="241"/>
      <c r="BF120" s="241"/>
      <c r="BG120" s="241"/>
      <c r="BH120" s="241"/>
      <c r="BI120" s="241"/>
      <c r="BJ120" s="241"/>
      <c r="BK120" s="241"/>
      <c r="BL120" s="241"/>
      <c r="BM120" s="241"/>
      <c r="BN120" s="241"/>
      <c r="BO120" s="241"/>
      <c r="BP120" s="241"/>
      <c r="BQ120" s="241"/>
      <c r="BR120" s="241"/>
      <c r="BS120" s="241"/>
      <c r="BT120" s="241"/>
      <c r="BU120" s="241"/>
      <c r="BV120" s="241"/>
      <c r="BW120" s="241"/>
      <c r="BX120" s="241"/>
      <c r="BY120" s="241"/>
      <c r="BZ120" s="241"/>
      <c r="CA120" s="241"/>
      <c r="CB120" s="241"/>
      <c r="CC120" s="241"/>
      <c r="CD120" s="241"/>
      <c r="CE120" s="241"/>
      <c r="CF120" s="241"/>
      <c r="CG120" s="241"/>
    </row>
    <row r="121" spans="1:85" ht="12" customHeight="1" outlineLevel="4">
      <c r="A121" s="227"/>
      <c r="B121" s="227"/>
      <c r="C121" s="227">
        <v>5</v>
      </c>
      <c r="D121" s="235" t="s">
        <v>1962</v>
      </c>
      <c r="E121" s="228"/>
      <c r="F121" s="228"/>
      <c r="G121" s="228"/>
      <c r="H121" s="228"/>
      <c r="I121" s="228" t="s">
        <v>1916</v>
      </c>
      <c r="J121" s="228"/>
      <c r="K121" s="228"/>
      <c r="L121" s="228"/>
      <c r="M121" s="228"/>
      <c r="N121" s="228"/>
      <c r="O121" s="228"/>
      <c r="P121" s="250"/>
      <c r="Q121" s="250"/>
      <c r="R121" s="228"/>
      <c r="S121" s="229">
        <v>0</v>
      </c>
      <c r="T121" s="229">
        <v>0</v>
      </c>
      <c r="U121" s="229">
        <v>0</v>
      </c>
      <c r="V121" s="229">
        <v>0</v>
      </c>
      <c r="W121" s="250"/>
      <c r="X121" s="250"/>
      <c r="Y121" s="230">
        <v>0</v>
      </c>
      <c r="Z121" s="231">
        <v>0</v>
      </c>
      <c r="AA121" s="229"/>
      <c r="AB121" s="228"/>
      <c r="AC121" s="191"/>
      <c r="AD121" s="234">
        <v>0</v>
      </c>
      <c r="AE121" s="252">
        <v>0</v>
      </c>
      <c r="AF121" s="240"/>
      <c r="AG121" s="241"/>
      <c r="AH121" s="241"/>
      <c r="AI121" s="241"/>
      <c r="AJ121" s="241"/>
      <c r="AK121" s="241"/>
      <c r="AL121" s="241"/>
      <c r="AM121" s="241"/>
      <c r="AN121" s="241"/>
      <c r="AO121" s="241"/>
      <c r="AP121" s="241"/>
      <c r="AQ121" s="241"/>
      <c r="AR121" s="241"/>
      <c r="AS121" s="241"/>
      <c r="AT121" s="241"/>
      <c r="AU121" s="241"/>
      <c r="AV121" s="241"/>
      <c r="AW121" s="241"/>
      <c r="AX121" s="241"/>
      <c r="AY121" s="241"/>
      <c r="AZ121" s="241"/>
      <c r="BA121" s="241"/>
      <c r="BB121" s="241"/>
      <c r="BC121" s="241"/>
      <c r="BD121" s="241"/>
      <c r="BE121" s="241"/>
      <c r="BF121" s="241"/>
      <c r="BG121" s="241"/>
      <c r="BH121" s="241"/>
      <c r="BI121" s="241"/>
      <c r="BJ121" s="241"/>
      <c r="BK121" s="241"/>
      <c r="BL121" s="241"/>
      <c r="BM121" s="241"/>
      <c r="BN121" s="241"/>
      <c r="BO121" s="241"/>
      <c r="BP121" s="241"/>
      <c r="BQ121" s="241"/>
      <c r="BR121" s="241"/>
      <c r="BS121" s="241"/>
      <c r="BT121" s="241"/>
      <c r="BU121" s="241"/>
      <c r="BV121" s="241"/>
      <c r="BW121" s="241"/>
      <c r="BX121" s="241"/>
      <c r="BY121" s="241"/>
      <c r="BZ121" s="241"/>
      <c r="CA121" s="241"/>
      <c r="CB121" s="241"/>
      <c r="CC121" s="241"/>
      <c r="CD121" s="241"/>
      <c r="CE121" s="241"/>
      <c r="CF121" s="241"/>
      <c r="CG121" s="241"/>
    </row>
    <row r="122" spans="1:85" ht="12" customHeight="1" outlineLevel="3">
      <c r="A122" s="227"/>
      <c r="B122" s="227" t="s">
        <v>1766</v>
      </c>
      <c r="C122" s="227">
        <v>4</v>
      </c>
      <c r="D122" s="235" t="s">
        <v>1465</v>
      </c>
      <c r="E122" s="228"/>
      <c r="F122" s="228"/>
      <c r="G122" s="228"/>
      <c r="H122" s="228" t="s">
        <v>1917</v>
      </c>
      <c r="I122" s="228"/>
      <c r="J122" s="228"/>
      <c r="K122" s="228"/>
      <c r="L122" s="228"/>
      <c r="M122" s="228"/>
      <c r="N122" s="228"/>
      <c r="O122" s="228"/>
      <c r="P122" s="250">
        <v>45726</v>
      </c>
      <c r="Q122" s="250">
        <v>45737</v>
      </c>
      <c r="R122" s="228"/>
      <c r="S122" s="229">
        <v>15</v>
      </c>
      <c r="T122" s="229">
        <v>0</v>
      </c>
      <c r="U122" s="229">
        <v>10</v>
      </c>
      <c r="V122" s="229">
        <v>0</v>
      </c>
      <c r="W122" s="250"/>
      <c r="X122" s="250"/>
      <c r="Y122" s="230">
        <v>0</v>
      </c>
      <c r="Z122" s="231">
        <v>0</v>
      </c>
      <c r="AA122" s="229"/>
      <c r="AB122" s="228"/>
      <c r="AC122" s="191"/>
      <c r="AD122" s="234">
        <v>0</v>
      </c>
      <c r="AE122" s="254">
        <v>0</v>
      </c>
      <c r="AF122" s="240"/>
      <c r="AG122" s="241"/>
      <c r="AH122" s="241"/>
      <c r="AI122" s="241" t="str">
        <f>" " &amp; TEXT(AE122,"#0.00%") &amp; " " &amp; "어플리케이션 아키텍처" &amp; " " &amp; IF(P122="","",TEXT(P122,"M/D-")) &amp; IF(Q122="","",TEXT(Q122,"M/D")) &amp; " "</f>
        <v xml:space="preserve"> 0.00% 어플리케이션 아키텍처 3/10-3/21 </v>
      </c>
      <c r="AJ122" s="241"/>
      <c r="AK122" s="241"/>
      <c r="AL122" s="241"/>
      <c r="AM122" s="241"/>
      <c r="AN122" s="241"/>
      <c r="AO122" s="241"/>
      <c r="AP122" s="241"/>
      <c r="AQ122" s="241"/>
      <c r="AR122" s="241"/>
      <c r="AS122" s="241"/>
      <c r="AT122" s="241"/>
      <c r="AU122" s="241"/>
      <c r="AV122" s="241"/>
      <c r="AW122" s="241"/>
      <c r="AX122" s="241"/>
      <c r="AY122" s="241"/>
      <c r="AZ122" s="241"/>
      <c r="BA122" s="241"/>
      <c r="BB122" s="241"/>
      <c r="BC122" s="241"/>
      <c r="BD122" s="241"/>
      <c r="BE122" s="241"/>
      <c r="BF122" s="241"/>
      <c r="BG122" s="241"/>
      <c r="BH122" s="241"/>
      <c r="BI122" s="241"/>
      <c r="BJ122" s="241"/>
      <c r="BK122" s="241"/>
      <c r="BL122" s="241"/>
      <c r="BM122" s="241"/>
      <c r="BN122" s="241"/>
      <c r="BO122" s="241"/>
      <c r="BP122" s="241"/>
      <c r="BQ122" s="241"/>
      <c r="BR122" s="241"/>
      <c r="BS122" s="241"/>
      <c r="BT122" s="241"/>
      <c r="BU122" s="241"/>
      <c r="BV122" s="241"/>
      <c r="BW122" s="241"/>
      <c r="BX122" s="241"/>
      <c r="BY122" s="241"/>
      <c r="BZ122" s="241"/>
      <c r="CA122" s="241"/>
      <c r="CB122" s="241"/>
      <c r="CC122" s="241"/>
      <c r="CD122" s="241"/>
      <c r="CE122" s="241"/>
      <c r="CF122" s="241"/>
      <c r="CG122" s="241"/>
    </row>
    <row r="123" spans="1:85" ht="12" customHeight="1" outlineLevel="4">
      <c r="A123" s="227"/>
      <c r="B123" s="227"/>
      <c r="C123" s="227">
        <v>5</v>
      </c>
      <c r="D123" s="235" t="s">
        <v>1963</v>
      </c>
      <c r="E123" s="228"/>
      <c r="F123" s="228"/>
      <c r="G123" s="228"/>
      <c r="H123" s="228"/>
      <c r="I123" s="228" t="s">
        <v>1918</v>
      </c>
      <c r="J123" s="228"/>
      <c r="K123" s="228"/>
      <c r="L123" s="228"/>
      <c r="M123" s="228"/>
      <c r="N123" s="228"/>
      <c r="O123" s="228"/>
      <c r="P123" s="250">
        <v>45726</v>
      </c>
      <c r="Q123" s="250">
        <v>45737</v>
      </c>
      <c r="R123" s="228"/>
      <c r="S123" s="229">
        <v>10</v>
      </c>
      <c r="T123" s="229">
        <v>0</v>
      </c>
      <c r="U123" s="229">
        <v>10</v>
      </c>
      <c r="V123" s="229">
        <v>0</v>
      </c>
      <c r="W123" s="250"/>
      <c r="X123" s="250"/>
      <c r="Y123" s="230"/>
      <c r="Z123" s="231">
        <v>0</v>
      </c>
      <c r="AA123" s="229">
        <v>1</v>
      </c>
      <c r="AB123" s="228"/>
      <c r="AC123" s="191"/>
      <c r="AD123" s="234">
        <v>0</v>
      </c>
      <c r="AE123" s="253">
        <v>0</v>
      </c>
      <c r="AF123" s="240"/>
      <c r="AG123" s="241"/>
      <c r="AH123" s="241"/>
      <c r="AI123" s="241" t="str">
        <f>" " &amp; TEXT(AE123,"#0.00%") &amp; " " &amp; "아키텍처 설계" &amp; " " &amp; IF(P123="","",TEXT(P123,"M/D-")) &amp; IF(Q123="","",TEXT(Q123,"M/D")) &amp; " "</f>
        <v xml:space="preserve"> 0.00% 아키텍처 설계 3/10-3/21 </v>
      </c>
      <c r="AJ123" s="241"/>
      <c r="AK123" s="241"/>
      <c r="AL123" s="241"/>
      <c r="AM123" s="241"/>
      <c r="AN123" s="241"/>
      <c r="AO123" s="241"/>
      <c r="AP123" s="241"/>
      <c r="AQ123" s="241"/>
      <c r="AR123" s="241"/>
      <c r="AS123" s="241"/>
      <c r="AT123" s="241"/>
      <c r="AU123" s="241"/>
      <c r="AV123" s="241"/>
      <c r="AW123" s="241"/>
      <c r="AX123" s="241"/>
      <c r="AY123" s="241"/>
      <c r="AZ123" s="241"/>
      <c r="BA123" s="241"/>
      <c r="BB123" s="241"/>
      <c r="BC123" s="241"/>
      <c r="BD123" s="241"/>
      <c r="BE123" s="241"/>
      <c r="BF123" s="241"/>
      <c r="BG123" s="241"/>
      <c r="BH123" s="241"/>
      <c r="BI123" s="241"/>
      <c r="BJ123" s="241"/>
      <c r="BK123" s="241"/>
      <c r="BL123" s="241"/>
      <c r="BM123" s="241"/>
      <c r="BN123" s="241"/>
      <c r="BO123" s="241"/>
      <c r="BP123" s="241"/>
      <c r="BQ123" s="241"/>
      <c r="BR123" s="241"/>
      <c r="BS123" s="241"/>
      <c r="BT123" s="241"/>
      <c r="BU123" s="241"/>
      <c r="BV123" s="241"/>
      <c r="BW123" s="241"/>
      <c r="BX123" s="241"/>
      <c r="BY123" s="241"/>
      <c r="BZ123" s="241"/>
      <c r="CA123" s="241"/>
      <c r="CB123" s="241"/>
      <c r="CC123" s="241"/>
      <c r="CD123" s="241"/>
      <c r="CE123" s="241"/>
      <c r="CF123" s="241"/>
      <c r="CG123" s="241"/>
    </row>
    <row r="124" spans="1:85" ht="12" customHeight="1" outlineLevel="4">
      <c r="A124" s="227"/>
      <c r="B124" s="227"/>
      <c r="C124" s="227">
        <v>5</v>
      </c>
      <c r="D124" s="235" t="s">
        <v>1964</v>
      </c>
      <c r="E124" s="228"/>
      <c r="F124" s="228"/>
      <c r="G124" s="228"/>
      <c r="H124" s="202"/>
      <c r="I124" s="228" t="s">
        <v>1919</v>
      </c>
      <c r="J124" s="228"/>
      <c r="K124" s="228"/>
      <c r="L124" s="228"/>
      <c r="M124" s="228"/>
      <c r="N124" s="228"/>
      <c r="O124" s="228"/>
      <c r="P124" s="250">
        <v>45726</v>
      </c>
      <c r="Q124" s="250">
        <v>45737</v>
      </c>
      <c r="R124" s="228"/>
      <c r="S124" s="229">
        <v>5</v>
      </c>
      <c r="T124" s="229">
        <v>0</v>
      </c>
      <c r="U124" s="229">
        <v>10</v>
      </c>
      <c r="V124" s="229">
        <v>0</v>
      </c>
      <c r="W124" s="250"/>
      <c r="X124" s="250"/>
      <c r="Y124" s="230"/>
      <c r="Z124" s="231">
        <v>0</v>
      </c>
      <c r="AA124" s="229">
        <v>0.5</v>
      </c>
      <c r="AB124" s="228"/>
      <c r="AC124" s="191"/>
      <c r="AD124" s="234">
        <v>0</v>
      </c>
      <c r="AE124" s="253">
        <v>0</v>
      </c>
      <c r="AF124" s="240"/>
      <c r="AG124" s="241"/>
      <c r="AH124" s="241"/>
      <c r="AI124" s="241" t="str">
        <f>" " &amp; TEXT(AE124,"#0.00%") &amp; " " &amp; "어플리케이션(시스템) 설계" &amp; " " &amp; IF(P124="","",TEXT(P124,"M/D-")) &amp; IF(Q124="","",TEXT(Q124,"M/D")) &amp; " "</f>
        <v xml:space="preserve"> 0.00% 어플리케이션(시스템) 설계 3/10-3/21 </v>
      </c>
      <c r="AJ124" s="241"/>
      <c r="AK124" s="241"/>
      <c r="AL124" s="241"/>
      <c r="AM124" s="241"/>
      <c r="AN124" s="241"/>
      <c r="AO124" s="241"/>
      <c r="AP124" s="241"/>
      <c r="AQ124" s="241"/>
      <c r="AR124" s="241"/>
      <c r="AS124" s="241"/>
      <c r="AT124" s="241"/>
      <c r="AU124" s="241"/>
      <c r="AV124" s="241"/>
      <c r="AW124" s="241"/>
      <c r="AX124" s="241"/>
      <c r="AY124" s="241"/>
      <c r="AZ124" s="241"/>
      <c r="BA124" s="241"/>
      <c r="BB124" s="241"/>
      <c r="BC124" s="241"/>
      <c r="BD124" s="241"/>
      <c r="BE124" s="241"/>
      <c r="BF124" s="241"/>
      <c r="BG124" s="241"/>
      <c r="BH124" s="241"/>
      <c r="BI124" s="241"/>
      <c r="BJ124" s="241"/>
      <c r="BK124" s="241"/>
      <c r="BL124" s="241"/>
      <c r="BM124" s="241"/>
      <c r="BN124" s="241"/>
      <c r="BO124" s="241"/>
      <c r="BP124" s="241"/>
      <c r="BQ124" s="241"/>
      <c r="BR124" s="241"/>
      <c r="BS124" s="241"/>
      <c r="BT124" s="241"/>
      <c r="BU124" s="241"/>
      <c r="BV124" s="241"/>
      <c r="BW124" s="241"/>
      <c r="BX124" s="241"/>
      <c r="BY124" s="241"/>
      <c r="BZ124" s="241"/>
      <c r="CA124" s="241"/>
      <c r="CB124" s="241"/>
      <c r="CC124" s="241"/>
      <c r="CD124" s="241"/>
      <c r="CE124" s="241"/>
      <c r="CF124" s="241"/>
      <c r="CG124" s="241"/>
    </row>
    <row r="125" spans="1:85" ht="12" customHeight="1" outlineLevel="3">
      <c r="A125" s="227"/>
      <c r="B125" s="227"/>
      <c r="C125" s="227">
        <v>4</v>
      </c>
      <c r="D125" s="235" t="s">
        <v>1965</v>
      </c>
      <c r="E125" s="228"/>
      <c r="F125" s="228"/>
      <c r="G125" s="228"/>
      <c r="H125" s="228" t="s">
        <v>1920</v>
      </c>
      <c r="I125" s="228"/>
      <c r="J125" s="228"/>
      <c r="K125" s="228"/>
      <c r="L125" s="228"/>
      <c r="M125" s="228"/>
      <c r="N125" s="228"/>
      <c r="O125" s="228"/>
      <c r="P125" s="250">
        <v>45733</v>
      </c>
      <c r="Q125" s="250">
        <v>45744</v>
      </c>
      <c r="R125" s="228"/>
      <c r="S125" s="229">
        <v>10</v>
      </c>
      <c r="T125" s="229">
        <v>0</v>
      </c>
      <c r="U125" s="229">
        <v>10</v>
      </c>
      <c r="V125" s="229">
        <v>0</v>
      </c>
      <c r="W125" s="250"/>
      <c r="X125" s="250"/>
      <c r="Y125" s="230"/>
      <c r="Z125" s="231">
        <v>0</v>
      </c>
      <c r="AA125" s="229">
        <v>1</v>
      </c>
      <c r="AB125" s="228"/>
      <c r="AC125" s="191"/>
      <c r="AD125" s="234">
        <v>0</v>
      </c>
      <c r="AE125" s="253">
        <v>0</v>
      </c>
      <c r="AF125" s="240"/>
      <c r="AG125" s="241"/>
      <c r="AH125" s="241"/>
      <c r="AI125" s="241"/>
      <c r="AJ125" s="241" t="str">
        <f>" " &amp; TEXT(AE125,"#0.00%") &amp; " " &amp; "CICD 설계" &amp; " " &amp; IF(P125="","",TEXT(P125,"M/D-")) &amp; IF(Q125="","",TEXT(Q125,"M/D")) &amp; " "</f>
        <v xml:space="preserve"> 0.00% CICD 설계 3/17-3/28 </v>
      </c>
      <c r="AK125" s="241"/>
      <c r="AL125" s="241"/>
      <c r="AM125" s="241"/>
      <c r="AN125" s="241"/>
      <c r="AO125" s="241"/>
      <c r="AP125" s="241"/>
      <c r="AQ125" s="241"/>
      <c r="AR125" s="241"/>
      <c r="AS125" s="241"/>
      <c r="AT125" s="241"/>
      <c r="AU125" s="241"/>
      <c r="AV125" s="241"/>
      <c r="AW125" s="241"/>
      <c r="AX125" s="241"/>
      <c r="AY125" s="241"/>
      <c r="AZ125" s="241"/>
      <c r="BA125" s="241"/>
      <c r="BB125" s="241"/>
      <c r="BC125" s="241"/>
      <c r="BD125" s="241"/>
      <c r="BE125" s="241"/>
      <c r="BF125" s="241"/>
      <c r="BG125" s="241"/>
      <c r="BH125" s="241"/>
      <c r="BI125" s="241"/>
      <c r="BJ125" s="241"/>
      <c r="BK125" s="241"/>
      <c r="BL125" s="241"/>
      <c r="BM125" s="241"/>
      <c r="BN125" s="241"/>
      <c r="BO125" s="241"/>
      <c r="BP125" s="241"/>
      <c r="BQ125" s="241"/>
      <c r="BR125" s="241"/>
      <c r="BS125" s="241"/>
      <c r="BT125" s="241"/>
      <c r="BU125" s="241"/>
      <c r="BV125" s="241"/>
      <c r="BW125" s="241"/>
      <c r="BX125" s="241"/>
      <c r="BY125" s="241"/>
      <c r="BZ125" s="241"/>
      <c r="CA125" s="241"/>
      <c r="CB125" s="241"/>
      <c r="CC125" s="241"/>
      <c r="CD125" s="241"/>
      <c r="CE125" s="241"/>
      <c r="CF125" s="241"/>
      <c r="CG125" s="241"/>
    </row>
    <row r="126" spans="1:85" ht="12" customHeight="1" outlineLevel="3">
      <c r="A126" s="227"/>
      <c r="B126" s="227"/>
      <c r="C126" s="227">
        <v>4</v>
      </c>
      <c r="D126" s="235" t="s">
        <v>1966</v>
      </c>
      <c r="E126" s="228"/>
      <c r="F126" s="228"/>
      <c r="G126" s="228"/>
      <c r="H126" s="228" t="s">
        <v>1921</v>
      </c>
      <c r="I126" s="228"/>
      <c r="J126" s="228"/>
      <c r="K126" s="228"/>
      <c r="L126" s="228"/>
      <c r="M126" s="228"/>
      <c r="N126" s="228"/>
      <c r="O126" s="228"/>
      <c r="P126" s="250">
        <v>45747</v>
      </c>
      <c r="Q126" s="250">
        <v>45758</v>
      </c>
      <c r="R126" s="228"/>
      <c r="S126" s="229">
        <v>5</v>
      </c>
      <c r="T126" s="229">
        <v>0</v>
      </c>
      <c r="U126" s="229">
        <v>10</v>
      </c>
      <c r="V126" s="229">
        <v>0</v>
      </c>
      <c r="W126" s="250"/>
      <c r="X126" s="250"/>
      <c r="Y126" s="230"/>
      <c r="Z126" s="231">
        <v>0</v>
      </c>
      <c r="AA126" s="229">
        <v>0.5</v>
      </c>
      <c r="AB126" s="228"/>
      <c r="AC126" s="191"/>
      <c r="AD126" s="234">
        <v>0</v>
      </c>
      <c r="AE126" s="253">
        <v>0</v>
      </c>
      <c r="AF126" s="240"/>
      <c r="AG126" s="241"/>
      <c r="AH126" s="241"/>
      <c r="AI126" s="241"/>
      <c r="AJ126" s="241"/>
      <c r="AK126" s="241"/>
      <c r="AL126" s="241" t="str">
        <f>" " &amp; TEXT(AE126,"#0.00%") &amp; " " &amp; "로깅 설계" &amp; " " &amp; IF(P126="","",TEXT(P126,"M/D-")) &amp; IF(Q126="","",TEXT(Q126,"M/D")) &amp; " "</f>
        <v xml:space="preserve"> 0.00% 로깅 설계 3/31-4/11 </v>
      </c>
      <c r="AM126" s="241"/>
      <c r="AN126" s="241"/>
      <c r="AO126" s="241"/>
      <c r="AP126" s="241"/>
      <c r="AQ126" s="241"/>
      <c r="AR126" s="241"/>
      <c r="AS126" s="241"/>
      <c r="AT126" s="241"/>
      <c r="AU126" s="241"/>
      <c r="AV126" s="241"/>
      <c r="AW126" s="241"/>
      <c r="AX126" s="241"/>
      <c r="AY126" s="241"/>
      <c r="AZ126" s="241"/>
      <c r="BA126" s="241"/>
      <c r="BB126" s="241"/>
      <c r="BC126" s="241"/>
      <c r="BD126" s="241"/>
      <c r="BE126" s="241"/>
      <c r="BF126" s="241"/>
      <c r="BG126" s="241"/>
      <c r="BH126" s="241"/>
      <c r="BI126" s="241"/>
      <c r="BJ126" s="241"/>
      <c r="BK126" s="241"/>
      <c r="BL126" s="241"/>
      <c r="BM126" s="241"/>
      <c r="BN126" s="241"/>
      <c r="BO126" s="241"/>
      <c r="BP126" s="241"/>
      <c r="BQ126" s="241"/>
      <c r="BR126" s="241"/>
      <c r="BS126" s="241"/>
      <c r="BT126" s="241"/>
      <c r="BU126" s="241"/>
      <c r="BV126" s="241"/>
      <c r="BW126" s="241"/>
      <c r="BX126" s="241"/>
      <c r="BY126" s="241"/>
      <c r="BZ126" s="241"/>
      <c r="CA126" s="241"/>
      <c r="CB126" s="241"/>
      <c r="CC126" s="241"/>
      <c r="CD126" s="241"/>
      <c r="CE126" s="241"/>
      <c r="CF126" s="241"/>
      <c r="CG126" s="241"/>
    </row>
    <row r="127" spans="1:85" ht="12" customHeight="1" outlineLevel="3">
      <c r="A127" s="227"/>
      <c r="B127" s="227"/>
      <c r="C127" s="227">
        <v>4</v>
      </c>
      <c r="D127" s="235" t="s">
        <v>1967</v>
      </c>
      <c r="E127" s="228"/>
      <c r="F127" s="228"/>
      <c r="G127" s="228"/>
      <c r="H127" s="228" t="s">
        <v>1922</v>
      </c>
      <c r="I127" s="228"/>
      <c r="J127" s="228"/>
      <c r="K127" s="228"/>
      <c r="L127" s="228"/>
      <c r="M127" s="228"/>
      <c r="N127" s="228"/>
      <c r="O127" s="228"/>
      <c r="P127" s="250">
        <v>45747</v>
      </c>
      <c r="Q127" s="250">
        <v>45758</v>
      </c>
      <c r="R127" s="228"/>
      <c r="S127" s="229">
        <v>10</v>
      </c>
      <c r="T127" s="229">
        <v>0</v>
      </c>
      <c r="U127" s="229">
        <v>10</v>
      </c>
      <c r="V127" s="229">
        <v>0</v>
      </c>
      <c r="W127" s="250"/>
      <c r="X127" s="250"/>
      <c r="Y127" s="230"/>
      <c r="Z127" s="231">
        <v>0</v>
      </c>
      <c r="AA127" s="229">
        <v>1</v>
      </c>
      <c r="AB127" s="228"/>
      <c r="AC127" s="191"/>
      <c r="AD127" s="234">
        <v>0</v>
      </c>
      <c r="AE127" s="253">
        <v>0</v>
      </c>
      <c r="AF127" s="240"/>
      <c r="AG127" s="241"/>
      <c r="AH127" s="241"/>
      <c r="AI127" s="241"/>
      <c r="AJ127" s="241"/>
      <c r="AK127" s="241"/>
      <c r="AL127" s="241" t="str">
        <f>" " &amp; TEXT(AE127,"#0.00%") &amp; " " &amp; "모니터링 설계" &amp; " " &amp; IF(P127="","",TEXT(P127,"M/D-")) &amp; IF(Q127="","",TEXT(Q127,"M/D")) &amp; " "</f>
        <v xml:space="preserve"> 0.00% 모니터링 설계 3/31-4/11 </v>
      </c>
      <c r="AM127" s="241"/>
      <c r="AN127" s="241"/>
      <c r="AO127" s="241"/>
      <c r="AP127" s="241"/>
      <c r="AQ127" s="241"/>
      <c r="AR127" s="241"/>
      <c r="AS127" s="241"/>
      <c r="AT127" s="241"/>
      <c r="AU127" s="241"/>
      <c r="AV127" s="241"/>
      <c r="AW127" s="241"/>
      <c r="AX127" s="241"/>
      <c r="AY127" s="241"/>
      <c r="AZ127" s="241"/>
      <c r="BA127" s="241"/>
      <c r="BB127" s="241"/>
      <c r="BC127" s="241"/>
      <c r="BD127" s="241"/>
      <c r="BE127" s="241"/>
      <c r="BF127" s="241"/>
      <c r="BG127" s="241"/>
      <c r="BH127" s="241"/>
      <c r="BI127" s="241"/>
      <c r="BJ127" s="241"/>
      <c r="BK127" s="241"/>
      <c r="BL127" s="241"/>
      <c r="BM127" s="241"/>
      <c r="BN127" s="241"/>
      <c r="BO127" s="241"/>
      <c r="BP127" s="241"/>
      <c r="BQ127" s="241"/>
      <c r="BR127" s="241"/>
      <c r="BS127" s="241"/>
      <c r="BT127" s="241"/>
      <c r="BU127" s="241"/>
      <c r="BV127" s="241"/>
      <c r="BW127" s="241"/>
      <c r="BX127" s="241"/>
      <c r="BY127" s="241"/>
      <c r="BZ127" s="241"/>
      <c r="CA127" s="241"/>
      <c r="CB127" s="241"/>
      <c r="CC127" s="241"/>
      <c r="CD127" s="241"/>
      <c r="CE127" s="241"/>
      <c r="CF127" s="241"/>
      <c r="CG127" s="241"/>
    </row>
    <row r="128" spans="1:85" ht="12" customHeight="1" outlineLevel="1">
      <c r="A128" s="227"/>
      <c r="B128" s="227" t="s">
        <v>1766</v>
      </c>
      <c r="C128" s="227">
        <v>2</v>
      </c>
      <c r="D128" s="235" t="s">
        <v>1532</v>
      </c>
      <c r="E128" s="228"/>
      <c r="F128" s="203" t="s">
        <v>1923</v>
      </c>
      <c r="G128" s="228"/>
      <c r="H128" s="228"/>
      <c r="I128" s="228"/>
      <c r="J128" s="228"/>
      <c r="K128" s="228"/>
      <c r="L128" s="228"/>
      <c r="M128" s="228"/>
      <c r="N128" s="228"/>
      <c r="O128" s="228"/>
      <c r="P128" s="250">
        <v>45726</v>
      </c>
      <c r="Q128" s="250">
        <v>45863</v>
      </c>
      <c r="R128" s="228"/>
      <c r="S128" s="229">
        <v>295.5</v>
      </c>
      <c r="T128" s="229">
        <v>0</v>
      </c>
      <c r="U128" s="229">
        <v>97</v>
      </c>
      <c r="V128" s="229">
        <v>0</v>
      </c>
      <c r="W128" s="250"/>
      <c r="X128" s="250"/>
      <c r="Y128" s="230">
        <v>0</v>
      </c>
      <c r="Z128" s="231">
        <v>0</v>
      </c>
      <c r="AA128" s="229"/>
      <c r="AB128" s="228"/>
      <c r="AC128" s="191"/>
      <c r="AD128" s="234">
        <v>0</v>
      </c>
      <c r="AE128" s="254">
        <v>0</v>
      </c>
      <c r="AF128" s="240"/>
      <c r="AG128" s="241"/>
      <c r="AH128" s="241"/>
      <c r="AI128" s="241" t="str">
        <f>" " &amp; TEXT(AE128,"#0.00%") &amp; " "</f>
        <v xml:space="preserve"> 0.00% </v>
      </c>
      <c r="AJ128" s="241"/>
      <c r="AK128" s="241"/>
      <c r="AL128" s="241"/>
      <c r="AM128" s="241"/>
      <c r="AN128" s="241"/>
      <c r="AO128" s="241"/>
      <c r="AP128" s="241"/>
      <c r="AQ128" s="241"/>
      <c r="AR128" s="241"/>
      <c r="AS128" s="241"/>
      <c r="AT128" s="241"/>
      <c r="AU128" s="241"/>
      <c r="AV128" s="241"/>
      <c r="AW128" s="241"/>
      <c r="AX128" s="241"/>
      <c r="AY128" s="241"/>
      <c r="AZ128" s="241"/>
      <c r="BA128" s="241"/>
      <c r="BB128" s="241" t="str">
        <f>"      " &amp; "구축" &amp; " " &amp; IF(P128="","",TEXT(P128,"M/D-")) &amp; IF(Q128="","",TEXT(Q128,"M/D")) &amp; " "</f>
        <v xml:space="preserve">      구축 3/10-7/25 </v>
      </c>
      <c r="BC128" s="241"/>
      <c r="BD128" s="241"/>
      <c r="BE128" s="241"/>
      <c r="BF128" s="241"/>
      <c r="BG128" s="241"/>
      <c r="BH128" s="241"/>
      <c r="BI128" s="241"/>
      <c r="BJ128" s="241"/>
      <c r="BK128" s="241"/>
      <c r="BL128" s="241"/>
      <c r="BM128" s="241"/>
      <c r="BN128" s="241"/>
      <c r="BO128" s="241"/>
      <c r="BP128" s="241"/>
      <c r="BQ128" s="241"/>
      <c r="BR128" s="241"/>
      <c r="BS128" s="241"/>
      <c r="BT128" s="241"/>
      <c r="BU128" s="241"/>
      <c r="BV128" s="241"/>
      <c r="BW128" s="241"/>
      <c r="BX128" s="241"/>
      <c r="BY128" s="241"/>
      <c r="BZ128" s="241"/>
      <c r="CA128" s="241"/>
      <c r="CB128" s="241"/>
      <c r="CC128" s="241"/>
      <c r="CD128" s="241"/>
      <c r="CE128" s="241"/>
      <c r="CF128" s="241"/>
      <c r="CG128" s="241"/>
    </row>
    <row r="129" spans="1:85" ht="12" customHeight="1" outlineLevel="2">
      <c r="A129" s="227"/>
      <c r="B129" s="227" t="s">
        <v>1766</v>
      </c>
      <c r="C129" s="227">
        <v>3</v>
      </c>
      <c r="D129" s="235" t="s">
        <v>1486</v>
      </c>
      <c r="E129" s="228"/>
      <c r="F129" s="228"/>
      <c r="G129" s="228" t="s">
        <v>1924</v>
      </c>
      <c r="H129" s="228"/>
      <c r="I129" s="228"/>
      <c r="J129" s="228"/>
      <c r="K129" s="228"/>
      <c r="L129" s="228"/>
      <c r="M129" s="228"/>
      <c r="N129" s="228"/>
      <c r="O129" s="228"/>
      <c r="P129" s="250">
        <v>45726</v>
      </c>
      <c r="Q129" s="250">
        <v>45849</v>
      </c>
      <c r="R129" s="228"/>
      <c r="S129" s="229">
        <v>190.5</v>
      </c>
      <c r="T129" s="229">
        <v>0</v>
      </c>
      <c r="U129" s="229">
        <v>87</v>
      </c>
      <c r="V129" s="229">
        <v>0</v>
      </c>
      <c r="W129" s="250"/>
      <c r="X129" s="250"/>
      <c r="Y129" s="230">
        <v>0</v>
      </c>
      <c r="Z129" s="231">
        <v>0</v>
      </c>
      <c r="AA129" s="229"/>
      <c r="AB129" s="228"/>
      <c r="AC129" s="191"/>
      <c r="AD129" s="234">
        <v>0</v>
      </c>
      <c r="AE129" s="254">
        <v>0</v>
      </c>
      <c r="AF129" s="240"/>
      <c r="AG129" s="241"/>
      <c r="AH129" s="241"/>
      <c r="AI129" s="241" t="str">
        <f>" " &amp; TEXT(AE129,"#0.00%") &amp; " "</f>
        <v xml:space="preserve"> 0.00% </v>
      </c>
      <c r="AJ129" s="241"/>
      <c r="AK129" s="241"/>
      <c r="AL129" s="241"/>
      <c r="AM129" s="241"/>
      <c r="AN129" s="241"/>
      <c r="AO129" s="241"/>
      <c r="AP129" s="241"/>
      <c r="AQ129" s="241"/>
      <c r="AR129" s="241"/>
      <c r="AS129" s="241"/>
      <c r="AT129" s="241"/>
      <c r="AU129" s="241"/>
      <c r="AV129" s="241"/>
      <c r="AW129" s="241"/>
      <c r="AX129" s="241"/>
      <c r="AY129" s="241"/>
      <c r="AZ129" s="241" t="str">
        <f>"      " &amp; "개발 환경" &amp; " " &amp; IF(P129="","",TEXT(P129,"M/D-")) &amp; IF(Q129="","",TEXT(Q129,"M/D")) &amp; " "</f>
        <v xml:space="preserve">      개발 환경 3/10-7/11 </v>
      </c>
      <c r="BA129" s="241"/>
      <c r="BB129" s="241"/>
      <c r="BC129" s="241"/>
      <c r="BD129" s="241"/>
      <c r="BE129" s="241"/>
      <c r="BF129" s="241"/>
      <c r="BG129" s="241"/>
      <c r="BH129" s="241"/>
      <c r="BI129" s="241"/>
      <c r="BJ129" s="241"/>
      <c r="BK129" s="241"/>
      <c r="BL129" s="241"/>
      <c r="BM129" s="241"/>
      <c r="BN129" s="241"/>
      <c r="BO129" s="241"/>
      <c r="BP129" s="241"/>
      <c r="BQ129" s="241"/>
      <c r="BR129" s="241"/>
      <c r="BS129" s="241"/>
      <c r="BT129" s="241"/>
      <c r="BU129" s="241"/>
      <c r="BV129" s="241"/>
      <c r="BW129" s="241"/>
      <c r="BX129" s="241"/>
      <c r="BY129" s="241"/>
      <c r="BZ129" s="241"/>
      <c r="CA129" s="241"/>
      <c r="CB129" s="241"/>
      <c r="CC129" s="241"/>
      <c r="CD129" s="241"/>
      <c r="CE129" s="241"/>
      <c r="CF129" s="241"/>
      <c r="CG129" s="241"/>
    </row>
    <row r="130" spans="1:85" ht="12" customHeight="1" outlineLevel="3">
      <c r="A130" s="227"/>
      <c r="B130" s="227" t="s">
        <v>1766</v>
      </c>
      <c r="C130" s="227">
        <v>4</v>
      </c>
      <c r="D130" s="235" t="s">
        <v>1968</v>
      </c>
      <c r="E130" s="228"/>
      <c r="F130" s="228"/>
      <c r="G130" s="228"/>
      <c r="H130" s="228" t="s">
        <v>1925</v>
      </c>
      <c r="I130" s="228"/>
      <c r="J130" s="228"/>
      <c r="K130" s="228"/>
      <c r="L130" s="228"/>
      <c r="M130" s="228"/>
      <c r="N130" s="228"/>
      <c r="O130" s="228"/>
      <c r="P130" s="250">
        <v>45733</v>
      </c>
      <c r="Q130" s="250">
        <v>45849</v>
      </c>
      <c r="R130" s="228"/>
      <c r="S130" s="229">
        <v>88.5</v>
      </c>
      <c r="T130" s="229">
        <v>0</v>
      </c>
      <c r="U130" s="229">
        <v>82</v>
      </c>
      <c r="V130" s="229">
        <v>0</v>
      </c>
      <c r="W130" s="250"/>
      <c r="X130" s="250"/>
      <c r="Y130" s="230">
        <v>0</v>
      </c>
      <c r="Z130" s="231">
        <v>0</v>
      </c>
      <c r="AA130" s="229"/>
      <c r="AB130" s="228"/>
      <c r="AC130" s="191"/>
      <c r="AD130" s="234">
        <v>0</v>
      </c>
      <c r="AE130" s="254">
        <v>0</v>
      </c>
      <c r="AF130" s="240"/>
      <c r="AG130" s="241"/>
      <c r="AH130" s="241"/>
      <c r="AI130" s="241"/>
      <c r="AJ130" s="241" t="str">
        <f>" " &amp; TEXT(AE130,"#0.00%") &amp; " "</f>
        <v xml:space="preserve"> 0.00% </v>
      </c>
      <c r="AK130" s="241"/>
      <c r="AL130" s="241"/>
      <c r="AM130" s="241"/>
      <c r="AN130" s="241"/>
      <c r="AO130" s="241"/>
      <c r="AP130" s="241"/>
      <c r="AQ130" s="241"/>
      <c r="AR130" s="241"/>
      <c r="AS130" s="241"/>
      <c r="AT130" s="241"/>
      <c r="AU130" s="241"/>
      <c r="AV130" s="241"/>
      <c r="AW130" s="241"/>
      <c r="AX130" s="241"/>
      <c r="AY130" s="241"/>
      <c r="AZ130" s="241" t="str">
        <f>"      " &amp; "어플리케이션 구성" &amp; " " &amp; IF(P130="","",TEXT(P130,"M/D-")) &amp; IF(Q130="","",TEXT(Q130,"M/D")) &amp; " "</f>
        <v xml:space="preserve">      어플리케이션 구성 3/17-7/11 </v>
      </c>
      <c r="BA130" s="241"/>
      <c r="BB130" s="241"/>
      <c r="BC130" s="241"/>
      <c r="BD130" s="241"/>
      <c r="BE130" s="241"/>
      <c r="BF130" s="241"/>
      <c r="BG130" s="241"/>
      <c r="BH130" s="241"/>
      <c r="BI130" s="241"/>
      <c r="BJ130" s="241"/>
      <c r="BK130" s="241"/>
      <c r="BL130" s="241"/>
      <c r="BM130" s="241"/>
      <c r="BN130" s="241"/>
      <c r="BO130" s="241"/>
      <c r="BP130" s="241"/>
      <c r="BQ130" s="241"/>
      <c r="BR130" s="241"/>
      <c r="BS130" s="241"/>
      <c r="BT130" s="241"/>
      <c r="BU130" s="241"/>
      <c r="BV130" s="241"/>
      <c r="BW130" s="241"/>
      <c r="BX130" s="241"/>
      <c r="BY130" s="241"/>
      <c r="BZ130" s="241"/>
      <c r="CA130" s="241"/>
      <c r="CB130" s="241"/>
      <c r="CC130" s="241"/>
      <c r="CD130" s="241"/>
      <c r="CE130" s="241"/>
      <c r="CF130" s="241"/>
      <c r="CG130" s="241"/>
    </row>
    <row r="131" spans="1:85" ht="12" customHeight="1" outlineLevel="4">
      <c r="A131" s="227"/>
      <c r="B131" s="227"/>
      <c r="C131" s="227">
        <v>5</v>
      </c>
      <c r="D131" s="235" t="s">
        <v>1969</v>
      </c>
      <c r="E131" s="228"/>
      <c r="F131" s="228"/>
      <c r="G131" s="228"/>
      <c r="H131" s="228"/>
      <c r="I131" s="228" t="s">
        <v>1926</v>
      </c>
      <c r="J131" s="228"/>
      <c r="K131" s="228"/>
      <c r="L131" s="228"/>
      <c r="M131" s="228"/>
      <c r="N131" s="228"/>
      <c r="O131" s="228"/>
      <c r="P131" s="250"/>
      <c r="Q131" s="250"/>
      <c r="R131" s="228"/>
      <c r="S131" s="229">
        <v>0</v>
      </c>
      <c r="T131" s="229">
        <v>0</v>
      </c>
      <c r="U131" s="229">
        <v>0</v>
      </c>
      <c r="V131" s="229">
        <v>0</v>
      </c>
      <c r="W131" s="250"/>
      <c r="X131" s="250"/>
      <c r="Y131" s="230">
        <v>0</v>
      </c>
      <c r="Z131" s="231">
        <v>0</v>
      </c>
      <c r="AA131" s="229"/>
      <c r="AB131" s="228"/>
      <c r="AC131" s="191"/>
      <c r="AD131" s="234">
        <v>0</v>
      </c>
      <c r="AE131" s="252">
        <v>0</v>
      </c>
      <c r="AF131" s="240"/>
      <c r="AG131" s="241"/>
      <c r="AH131" s="241"/>
      <c r="AI131" s="241"/>
      <c r="AJ131" s="241"/>
      <c r="AK131" s="241"/>
      <c r="AL131" s="241"/>
      <c r="AM131" s="241"/>
      <c r="AN131" s="241"/>
      <c r="AO131" s="241"/>
      <c r="AP131" s="241"/>
      <c r="AQ131" s="241"/>
      <c r="AR131" s="241"/>
      <c r="AS131" s="241"/>
      <c r="AT131" s="241"/>
      <c r="AU131" s="241"/>
      <c r="AV131" s="241"/>
      <c r="AW131" s="241"/>
      <c r="AX131" s="241"/>
      <c r="AY131" s="241"/>
      <c r="AZ131" s="241"/>
      <c r="BA131" s="241"/>
      <c r="BB131" s="241"/>
      <c r="BC131" s="241"/>
      <c r="BD131" s="241"/>
      <c r="BE131" s="241"/>
      <c r="BF131" s="241"/>
      <c r="BG131" s="241"/>
      <c r="BH131" s="241"/>
      <c r="BI131" s="241"/>
      <c r="BJ131" s="241"/>
      <c r="BK131" s="241"/>
      <c r="BL131" s="241"/>
      <c r="BM131" s="241"/>
      <c r="BN131" s="241"/>
      <c r="BO131" s="241"/>
      <c r="BP131" s="241"/>
      <c r="BQ131" s="241"/>
      <c r="BR131" s="241"/>
      <c r="BS131" s="241"/>
      <c r="BT131" s="241"/>
      <c r="BU131" s="241"/>
      <c r="BV131" s="241"/>
      <c r="BW131" s="241"/>
      <c r="BX131" s="241"/>
      <c r="BY131" s="241"/>
      <c r="BZ131" s="241"/>
      <c r="CA131" s="241"/>
      <c r="CB131" s="241"/>
      <c r="CC131" s="241"/>
      <c r="CD131" s="241"/>
      <c r="CE131" s="241"/>
      <c r="CF131" s="241"/>
      <c r="CG131" s="241"/>
    </row>
    <row r="132" spans="1:85" ht="12" customHeight="1" outlineLevel="4">
      <c r="A132" s="227"/>
      <c r="B132" s="227"/>
      <c r="C132" s="227">
        <v>5</v>
      </c>
      <c r="D132" s="235" t="s">
        <v>1970</v>
      </c>
      <c r="E132" s="228"/>
      <c r="F132" s="228"/>
      <c r="G132" s="228"/>
      <c r="H132" s="228"/>
      <c r="I132" s="228" t="s">
        <v>1927</v>
      </c>
      <c r="J132" s="228"/>
      <c r="K132" s="228"/>
      <c r="L132" s="228"/>
      <c r="M132" s="228"/>
      <c r="N132" s="228"/>
      <c r="O132" s="228"/>
      <c r="P132" s="250">
        <v>45733</v>
      </c>
      <c r="Q132" s="250">
        <v>45744</v>
      </c>
      <c r="R132" s="228"/>
      <c r="S132" s="229">
        <v>10</v>
      </c>
      <c r="T132" s="229">
        <v>0</v>
      </c>
      <c r="U132" s="229">
        <v>10</v>
      </c>
      <c r="V132" s="229">
        <v>0</v>
      </c>
      <c r="W132" s="250"/>
      <c r="X132" s="250"/>
      <c r="Y132" s="230"/>
      <c r="Z132" s="231">
        <v>0</v>
      </c>
      <c r="AA132" s="229">
        <v>1</v>
      </c>
      <c r="AB132" s="228"/>
      <c r="AC132" s="191"/>
      <c r="AD132" s="234">
        <v>0</v>
      </c>
      <c r="AE132" s="253">
        <v>0</v>
      </c>
      <c r="AF132" s="240"/>
      <c r="AG132" s="241"/>
      <c r="AH132" s="241"/>
      <c r="AI132" s="241"/>
      <c r="AJ132" s="241" t="str">
        <f>" " &amp; TEXT(AE132,"#0.00%") &amp; " " &amp; "POS 관리시스템 프론트엔드 (신성통상)" &amp; " " &amp; IF(P132="","",TEXT(P132,"M/D-")) &amp; IF(Q132="","",TEXT(Q132,"M/D")) &amp; " "</f>
        <v xml:space="preserve"> 0.00% POS 관리시스템 프론트엔드 (신성통상) 3/17-3/28 </v>
      </c>
      <c r="AK132" s="241"/>
      <c r="AL132" s="241"/>
      <c r="AM132" s="241"/>
      <c r="AN132" s="241"/>
      <c r="AO132" s="241"/>
      <c r="AP132" s="241"/>
      <c r="AQ132" s="241"/>
      <c r="AR132" s="241"/>
      <c r="AS132" s="241"/>
      <c r="AT132" s="241"/>
      <c r="AU132" s="241"/>
      <c r="AV132" s="241"/>
      <c r="AW132" s="241"/>
      <c r="AX132" s="241"/>
      <c r="AY132" s="241"/>
      <c r="AZ132" s="241"/>
      <c r="BA132" s="241"/>
      <c r="BB132" s="241"/>
      <c r="BC132" s="241"/>
      <c r="BD132" s="241"/>
      <c r="BE132" s="241"/>
      <c r="BF132" s="241"/>
      <c r="BG132" s="241"/>
      <c r="BH132" s="241"/>
      <c r="BI132" s="241"/>
      <c r="BJ132" s="241"/>
      <c r="BK132" s="241"/>
      <c r="BL132" s="241"/>
      <c r="BM132" s="241"/>
      <c r="BN132" s="241"/>
      <c r="BO132" s="241"/>
      <c r="BP132" s="241"/>
      <c r="BQ132" s="241"/>
      <c r="BR132" s="241"/>
      <c r="BS132" s="241"/>
      <c r="BT132" s="241"/>
      <c r="BU132" s="241"/>
      <c r="BV132" s="241"/>
      <c r="BW132" s="241"/>
      <c r="BX132" s="241"/>
      <c r="BY132" s="241"/>
      <c r="BZ132" s="241"/>
      <c r="CA132" s="241"/>
      <c r="CB132" s="241"/>
      <c r="CC132" s="241"/>
      <c r="CD132" s="241"/>
      <c r="CE132" s="241"/>
      <c r="CF132" s="241"/>
      <c r="CG132" s="241"/>
    </row>
    <row r="133" spans="1:85" ht="12" customHeight="1" outlineLevel="4">
      <c r="A133" s="227"/>
      <c r="B133" s="227"/>
      <c r="C133" s="227">
        <v>5</v>
      </c>
      <c r="D133" s="235" t="s">
        <v>1971</v>
      </c>
      <c r="E133" s="228"/>
      <c r="F133" s="228"/>
      <c r="G133" s="228"/>
      <c r="H133" s="228"/>
      <c r="I133" s="228" t="s">
        <v>1928</v>
      </c>
      <c r="J133" s="228"/>
      <c r="K133" s="228"/>
      <c r="L133" s="228"/>
      <c r="M133" s="228"/>
      <c r="N133" s="228"/>
      <c r="O133" s="228"/>
      <c r="P133" s="250">
        <v>45733</v>
      </c>
      <c r="Q133" s="250">
        <v>45744</v>
      </c>
      <c r="R133" s="228"/>
      <c r="S133" s="229">
        <v>10</v>
      </c>
      <c r="T133" s="229">
        <v>0</v>
      </c>
      <c r="U133" s="229">
        <v>10</v>
      </c>
      <c r="V133" s="229">
        <v>0</v>
      </c>
      <c r="W133" s="250"/>
      <c r="X133" s="250"/>
      <c r="Y133" s="230"/>
      <c r="Z133" s="231">
        <v>0</v>
      </c>
      <c r="AA133" s="229">
        <v>1</v>
      </c>
      <c r="AB133" s="228"/>
      <c r="AC133" s="191"/>
      <c r="AD133" s="234">
        <v>0</v>
      </c>
      <c r="AE133" s="253">
        <v>0</v>
      </c>
      <c r="AF133" s="240"/>
      <c r="AG133" s="241"/>
      <c r="AH133" s="241"/>
      <c r="AI133" s="241"/>
      <c r="AJ133" s="241" t="str">
        <f>" " &amp; TEXT(AE133,"#0.00%") &amp; " " &amp; "POS 관리시스템 프론트엔드 (에이션패션)" &amp; " " &amp; IF(P133="","",TEXT(P133,"M/D-")) &amp; IF(Q133="","",TEXT(Q133,"M/D")) &amp; " "</f>
        <v xml:space="preserve"> 0.00% POS 관리시스템 프론트엔드 (에이션패션) 3/17-3/28 </v>
      </c>
      <c r="AK133" s="241"/>
      <c r="AL133" s="241"/>
      <c r="AM133" s="241"/>
      <c r="AN133" s="241"/>
      <c r="AO133" s="241"/>
      <c r="AP133" s="241"/>
      <c r="AQ133" s="241"/>
      <c r="AR133" s="241"/>
      <c r="AS133" s="241"/>
      <c r="AT133" s="241"/>
      <c r="AU133" s="241"/>
      <c r="AV133" s="241"/>
      <c r="AW133" s="241"/>
      <c r="AX133" s="241"/>
      <c r="AY133" s="241"/>
      <c r="AZ133" s="241"/>
      <c r="BA133" s="241"/>
      <c r="BB133" s="241"/>
      <c r="BC133" s="241"/>
      <c r="BD133" s="241"/>
      <c r="BE133" s="241"/>
      <c r="BF133" s="241"/>
      <c r="BG133" s="241"/>
      <c r="BH133" s="241"/>
      <c r="BI133" s="241"/>
      <c r="BJ133" s="241"/>
      <c r="BK133" s="241"/>
      <c r="BL133" s="241"/>
      <c r="BM133" s="241"/>
      <c r="BN133" s="241"/>
      <c r="BO133" s="241"/>
      <c r="BP133" s="241"/>
      <c r="BQ133" s="241"/>
      <c r="BR133" s="241"/>
      <c r="BS133" s="241"/>
      <c r="BT133" s="241"/>
      <c r="BU133" s="241"/>
      <c r="BV133" s="241"/>
      <c r="BW133" s="241"/>
      <c r="BX133" s="241"/>
      <c r="BY133" s="241"/>
      <c r="BZ133" s="241"/>
      <c r="CA133" s="241"/>
      <c r="CB133" s="241"/>
      <c r="CC133" s="241"/>
      <c r="CD133" s="241"/>
      <c r="CE133" s="241"/>
      <c r="CF133" s="241"/>
      <c r="CG133" s="241"/>
    </row>
    <row r="134" spans="1:85" ht="12" customHeight="1" outlineLevel="4">
      <c r="A134" s="227"/>
      <c r="B134" s="227"/>
      <c r="C134" s="227">
        <v>5</v>
      </c>
      <c r="D134" s="235" t="s">
        <v>1972</v>
      </c>
      <c r="E134" s="228"/>
      <c r="F134" s="228"/>
      <c r="G134" s="228"/>
      <c r="H134" s="228"/>
      <c r="I134" s="228" t="s">
        <v>1929</v>
      </c>
      <c r="J134" s="228"/>
      <c r="K134" s="228"/>
      <c r="L134" s="228"/>
      <c r="M134" s="228"/>
      <c r="N134" s="228"/>
      <c r="O134" s="228"/>
      <c r="P134" s="250">
        <v>45740</v>
      </c>
      <c r="Q134" s="250">
        <v>45751</v>
      </c>
      <c r="R134" s="228"/>
      <c r="S134" s="229">
        <v>10</v>
      </c>
      <c r="T134" s="229">
        <v>0</v>
      </c>
      <c r="U134" s="229">
        <v>10</v>
      </c>
      <c r="V134" s="229">
        <v>0</v>
      </c>
      <c r="W134" s="250"/>
      <c r="X134" s="250"/>
      <c r="Y134" s="230"/>
      <c r="Z134" s="231">
        <v>0</v>
      </c>
      <c r="AA134" s="229">
        <v>1</v>
      </c>
      <c r="AB134" s="228"/>
      <c r="AC134" s="191"/>
      <c r="AD134" s="234">
        <v>0</v>
      </c>
      <c r="AE134" s="253">
        <v>0</v>
      </c>
      <c r="AF134" s="240"/>
      <c r="AG134" s="241"/>
      <c r="AH134" s="241"/>
      <c r="AI134" s="241"/>
      <c r="AJ134" s="241"/>
      <c r="AK134" s="241" t="str">
        <f>" " &amp; TEXT(AE134,"#0.00%") &amp; " " &amp; "POS 관리시스템 백엔드" &amp; " " &amp; IF(P134="","",TEXT(P134,"M/D-")) &amp; IF(Q134="","",TEXT(Q134,"M/D")) &amp; " "</f>
        <v xml:space="preserve"> 0.00% POS 관리시스템 백엔드 3/24-4/4 </v>
      </c>
      <c r="AL134" s="241"/>
      <c r="AM134" s="241"/>
      <c r="AN134" s="241"/>
      <c r="AO134" s="241"/>
      <c r="AP134" s="241"/>
      <c r="AQ134" s="241"/>
      <c r="AR134" s="241"/>
      <c r="AS134" s="241"/>
      <c r="AT134" s="241"/>
      <c r="AU134" s="241"/>
      <c r="AV134" s="241"/>
      <c r="AW134" s="241"/>
      <c r="AX134" s="241"/>
      <c r="AY134" s="241"/>
      <c r="AZ134" s="241"/>
      <c r="BA134" s="241"/>
      <c r="BB134" s="241"/>
      <c r="BC134" s="241"/>
      <c r="BD134" s="241"/>
      <c r="BE134" s="241"/>
      <c r="BF134" s="241"/>
      <c r="BG134" s="241"/>
      <c r="BH134" s="241"/>
      <c r="BI134" s="241"/>
      <c r="BJ134" s="241"/>
      <c r="BK134" s="241"/>
      <c r="BL134" s="241"/>
      <c r="BM134" s="241"/>
      <c r="BN134" s="241"/>
      <c r="BO134" s="241"/>
      <c r="BP134" s="241"/>
      <c r="BQ134" s="241"/>
      <c r="BR134" s="241"/>
      <c r="BS134" s="241"/>
      <c r="BT134" s="241"/>
      <c r="BU134" s="241"/>
      <c r="BV134" s="241"/>
      <c r="BW134" s="241"/>
      <c r="BX134" s="241"/>
      <c r="BY134" s="241"/>
      <c r="BZ134" s="241"/>
      <c r="CA134" s="241"/>
      <c r="CB134" s="241"/>
      <c r="CC134" s="241"/>
      <c r="CD134" s="241"/>
      <c r="CE134" s="241"/>
      <c r="CF134" s="241"/>
      <c r="CG134" s="241"/>
    </row>
    <row r="135" spans="1:85" ht="12" customHeight="1" outlineLevel="4">
      <c r="A135" s="227"/>
      <c r="B135" s="227"/>
      <c r="C135" s="227">
        <v>5</v>
      </c>
      <c r="D135" s="235" t="s">
        <v>1973</v>
      </c>
      <c r="E135" s="228"/>
      <c r="F135" s="228"/>
      <c r="G135" s="228"/>
      <c r="H135" s="228"/>
      <c r="I135" s="228" t="s">
        <v>1930</v>
      </c>
      <c r="J135" s="228"/>
      <c r="K135" s="228"/>
      <c r="L135" s="228"/>
      <c r="M135" s="228"/>
      <c r="N135" s="228"/>
      <c r="O135" s="228"/>
      <c r="P135" s="250">
        <v>45740</v>
      </c>
      <c r="Q135" s="250">
        <v>45751</v>
      </c>
      <c r="R135" s="228"/>
      <c r="S135" s="229">
        <v>10</v>
      </c>
      <c r="T135" s="229">
        <v>0</v>
      </c>
      <c r="U135" s="229">
        <v>10</v>
      </c>
      <c r="V135" s="229">
        <v>0</v>
      </c>
      <c r="W135" s="250"/>
      <c r="X135" s="250"/>
      <c r="Y135" s="230"/>
      <c r="Z135" s="231">
        <v>0</v>
      </c>
      <c r="AA135" s="229">
        <v>1</v>
      </c>
      <c r="AB135" s="228"/>
      <c r="AC135" s="191"/>
      <c r="AD135" s="234">
        <v>0</v>
      </c>
      <c r="AE135" s="253">
        <v>0</v>
      </c>
      <c r="AF135" s="240"/>
      <c r="AG135" s="241"/>
      <c r="AH135" s="241"/>
      <c r="AI135" s="241"/>
      <c r="AJ135" s="241"/>
      <c r="AK135" s="241" t="str">
        <f>" " &amp; TEXT(AE135,"#0.00%") &amp; " " &amp; "AWS API 중계 시스템 백엔드" &amp; " " &amp; IF(P135="","",TEXT(P135,"M/D-")) &amp; IF(Q135="","",TEXT(Q135,"M/D")) &amp; " "</f>
        <v xml:space="preserve"> 0.00% AWS API 중계 시스템 백엔드 3/24-4/4 </v>
      </c>
      <c r="AL135" s="241"/>
      <c r="AM135" s="241"/>
      <c r="AN135" s="241"/>
      <c r="AO135" s="241"/>
      <c r="AP135" s="241"/>
      <c r="AQ135" s="241"/>
      <c r="AR135" s="241"/>
      <c r="AS135" s="241"/>
      <c r="AT135" s="241"/>
      <c r="AU135" s="241"/>
      <c r="AV135" s="241"/>
      <c r="AW135" s="241"/>
      <c r="AX135" s="241"/>
      <c r="AY135" s="241"/>
      <c r="AZ135" s="241"/>
      <c r="BA135" s="241"/>
      <c r="BB135" s="241"/>
      <c r="BC135" s="241"/>
      <c r="BD135" s="241"/>
      <c r="BE135" s="241"/>
      <c r="BF135" s="241"/>
      <c r="BG135" s="241"/>
      <c r="BH135" s="241"/>
      <c r="BI135" s="241"/>
      <c r="BJ135" s="241"/>
      <c r="BK135" s="241"/>
      <c r="BL135" s="241"/>
      <c r="BM135" s="241"/>
      <c r="BN135" s="241"/>
      <c r="BO135" s="241"/>
      <c r="BP135" s="241"/>
      <c r="BQ135" s="241"/>
      <c r="BR135" s="241"/>
      <c r="BS135" s="241"/>
      <c r="BT135" s="241"/>
      <c r="BU135" s="241"/>
      <c r="BV135" s="241"/>
      <c r="BW135" s="241"/>
      <c r="BX135" s="241"/>
      <c r="BY135" s="241"/>
      <c r="BZ135" s="241"/>
      <c r="CA135" s="241"/>
      <c r="CB135" s="241"/>
      <c r="CC135" s="241"/>
      <c r="CD135" s="241"/>
      <c r="CE135" s="241"/>
      <c r="CF135" s="241"/>
      <c r="CG135" s="241"/>
    </row>
    <row r="136" spans="1:85" ht="12" customHeight="1" outlineLevel="4">
      <c r="A136" s="227"/>
      <c r="B136" s="227"/>
      <c r="C136" s="227">
        <v>5</v>
      </c>
      <c r="D136" s="235" t="s">
        <v>1974</v>
      </c>
      <c r="E136" s="228"/>
      <c r="F136" s="228"/>
      <c r="G136" s="228"/>
      <c r="H136" s="228"/>
      <c r="I136" s="228" t="s">
        <v>1931</v>
      </c>
      <c r="J136" s="228"/>
      <c r="K136" s="228"/>
      <c r="L136" s="228"/>
      <c r="M136" s="228"/>
      <c r="N136" s="228"/>
      <c r="O136" s="228"/>
      <c r="P136" s="250">
        <v>45754</v>
      </c>
      <c r="Q136" s="250">
        <v>45765</v>
      </c>
      <c r="R136" s="228"/>
      <c r="S136" s="229">
        <v>10</v>
      </c>
      <c r="T136" s="229">
        <v>0</v>
      </c>
      <c r="U136" s="229">
        <v>10</v>
      </c>
      <c r="V136" s="229">
        <v>0</v>
      </c>
      <c r="W136" s="250"/>
      <c r="X136" s="250"/>
      <c r="Y136" s="230"/>
      <c r="Z136" s="231">
        <v>0</v>
      </c>
      <c r="AA136" s="229">
        <v>1</v>
      </c>
      <c r="AB136" s="228"/>
      <c r="AC136" s="191"/>
      <c r="AD136" s="234">
        <v>0</v>
      </c>
      <c r="AE136" s="253">
        <v>0</v>
      </c>
      <c r="AF136" s="240"/>
      <c r="AG136" s="241"/>
      <c r="AH136" s="241"/>
      <c r="AI136" s="241"/>
      <c r="AJ136" s="241"/>
      <c r="AK136" s="241"/>
      <c r="AL136" s="241"/>
      <c r="AM136" s="241" t="str">
        <f>" " &amp; TEXT(AE136,"#0.00%") &amp; " " &amp; "Batch 시스템 백엔드" &amp; " " &amp; IF(P136="","",TEXT(P136,"M/D-")) &amp; IF(Q136="","",TEXT(Q136,"M/D")) &amp; " "</f>
        <v xml:space="preserve"> 0.00% Batch 시스템 백엔드 4/7-4/18 </v>
      </c>
      <c r="AN136" s="241"/>
      <c r="AO136" s="241"/>
      <c r="AP136" s="241"/>
      <c r="AQ136" s="241"/>
      <c r="AR136" s="241"/>
      <c r="AS136" s="241"/>
      <c r="AT136" s="241"/>
      <c r="AU136" s="241"/>
      <c r="AV136" s="241"/>
      <c r="AW136" s="241"/>
      <c r="AX136" s="241"/>
      <c r="AY136" s="241"/>
      <c r="AZ136" s="241"/>
      <c r="BA136" s="241"/>
      <c r="BB136" s="241"/>
      <c r="BC136" s="241"/>
      <c r="BD136" s="241"/>
      <c r="BE136" s="241"/>
      <c r="BF136" s="241"/>
      <c r="BG136" s="241"/>
      <c r="BH136" s="241"/>
      <c r="BI136" s="241"/>
      <c r="BJ136" s="241"/>
      <c r="BK136" s="241"/>
      <c r="BL136" s="241"/>
      <c r="BM136" s="241"/>
      <c r="BN136" s="241"/>
      <c r="BO136" s="241"/>
      <c r="BP136" s="241"/>
      <c r="BQ136" s="241"/>
      <c r="BR136" s="241"/>
      <c r="BS136" s="241"/>
      <c r="BT136" s="241"/>
      <c r="BU136" s="241"/>
      <c r="BV136" s="241"/>
      <c r="BW136" s="241"/>
      <c r="BX136" s="241"/>
      <c r="BY136" s="241"/>
      <c r="BZ136" s="241"/>
      <c r="CA136" s="241"/>
      <c r="CB136" s="241"/>
      <c r="CC136" s="241"/>
      <c r="CD136" s="241"/>
      <c r="CE136" s="241"/>
      <c r="CF136" s="241"/>
      <c r="CG136" s="241"/>
    </row>
    <row r="137" spans="1:85" ht="12" customHeight="1" outlineLevel="4">
      <c r="A137" s="227"/>
      <c r="B137" s="227"/>
      <c r="C137" s="227">
        <v>5</v>
      </c>
      <c r="D137" s="235" t="s">
        <v>1975</v>
      </c>
      <c r="E137" s="228"/>
      <c r="F137" s="228"/>
      <c r="G137" s="228"/>
      <c r="H137" s="228"/>
      <c r="I137" s="228" t="s">
        <v>1932</v>
      </c>
      <c r="J137" s="228"/>
      <c r="K137" s="228"/>
      <c r="L137" s="228"/>
      <c r="M137" s="228"/>
      <c r="N137" s="228"/>
      <c r="O137" s="228"/>
      <c r="P137" s="250">
        <v>45754</v>
      </c>
      <c r="Q137" s="250">
        <v>45765</v>
      </c>
      <c r="R137" s="228"/>
      <c r="S137" s="229">
        <v>10</v>
      </c>
      <c r="T137" s="229">
        <v>0</v>
      </c>
      <c r="U137" s="229">
        <v>10</v>
      </c>
      <c r="V137" s="229">
        <v>0</v>
      </c>
      <c r="W137" s="250"/>
      <c r="X137" s="250"/>
      <c r="Y137" s="230"/>
      <c r="Z137" s="231">
        <v>0</v>
      </c>
      <c r="AA137" s="229">
        <v>1</v>
      </c>
      <c r="AB137" s="228"/>
      <c r="AC137" s="191"/>
      <c r="AD137" s="234">
        <v>0</v>
      </c>
      <c r="AE137" s="253">
        <v>0</v>
      </c>
      <c r="AF137" s="240"/>
      <c r="AG137" s="241"/>
      <c r="AH137" s="241"/>
      <c r="AI137" s="241"/>
      <c r="AJ137" s="241"/>
      <c r="AK137" s="241"/>
      <c r="AL137" s="241"/>
      <c r="AM137" s="241" t="str">
        <f>" " &amp; TEXT(AE137,"#0.00%") &amp; " " &amp; "온프라미스 API 시스템 백엔드" &amp; " " &amp; IF(P137="","",TEXT(P137,"M/D-")) &amp; IF(Q137="","",TEXT(Q137,"M/D")) &amp; " "</f>
        <v xml:space="preserve"> 0.00% 온프라미스 API 시스템 백엔드 4/7-4/18 </v>
      </c>
      <c r="AN137" s="241"/>
      <c r="AO137" s="241"/>
      <c r="AP137" s="241"/>
      <c r="AQ137" s="241"/>
      <c r="AR137" s="241"/>
      <c r="AS137" s="241"/>
      <c r="AT137" s="241"/>
      <c r="AU137" s="241"/>
      <c r="AV137" s="241"/>
      <c r="AW137" s="241"/>
      <c r="AX137" s="241"/>
      <c r="AY137" s="241"/>
      <c r="AZ137" s="241"/>
      <c r="BA137" s="241"/>
      <c r="BB137" s="241"/>
      <c r="BC137" s="241"/>
      <c r="BD137" s="241"/>
      <c r="BE137" s="241"/>
      <c r="BF137" s="241"/>
      <c r="BG137" s="241"/>
      <c r="BH137" s="241"/>
      <c r="BI137" s="241"/>
      <c r="BJ137" s="241"/>
      <c r="BK137" s="241"/>
      <c r="BL137" s="241"/>
      <c r="BM137" s="241"/>
      <c r="BN137" s="241"/>
      <c r="BO137" s="241"/>
      <c r="BP137" s="241"/>
      <c r="BQ137" s="241"/>
      <c r="BR137" s="241"/>
      <c r="BS137" s="241"/>
      <c r="BT137" s="241"/>
      <c r="BU137" s="241"/>
      <c r="BV137" s="241"/>
      <c r="BW137" s="241"/>
      <c r="BX137" s="241"/>
      <c r="BY137" s="241"/>
      <c r="BZ137" s="241"/>
      <c r="CA137" s="241"/>
      <c r="CB137" s="241"/>
      <c r="CC137" s="241"/>
      <c r="CD137" s="241"/>
      <c r="CE137" s="241"/>
      <c r="CF137" s="241"/>
      <c r="CG137" s="241"/>
    </row>
    <row r="138" spans="1:85" ht="12" customHeight="1" outlineLevel="4">
      <c r="A138" s="227"/>
      <c r="B138" s="227"/>
      <c r="C138" s="227">
        <v>5</v>
      </c>
      <c r="D138" s="235" t="s">
        <v>1976</v>
      </c>
      <c r="E138" s="228"/>
      <c r="F138" s="228"/>
      <c r="G138" s="228"/>
      <c r="H138" s="228"/>
      <c r="I138" s="228" t="s">
        <v>1933</v>
      </c>
      <c r="J138" s="228"/>
      <c r="K138" s="228"/>
      <c r="L138" s="228"/>
      <c r="M138" s="228"/>
      <c r="N138" s="228"/>
      <c r="O138" s="228"/>
      <c r="P138" s="250">
        <v>45768</v>
      </c>
      <c r="Q138" s="250">
        <v>45807</v>
      </c>
      <c r="R138" s="228"/>
      <c r="S138" s="229">
        <v>14</v>
      </c>
      <c r="T138" s="229">
        <v>0</v>
      </c>
      <c r="U138" s="229">
        <v>28</v>
      </c>
      <c r="V138" s="229">
        <v>0</v>
      </c>
      <c r="W138" s="250"/>
      <c r="X138" s="250"/>
      <c r="Y138" s="230"/>
      <c r="Z138" s="231">
        <v>0</v>
      </c>
      <c r="AA138" s="229">
        <v>0.5</v>
      </c>
      <c r="AB138" s="228"/>
      <c r="AC138" s="191"/>
      <c r="AD138" s="234">
        <v>0</v>
      </c>
      <c r="AE138" s="253">
        <v>0</v>
      </c>
      <c r="AF138" s="240"/>
      <c r="AG138" s="241"/>
      <c r="AH138" s="241"/>
      <c r="AI138" s="241"/>
      <c r="AJ138" s="241"/>
      <c r="AK138" s="241"/>
      <c r="AL138" s="241"/>
      <c r="AM138" s="241"/>
      <c r="AN138" s="241"/>
      <c r="AO138" s="241" t="str">
        <f>" " &amp; TEXT(AE138,"#0.00%") &amp; " "</f>
        <v xml:space="preserve"> 0.00% </v>
      </c>
      <c r="AP138" s="241"/>
      <c r="AQ138" s="241"/>
      <c r="AR138" s="241"/>
      <c r="AS138" s="241"/>
      <c r="AT138" s="241" t="str">
        <f>"      " &amp; "소나큐브 룰셋 적용" &amp; " " &amp; IF(P138="","",TEXT(P138,"M/D-")) &amp; IF(Q138="","",TEXT(Q138,"M/D")) &amp; " "</f>
        <v xml:space="preserve">      소나큐브 룰셋 적용 4/21-5/30 </v>
      </c>
      <c r="AU138" s="241"/>
      <c r="AV138" s="241"/>
      <c r="AW138" s="241"/>
      <c r="AX138" s="241"/>
      <c r="AY138" s="241"/>
      <c r="AZ138" s="241"/>
      <c r="BA138" s="241"/>
      <c r="BB138" s="241"/>
      <c r="BC138" s="241"/>
      <c r="BD138" s="241"/>
      <c r="BE138" s="241"/>
      <c r="BF138" s="241"/>
      <c r="BG138" s="241"/>
      <c r="BH138" s="241"/>
      <c r="BI138" s="241"/>
      <c r="BJ138" s="241"/>
      <c r="BK138" s="241"/>
      <c r="BL138" s="241"/>
      <c r="BM138" s="241"/>
      <c r="BN138" s="241"/>
      <c r="BO138" s="241"/>
      <c r="BP138" s="241"/>
      <c r="BQ138" s="241"/>
      <c r="BR138" s="241"/>
      <c r="BS138" s="241"/>
      <c r="BT138" s="241"/>
      <c r="BU138" s="241"/>
      <c r="BV138" s="241"/>
      <c r="BW138" s="241"/>
      <c r="BX138" s="241"/>
      <c r="BY138" s="241"/>
      <c r="BZ138" s="241"/>
      <c r="CA138" s="241"/>
      <c r="CB138" s="241"/>
      <c r="CC138" s="241"/>
      <c r="CD138" s="241"/>
      <c r="CE138" s="241"/>
      <c r="CF138" s="241"/>
      <c r="CG138" s="241"/>
    </row>
    <row r="139" spans="1:85" ht="12" customHeight="1" outlineLevel="4">
      <c r="A139" s="227"/>
      <c r="B139" s="227"/>
      <c r="C139" s="227">
        <v>5</v>
      </c>
      <c r="D139" s="235" t="s">
        <v>1977</v>
      </c>
      <c r="E139" s="228"/>
      <c r="F139" s="228"/>
      <c r="G139" s="228"/>
      <c r="H139" s="228"/>
      <c r="I139" s="228" t="s">
        <v>1934</v>
      </c>
      <c r="J139" s="228"/>
      <c r="K139" s="228"/>
      <c r="L139" s="228"/>
      <c r="M139" s="228"/>
      <c r="N139" s="228"/>
      <c r="O139" s="228"/>
      <c r="P139" s="250">
        <v>45810</v>
      </c>
      <c r="Q139" s="250">
        <v>45849</v>
      </c>
      <c r="R139" s="228"/>
      <c r="S139" s="229">
        <v>14.5</v>
      </c>
      <c r="T139" s="229">
        <v>0</v>
      </c>
      <c r="U139" s="229">
        <v>29</v>
      </c>
      <c r="V139" s="229">
        <v>0</v>
      </c>
      <c r="W139" s="250"/>
      <c r="X139" s="250"/>
      <c r="Y139" s="230"/>
      <c r="Z139" s="231">
        <v>0</v>
      </c>
      <c r="AA139" s="229">
        <v>0.5</v>
      </c>
      <c r="AB139" s="228"/>
      <c r="AC139" s="191"/>
      <c r="AD139" s="234">
        <v>0</v>
      </c>
      <c r="AE139" s="253">
        <v>0</v>
      </c>
      <c r="AF139" s="240"/>
      <c r="AG139" s="241"/>
      <c r="AH139" s="241"/>
      <c r="AI139" s="241"/>
      <c r="AJ139" s="241"/>
      <c r="AK139" s="241"/>
      <c r="AL139" s="241"/>
      <c r="AM139" s="241"/>
      <c r="AN139" s="241"/>
      <c r="AO139" s="241"/>
      <c r="AP139" s="241"/>
      <c r="AQ139" s="241"/>
      <c r="AR139" s="241"/>
      <c r="AS139" s="241"/>
      <c r="AT139" s="241"/>
      <c r="AU139" s="241" t="str">
        <f>" " &amp; TEXT(AE139,"#0.00%") &amp; " "</f>
        <v xml:space="preserve"> 0.00% </v>
      </c>
      <c r="AV139" s="241"/>
      <c r="AW139" s="241"/>
      <c r="AX139" s="241"/>
      <c r="AY139" s="241"/>
      <c r="AZ139" s="241" t="str">
        <f>"      " &amp; "소나큐브 점검" &amp; " " &amp; IF(P139="","",TEXT(P139,"M/D-")) &amp; IF(Q139="","",TEXT(Q139,"M/D")) &amp; " "</f>
        <v xml:space="preserve">      소나큐브 점검 6/2-7/11 </v>
      </c>
      <c r="BA139" s="241"/>
      <c r="BB139" s="241"/>
      <c r="BC139" s="241"/>
      <c r="BD139" s="241"/>
      <c r="BE139" s="241"/>
      <c r="BF139" s="241"/>
      <c r="BG139" s="241"/>
      <c r="BH139" s="241"/>
      <c r="BI139" s="241"/>
      <c r="BJ139" s="241"/>
      <c r="BK139" s="241"/>
      <c r="BL139" s="241"/>
      <c r="BM139" s="241"/>
      <c r="BN139" s="241"/>
      <c r="BO139" s="241"/>
      <c r="BP139" s="241"/>
      <c r="BQ139" s="241"/>
      <c r="BR139" s="241"/>
      <c r="BS139" s="241"/>
      <c r="BT139" s="241"/>
      <c r="BU139" s="241"/>
      <c r="BV139" s="241"/>
      <c r="BW139" s="241"/>
      <c r="BX139" s="241"/>
      <c r="BY139" s="241"/>
      <c r="BZ139" s="241"/>
      <c r="CA139" s="241"/>
      <c r="CB139" s="241"/>
      <c r="CC139" s="241"/>
      <c r="CD139" s="241"/>
      <c r="CE139" s="241"/>
      <c r="CF139" s="241"/>
      <c r="CG139" s="241"/>
    </row>
    <row r="140" spans="1:85" ht="12" customHeight="1" outlineLevel="3">
      <c r="A140" s="227"/>
      <c r="B140" s="227" t="s">
        <v>1766</v>
      </c>
      <c r="C140" s="227">
        <v>4</v>
      </c>
      <c r="D140" s="235" t="s">
        <v>1978</v>
      </c>
      <c r="E140" s="228"/>
      <c r="F140" s="228"/>
      <c r="G140" s="228"/>
      <c r="H140" s="228" t="s">
        <v>1935</v>
      </c>
      <c r="I140" s="228"/>
      <c r="J140" s="228"/>
      <c r="K140" s="228"/>
      <c r="L140" s="228"/>
      <c r="M140" s="228"/>
      <c r="N140" s="228"/>
      <c r="O140" s="228"/>
      <c r="P140" s="250">
        <v>45726</v>
      </c>
      <c r="Q140" s="250">
        <v>45744</v>
      </c>
      <c r="R140" s="228"/>
      <c r="S140" s="229">
        <v>30</v>
      </c>
      <c r="T140" s="229">
        <v>0</v>
      </c>
      <c r="U140" s="229">
        <v>15</v>
      </c>
      <c r="V140" s="229">
        <v>0</v>
      </c>
      <c r="W140" s="250"/>
      <c r="X140" s="250"/>
      <c r="Y140" s="230">
        <v>0</v>
      </c>
      <c r="Z140" s="231">
        <v>0</v>
      </c>
      <c r="AA140" s="229"/>
      <c r="AB140" s="228"/>
      <c r="AC140" s="191"/>
      <c r="AD140" s="234">
        <v>0</v>
      </c>
      <c r="AE140" s="254">
        <v>0</v>
      </c>
      <c r="AF140" s="240"/>
      <c r="AG140" s="241"/>
      <c r="AH140" s="241"/>
      <c r="AI140" s="241" t="str">
        <f>" " &amp; TEXT(AE140,"#0.00%") &amp; " " &amp; "클라우드 서비스 구성 " &amp; " " &amp; IF(P140="","",TEXT(P140,"M/D-")) &amp; IF(Q140="","",TEXT(Q140,"M/D")) &amp; " "</f>
        <v xml:space="preserve"> 0.00% 클라우드 서비스 구성  3/10-3/28 </v>
      </c>
      <c r="AJ140" s="241"/>
      <c r="AK140" s="241"/>
      <c r="AL140" s="241"/>
      <c r="AM140" s="241"/>
      <c r="AN140" s="241"/>
      <c r="AO140" s="241"/>
      <c r="AP140" s="241"/>
      <c r="AQ140" s="241"/>
      <c r="AR140" s="241"/>
      <c r="AS140" s="241"/>
      <c r="AT140" s="241"/>
      <c r="AU140" s="241"/>
      <c r="AV140" s="241"/>
      <c r="AW140" s="241"/>
      <c r="AX140" s="241"/>
      <c r="AY140" s="241"/>
      <c r="AZ140" s="241"/>
      <c r="BA140" s="241"/>
      <c r="BB140" s="241"/>
      <c r="BC140" s="241"/>
      <c r="BD140" s="241"/>
      <c r="BE140" s="241"/>
      <c r="BF140" s="241"/>
      <c r="BG140" s="241"/>
      <c r="BH140" s="241"/>
      <c r="BI140" s="241"/>
      <c r="BJ140" s="241"/>
      <c r="BK140" s="241"/>
      <c r="BL140" s="241"/>
      <c r="BM140" s="241"/>
      <c r="BN140" s="241"/>
      <c r="BO140" s="241"/>
      <c r="BP140" s="241"/>
      <c r="BQ140" s="241"/>
      <c r="BR140" s="241"/>
      <c r="BS140" s="241"/>
      <c r="BT140" s="241"/>
      <c r="BU140" s="241"/>
      <c r="BV140" s="241"/>
      <c r="BW140" s="241"/>
      <c r="BX140" s="241"/>
      <c r="BY140" s="241"/>
      <c r="BZ140" s="241"/>
      <c r="CA140" s="241"/>
      <c r="CB140" s="241"/>
      <c r="CC140" s="241"/>
      <c r="CD140" s="241"/>
      <c r="CE140" s="241"/>
      <c r="CF140" s="241"/>
      <c r="CG140" s="241"/>
    </row>
    <row r="141" spans="1:85" ht="12" customHeight="1" outlineLevel="4">
      <c r="A141" s="227"/>
      <c r="B141" s="227"/>
      <c r="C141" s="227">
        <v>5</v>
      </c>
      <c r="D141" s="235" t="s">
        <v>1979</v>
      </c>
      <c r="E141" s="228"/>
      <c r="F141" s="228"/>
      <c r="G141" s="228"/>
      <c r="H141" s="228"/>
      <c r="I141" s="228" t="s">
        <v>1936</v>
      </c>
      <c r="J141" s="228"/>
      <c r="K141" s="228"/>
      <c r="L141" s="228"/>
      <c r="M141" s="228"/>
      <c r="N141" s="228"/>
      <c r="O141" s="228"/>
      <c r="P141" s="250">
        <v>45726</v>
      </c>
      <c r="Q141" s="250">
        <v>45737</v>
      </c>
      <c r="R141" s="228"/>
      <c r="S141" s="229">
        <v>10</v>
      </c>
      <c r="T141" s="229">
        <v>0</v>
      </c>
      <c r="U141" s="229">
        <v>10</v>
      </c>
      <c r="V141" s="229">
        <v>0</v>
      </c>
      <c r="W141" s="250"/>
      <c r="X141" s="250"/>
      <c r="Y141" s="230"/>
      <c r="Z141" s="231">
        <v>0</v>
      </c>
      <c r="AA141" s="229">
        <v>1</v>
      </c>
      <c r="AB141" s="228"/>
      <c r="AC141" s="191"/>
      <c r="AD141" s="234">
        <v>0</v>
      </c>
      <c r="AE141" s="253">
        <v>0</v>
      </c>
      <c r="AF141" s="240"/>
      <c r="AG141" s="241"/>
      <c r="AH141" s="241"/>
      <c r="AI141" s="241" t="str">
        <f>" " &amp; TEXT(AE141,"#0.00%") &amp; " " &amp; "네트워크 및 보안 구성" &amp; " " &amp; IF(P141="","",TEXT(P141,"M/D-")) &amp; IF(Q141="","",TEXT(Q141,"M/D")) &amp; " "</f>
        <v xml:space="preserve"> 0.00% 네트워크 및 보안 구성 3/10-3/21 </v>
      </c>
      <c r="AJ141" s="241"/>
      <c r="AK141" s="241"/>
      <c r="AL141" s="241"/>
      <c r="AM141" s="241"/>
      <c r="AN141" s="241"/>
      <c r="AO141" s="241"/>
      <c r="AP141" s="241"/>
      <c r="AQ141" s="241"/>
      <c r="AR141" s="241"/>
      <c r="AS141" s="241"/>
      <c r="AT141" s="241"/>
      <c r="AU141" s="241"/>
      <c r="AV141" s="241"/>
      <c r="AW141" s="241"/>
      <c r="AX141" s="241"/>
      <c r="AY141" s="241"/>
      <c r="AZ141" s="241"/>
      <c r="BA141" s="241"/>
      <c r="BB141" s="241"/>
      <c r="BC141" s="241"/>
      <c r="BD141" s="241"/>
      <c r="BE141" s="241"/>
      <c r="BF141" s="241"/>
      <c r="BG141" s="241"/>
      <c r="BH141" s="241"/>
      <c r="BI141" s="241"/>
      <c r="BJ141" s="241"/>
      <c r="BK141" s="241"/>
      <c r="BL141" s="241"/>
      <c r="BM141" s="241"/>
      <c r="BN141" s="241"/>
      <c r="BO141" s="241"/>
      <c r="BP141" s="241"/>
      <c r="BQ141" s="241"/>
      <c r="BR141" s="241"/>
      <c r="BS141" s="241"/>
      <c r="BT141" s="241"/>
      <c r="BU141" s="241"/>
      <c r="BV141" s="241"/>
      <c r="BW141" s="241"/>
      <c r="BX141" s="241"/>
      <c r="BY141" s="241"/>
      <c r="BZ141" s="241"/>
      <c r="CA141" s="241"/>
      <c r="CB141" s="241"/>
      <c r="CC141" s="241"/>
      <c r="CD141" s="241"/>
      <c r="CE141" s="241"/>
      <c r="CF141" s="241"/>
      <c r="CG141" s="241"/>
    </row>
    <row r="142" spans="1:85" ht="12" customHeight="1" outlineLevel="4">
      <c r="A142" s="227"/>
      <c r="B142" s="227"/>
      <c r="C142" s="227">
        <v>5</v>
      </c>
      <c r="D142" s="235" t="s">
        <v>1980</v>
      </c>
      <c r="E142" s="228"/>
      <c r="F142" s="228"/>
      <c r="G142" s="228"/>
      <c r="H142" s="228"/>
      <c r="I142" s="228" t="s">
        <v>1937</v>
      </c>
      <c r="J142" s="228"/>
      <c r="K142" s="228"/>
      <c r="L142" s="228"/>
      <c r="M142" s="228"/>
      <c r="N142" s="228"/>
      <c r="O142" s="228"/>
      <c r="P142" s="250">
        <v>45733</v>
      </c>
      <c r="Q142" s="250">
        <v>45744</v>
      </c>
      <c r="R142" s="228"/>
      <c r="S142" s="229">
        <v>10</v>
      </c>
      <c r="T142" s="229">
        <v>0</v>
      </c>
      <c r="U142" s="229">
        <v>10</v>
      </c>
      <c r="V142" s="229">
        <v>0</v>
      </c>
      <c r="W142" s="250"/>
      <c r="X142" s="250"/>
      <c r="Y142" s="230"/>
      <c r="Z142" s="231">
        <v>0</v>
      </c>
      <c r="AA142" s="229">
        <v>1</v>
      </c>
      <c r="AB142" s="228"/>
      <c r="AC142" s="191"/>
      <c r="AD142" s="234">
        <v>0</v>
      </c>
      <c r="AE142" s="253">
        <v>0</v>
      </c>
      <c r="AF142" s="240"/>
      <c r="AG142" s="241"/>
      <c r="AH142" s="241"/>
      <c r="AI142" s="241"/>
      <c r="AJ142" s="241" t="str">
        <f>" " &amp; TEXT(AE142,"#0.00%") &amp; " " &amp; "ECS 구성 " &amp; " " &amp; IF(P142="","",TEXT(P142,"M/D-")) &amp; IF(Q142="","",TEXT(Q142,"M/D")) &amp; " "</f>
        <v xml:space="preserve"> 0.00% ECS 구성  3/17-3/28 </v>
      </c>
      <c r="AK142" s="241"/>
      <c r="AL142" s="241"/>
      <c r="AM142" s="241"/>
      <c r="AN142" s="241"/>
      <c r="AO142" s="241"/>
      <c r="AP142" s="241"/>
      <c r="AQ142" s="241"/>
      <c r="AR142" s="241"/>
      <c r="AS142" s="241"/>
      <c r="AT142" s="241"/>
      <c r="AU142" s="241"/>
      <c r="AV142" s="241"/>
      <c r="AW142" s="241"/>
      <c r="AX142" s="241"/>
      <c r="AY142" s="241"/>
      <c r="AZ142" s="241"/>
      <c r="BA142" s="241"/>
      <c r="BB142" s="241"/>
      <c r="BC142" s="241"/>
      <c r="BD142" s="241"/>
      <c r="BE142" s="241"/>
      <c r="BF142" s="241"/>
      <c r="BG142" s="241"/>
      <c r="BH142" s="241"/>
      <c r="BI142" s="241"/>
      <c r="BJ142" s="241"/>
      <c r="BK142" s="241"/>
      <c r="BL142" s="241"/>
      <c r="BM142" s="241"/>
      <c r="BN142" s="241"/>
      <c r="BO142" s="241"/>
      <c r="BP142" s="241"/>
      <c r="BQ142" s="241"/>
      <c r="BR142" s="241"/>
      <c r="BS142" s="241"/>
      <c r="BT142" s="241"/>
      <c r="BU142" s="241"/>
      <c r="BV142" s="241"/>
      <c r="BW142" s="241"/>
      <c r="BX142" s="241"/>
      <c r="BY142" s="241"/>
      <c r="BZ142" s="241"/>
      <c r="CA142" s="241"/>
      <c r="CB142" s="241"/>
      <c r="CC142" s="241"/>
      <c r="CD142" s="241"/>
      <c r="CE142" s="241"/>
      <c r="CF142" s="241"/>
      <c r="CG142" s="241"/>
    </row>
    <row r="143" spans="1:85" ht="12" customHeight="1" outlineLevel="4">
      <c r="A143" s="227"/>
      <c r="B143" s="227"/>
      <c r="C143" s="227">
        <v>5</v>
      </c>
      <c r="D143" s="235" t="s">
        <v>1981</v>
      </c>
      <c r="E143" s="228"/>
      <c r="F143" s="228"/>
      <c r="G143" s="228"/>
      <c r="H143" s="228"/>
      <c r="I143" s="228" t="s">
        <v>1938</v>
      </c>
      <c r="J143" s="228"/>
      <c r="K143" s="228"/>
      <c r="L143" s="228"/>
      <c r="M143" s="228"/>
      <c r="N143" s="228"/>
      <c r="O143" s="228"/>
      <c r="P143" s="250">
        <v>45733</v>
      </c>
      <c r="Q143" s="250">
        <v>45744</v>
      </c>
      <c r="R143" s="228"/>
      <c r="S143" s="229">
        <v>10</v>
      </c>
      <c r="T143" s="229">
        <v>0</v>
      </c>
      <c r="U143" s="229">
        <v>10</v>
      </c>
      <c r="V143" s="229">
        <v>0</v>
      </c>
      <c r="W143" s="250"/>
      <c r="X143" s="250"/>
      <c r="Y143" s="230"/>
      <c r="Z143" s="231">
        <v>0</v>
      </c>
      <c r="AA143" s="229">
        <v>1</v>
      </c>
      <c r="AB143" s="228"/>
      <c r="AC143" s="191"/>
      <c r="AD143" s="234">
        <v>0</v>
      </c>
      <c r="AE143" s="253">
        <v>0</v>
      </c>
      <c r="AF143" s="240"/>
      <c r="AG143" s="241"/>
      <c r="AH143" s="241"/>
      <c r="AI143" s="241"/>
      <c r="AJ143" s="241" t="str">
        <f>" " &amp; TEXT(AE143,"#0.00%") &amp; " " &amp; "Database 구성 (Aurora PostgreSQL)" &amp; " " &amp; IF(P143="","",TEXT(P143,"M/D-")) &amp; IF(Q143="","",TEXT(Q143,"M/D")) &amp; " "</f>
        <v xml:space="preserve"> 0.00% Database 구성 (Aurora PostgreSQL) 3/17-3/28 </v>
      </c>
      <c r="AK143" s="241"/>
      <c r="AL143" s="241"/>
      <c r="AM143" s="241"/>
      <c r="AN143" s="241"/>
      <c r="AO143" s="241"/>
      <c r="AP143" s="241"/>
      <c r="AQ143" s="241"/>
      <c r="AR143" s="241"/>
      <c r="AS143" s="241"/>
      <c r="AT143" s="241"/>
      <c r="AU143" s="241"/>
      <c r="AV143" s="241"/>
      <c r="AW143" s="241"/>
      <c r="AX143" s="241"/>
      <c r="AY143" s="241"/>
      <c r="AZ143" s="241"/>
      <c r="BA143" s="241"/>
      <c r="BB143" s="241"/>
      <c r="BC143" s="241"/>
      <c r="BD143" s="241"/>
      <c r="BE143" s="241"/>
      <c r="BF143" s="241"/>
      <c r="BG143" s="241"/>
      <c r="BH143" s="241"/>
      <c r="BI143" s="241"/>
      <c r="BJ143" s="241"/>
      <c r="BK143" s="241"/>
      <c r="BL143" s="241"/>
      <c r="BM143" s="241"/>
      <c r="BN143" s="241"/>
      <c r="BO143" s="241"/>
      <c r="BP143" s="241"/>
      <c r="BQ143" s="241"/>
      <c r="BR143" s="241"/>
      <c r="BS143" s="241"/>
      <c r="BT143" s="241"/>
      <c r="BU143" s="241"/>
      <c r="BV143" s="241"/>
      <c r="BW143" s="241"/>
      <c r="BX143" s="241"/>
      <c r="BY143" s="241"/>
      <c r="BZ143" s="241"/>
      <c r="CA143" s="241"/>
      <c r="CB143" s="241"/>
      <c r="CC143" s="241"/>
      <c r="CD143" s="241"/>
      <c r="CE143" s="241"/>
      <c r="CF143" s="241"/>
      <c r="CG143" s="241"/>
    </row>
    <row r="144" spans="1:85" ht="12" customHeight="1" outlineLevel="3">
      <c r="A144" s="227"/>
      <c r="B144" s="227" t="s">
        <v>1766</v>
      </c>
      <c r="C144" s="227">
        <v>4</v>
      </c>
      <c r="D144" s="235" t="s">
        <v>1982</v>
      </c>
      <c r="E144" s="228"/>
      <c r="F144" s="228"/>
      <c r="G144" s="228"/>
      <c r="H144" s="228" t="s">
        <v>1939</v>
      </c>
      <c r="I144" s="228"/>
      <c r="J144" s="228"/>
      <c r="K144" s="228"/>
      <c r="L144" s="228"/>
      <c r="M144" s="228"/>
      <c r="N144" s="228"/>
      <c r="O144" s="228"/>
      <c r="P144" s="250">
        <v>45747</v>
      </c>
      <c r="Q144" s="250">
        <v>45786</v>
      </c>
      <c r="R144" s="228"/>
      <c r="S144" s="229">
        <v>48</v>
      </c>
      <c r="T144" s="229">
        <v>0</v>
      </c>
      <c r="U144" s="229">
        <v>28</v>
      </c>
      <c r="V144" s="229">
        <v>0</v>
      </c>
      <c r="W144" s="250"/>
      <c r="X144" s="250"/>
      <c r="Y144" s="230">
        <v>0</v>
      </c>
      <c r="Z144" s="231">
        <v>0</v>
      </c>
      <c r="AA144" s="229"/>
      <c r="AB144" s="228"/>
      <c r="AC144" s="191"/>
      <c r="AD144" s="234">
        <v>0</v>
      </c>
      <c r="AE144" s="254">
        <v>0</v>
      </c>
      <c r="AF144" s="240"/>
      <c r="AG144" s="241"/>
      <c r="AH144" s="241"/>
      <c r="AI144" s="241"/>
      <c r="AJ144" s="241"/>
      <c r="AK144" s="241"/>
      <c r="AL144" s="241" t="str">
        <f>" " &amp; TEXT(AE144,"#0.00%") &amp; " "</f>
        <v xml:space="preserve"> 0.00% </v>
      </c>
      <c r="AM144" s="241"/>
      <c r="AN144" s="241"/>
      <c r="AO144" s="241"/>
      <c r="AP144" s="241"/>
      <c r="AQ144" s="241" t="str">
        <f>"      " &amp; "CICD" &amp; " " &amp; IF(P144="","",TEXT(P144,"M/D-")) &amp; IF(Q144="","",TEXT(Q144,"M/D")) &amp; " "</f>
        <v xml:space="preserve">      CICD 3/31-5/9 </v>
      </c>
      <c r="AR144" s="241"/>
      <c r="AS144" s="241"/>
      <c r="AT144" s="241"/>
      <c r="AU144" s="241"/>
      <c r="AV144" s="241"/>
      <c r="AW144" s="241"/>
      <c r="AX144" s="241"/>
      <c r="AY144" s="241"/>
      <c r="AZ144" s="241"/>
      <c r="BA144" s="241"/>
      <c r="BB144" s="241"/>
      <c r="BC144" s="241"/>
      <c r="BD144" s="241"/>
      <c r="BE144" s="241"/>
      <c r="BF144" s="241"/>
      <c r="BG144" s="241"/>
      <c r="BH144" s="241"/>
      <c r="BI144" s="241"/>
      <c r="BJ144" s="241"/>
      <c r="BK144" s="241"/>
      <c r="BL144" s="241"/>
      <c r="BM144" s="241"/>
      <c r="BN144" s="241"/>
      <c r="BO144" s="241"/>
      <c r="BP144" s="241"/>
      <c r="BQ144" s="241"/>
      <c r="BR144" s="241"/>
      <c r="BS144" s="241"/>
      <c r="BT144" s="241"/>
      <c r="BU144" s="241"/>
      <c r="BV144" s="241"/>
      <c r="BW144" s="241"/>
      <c r="BX144" s="241"/>
      <c r="BY144" s="241"/>
      <c r="BZ144" s="241"/>
      <c r="CA144" s="241"/>
      <c r="CB144" s="241"/>
      <c r="CC144" s="241"/>
      <c r="CD144" s="241"/>
      <c r="CE144" s="241"/>
      <c r="CF144" s="241"/>
      <c r="CG144" s="241"/>
    </row>
    <row r="145" spans="1:85" ht="12" customHeight="1" outlineLevel="4">
      <c r="A145" s="227"/>
      <c r="B145" s="227"/>
      <c r="C145" s="227">
        <v>5</v>
      </c>
      <c r="D145" s="235" t="s">
        <v>1983</v>
      </c>
      <c r="E145" s="228"/>
      <c r="F145" s="228"/>
      <c r="G145" s="228"/>
      <c r="H145" s="228"/>
      <c r="I145" s="228" t="s">
        <v>1940</v>
      </c>
      <c r="J145" s="228"/>
      <c r="K145" s="228"/>
      <c r="L145" s="228"/>
      <c r="M145" s="228"/>
      <c r="N145" s="228"/>
      <c r="O145" s="228"/>
      <c r="P145" s="250">
        <v>45747</v>
      </c>
      <c r="Q145" s="250">
        <v>45758</v>
      </c>
      <c r="R145" s="228"/>
      <c r="S145" s="229">
        <v>10</v>
      </c>
      <c r="T145" s="229">
        <v>0</v>
      </c>
      <c r="U145" s="229">
        <v>10</v>
      </c>
      <c r="V145" s="229">
        <v>0</v>
      </c>
      <c r="W145" s="250"/>
      <c r="X145" s="250"/>
      <c r="Y145" s="230"/>
      <c r="Z145" s="231">
        <v>0</v>
      </c>
      <c r="AA145" s="229">
        <v>1</v>
      </c>
      <c r="AB145" s="228"/>
      <c r="AC145" s="191"/>
      <c r="AD145" s="234">
        <v>0</v>
      </c>
      <c r="AE145" s="253">
        <v>0</v>
      </c>
      <c r="AF145" s="240"/>
      <c r="AG145" s="241"/>
      <c r="AH145" s="241"/>
      <c r="AI145" s="241"/>
      <c r="AJ145" s="241"/>
      <c r="AK145" s="241"/>
      <c r="AL145" s="241" t="str">
        <f>" " &amp; TEXT(AE145,"#0.00%") &amp; " " &amp; "POS 관리시스템 프론트  (신성통상)" &amp; " " &amp; IF(P145="","",TEXT(P145,"M/D-")) &amp; IF(Q145="","",TEXT(Q145,"M/D")) &amp; " "</f>
        <v xml:space="preserve"> 0.00% POS 관리시스템 프론트  (신성통상) 3/31-4/11 </v>
      </c>
      <c r="AM145" s="241"/>
      <c r="AN145" s="241"/>
      <c r="AO145" s="241"/>
      <c r="AP145" s="241"/>
      <c r="AQ145" s="241"/>
      <c r="AR145" s="241"/>
      <c r="AS145" s="241"/>
      <c r="AT145" s="241"/>
      <c r="AU145" s="241"/>
      <c r="AV145" s="241"/>
      <c r="AW145" s="241"/>
      <c r="AX145" s="241"/>
      <c r="AY145" s="241"/>
      <c r="AZ145" s="241"/>
      <c r="BA145" s="241"/>
      <c r="BB145" s="241"/>
      <c r="BC145" s="241"/>
      <c r="BD145" s="241"/>
      <c r="BE145" s="241"/>
      <c r="BF145" s="241"/>
      <c r="BG145" s="241"/>
      <c r="BH145" s="241"/>
      <c r="BI145" s="241"/>
      <c r="BJ145" s="241"/>
      <c r="BK145" s="241"/>
      <c r="BL145" s="241"/>
      <c r="BM145" s="241"/>
      <c r="BN145" s="241"/>
      <c r="BO145" s="241"/>
      <c r="BP145" s="241"/>
      <c r="BQ145" s="241"/>
      <c r="BR145" s="241"/>
      <c r="BS145" s="241"/>
      <c r="BT145" s="241"/>
      <c r="BU145" s="241"/>
      <c r="BV145" s="241"/>
      <c r="BW145" s="241"/>
      <c r="BX145" s="241"/>
      <c r="BY145" s="241"/>
      <c r="BZ145" s="241"/>
      <c r="CA145" s="241"/>
      <c r="CB145" s="241"/>
      <c r="CC145" s="241"/>
      <c r="CD145" s="241"/>
      <c r="CE145" s="241"/>
      <c r="CF145" s="241"/>
      <c r="CG145" s="241"/>
    </row>
    <row r="146" spans="1:85" ht="12" customHeight="1" outlineLevel="4">
      <c r="A146" s="227"/>
      <c r="B146" s="227"/>
      <c r="C146" s="227">
        <v>5</v>
      </c>
      <c r="D146" s="235" t="s">
        <v>1984</v>
      </c>
      <c r="E146" s="228"/>
      <c r="F146" s="228"/>
      <c r="G146" s="228"/>
      <c r="H146" s="228"/>
      <c r="I146" s="228" t="s">
        <v>1941</v>
      </c>
      <c r="J146" s="228"/>
      <c r="K146" s="228"/>
      <c r="L146" s="228"/>
      <c r="M146" s="228"/>
      <c r="N146" s="228"/>
      <c r="O146" s="228"/>
      <c r="P146" s="250">
        <v>45747</v>
      </c>
      <c r="Q146" s="250">
        <v>45758</v>
      </c>
      <c r="R146" s="228"/>
      <c r="S146" s="229">
        <v>10</v>
      </c>
      <c r="T146" s="229">
        <v>0</v>
      </c>
      <c r="U146" s="229">
        <v>10</v>
      </c>
      <c r="V146" s="229">
        <v>0</v>
      </c>
      <c r="W146" s="250"/>
      <c r="X146" s="250"/>
      <c r="Y146" s="230"/>
      <c r="Z146" s="231">
        <v>0</v>
      </c>
      <c r="AA146" s="229">
        <v>1</v>
      </c>
      <c r="AB146" s="228"/>
      <c r="AC146" s="191"/>
      <c r="AD146" s="234">
        <v>0</v>
      </c>
      <c r="AE146" s="253">
        <v>0</v>
      </c>
      <c r="AF146" s="240"/>
      <c r="AG146" s="241"/>
      <c r="AH146" s="241"/>
      <c r="AI146" s="241"/>
      <c r="AJ146" s="241"/>
      <c r="AK146" s="241"/>
      <c r="AL146" s="241" t="str">
        <f>" " &amp; TEXT(AE146,"#0.00%") &amp; " " &amp; "POS 관리시스템 프론트  (에이션패션)" &amp; " " &amp; IF(P146="","",TEXT(P146,"M/D-")) &amp; IF(Q146="","",TEXT(Q146,"M/D")) &amp; " "</f>
        <v xml:space="preserve"> 0.00% POS 관리시스템 프론트  (에이션패션) 3/31-4/11 </v>
      </c>
      <c r="AM146" s="241"/>
      <c r="AN146" s="241"/>
      <c r="AO146" s="241"/>
      <c r="AP146" s="241"/>
      <c r="AQ146" s="241"/>
      <c r="AR146" s="241"/>
      <c r="AS146" s="241"/>
      <c r="AT146" s="241"/>
      <c r="AU146" s="241"/>
      <c r="AV146" s="241"/>
      <c r="AW146" s="241"/>
      <c r="AX146" s="241"/>
      <c r="AY146" s="241"/>
      <c r="AZ146" s="241"/>
      <c r="BA146" s="241"/>
      <c r="BB146" s="241"/>
      <c r="BC146" s="241"/>
      <c r="BD146" s="241"/>
      <c r="BE146" s="241"/>
      <c r="BF146" s="241"/>
      <c r="BG146" s="241"/>
      <c r="BH146" s="241"/>
      <c r="BI146" s="241"/>
      <c r="BJ146" s="241"/>
      <c r="BK146" s="241"/>
      <c r="BL146" s="241"/>
      <c r="BM146" s="241"/>
      <c r="BN146" s="241"/>
      <c r="BO146" s="241"/>
      <c r="BP146" s="241"/>
      <c r="BQ146" s="241"/>
      <c r="BR146" s="241"/>
      <c r="BS146" s="241"/>
      <c r="BT146" s="241"/>
      <c r="BU146" s="241"/>
      <c r="BV146" s="241"/>
      <c r="BW146" s="241"/>
      <c r="BX146" s="241"/>
      <c r="BY146" s="241"/>
      <c r="BZ146" s="241"/>
      <c r="CA146" s="241"/>
      <c r="CB146" s="241"/>
      <c r="CC146" s="241"/>
      <c r="CD146" s="241"/>
      <c r="CE146" s="241"/>
      <c r="CF146" s="241"/>
      <c r="CG146" s="241"/>
    </row>
    <row r="147" spans="1:85" ht="12" customHeight="1" outlineLevel="4">
      <c r="A147" s="227"/>
      <c r="B147" s="227"/>
      <c r="C147" s="227">
        <v>5</v>
      </c>
      <c r="D147" s="235" t="s">
        <v>1985</v>
      </c>
      <c r="E147" s="228"/>
      <c r="F147" s="228"/>
      <c r="G147" s="228"/>
      <c r="H147" s="228"/>
      <c r="I147" s="228" t="s">
        <v>1929</v>
      </c>
      <c r="J147" s="228"/>
      <c r="K147" s="228"/>
      <c r="L147" s="228"/>
      <c r="M147" s="228"/>
      <c r="N147" s="228"/>
      <c r="O147" s="228"/>
      <c r="P147" s="250">
        <v>45761</v>
      </c>
      <c r="Q147" s="250">
        <v>45772</v>
      </c>
      <c r="R147" s="228"/>
      <c r="S147" s="229">
        <v>10</v>
      </c>
      <c r="T147" s="229">
        <v>0</v>
      </c>
      <c r="U147" s="229">
        <v>10</v>
      </c>
      <c r="V147" s="229">
        <v>0</v>
      </c>
      <c r="W147" s="250"/>
      <c r="X147" s="250"/>
      <c r="Y147" s="230"/>
      <c r="Z147" s="231">
        <v>0</v>
      </c>
      <c r="AA147" s="229">
        <v>1</v>
      </c>
      <c r="AB147" s="228"/>
      <c r="AC147" s="191"/>
      <c r="AD147" s="234">
        <v>0</v>
      </c>
      <c r="AE147" s="253">
        <v>0</v>
      </c>
      <c r="AF147" s="240"/>
      <c r="AG147" s="241"/>
      <c r="AH147" s="241"/>
      <c r="AI147" s="241"/>
      <c r="AJ147" s="241"/>
      <c r="AK147" s="241"/>
      <c r="AL147" s="241"/>
      <c r="AM147" s="241"/>
      <c r="AN147" s="241" t="str">
        <f>" " &amp; TEXT(AE147,"#0.00%") &amp; " " &amp; "POS 관리시스템 백엔드" &amp; " " &amp; IF(P147="","",TEXT(P147,"M/D-")) &amp; IF(Q147="","",TEXT(Q147,"M/D")) &amp; " "</f>
        <v xml:space="preserve"> 0.00% POS 관리시스템 백엔드 4/14-4/25 </v>
      </c>
      <c r="AO147" s="241"/>
      <c r="AP147" s="241"/>
      <c r="AQ147" s="241"/>
      <c r="AR147" s="241"/>
      <c r="AS147" s="241"/>
      <c r="AT147" s="241"/>
      <c r="AU147" s="241"/>
      <c r="AV147" s="241"/>
      <c r="AW147" s="241"/>
      <c r="AX147" s="241"/>
      <c r="AY147" s="241"/>
      <c r="AZ147" s="241"/>
      <c r="BA147" s="241"/>
      <c r="BB147" s="241"/>
      <c r="BC147" s="241"/>
      <c r="BD147" s="241"/>
      <c r="BE147" s="241"/>
      <c r="BF147" s="241"/>
      <c r="BG147" s="241"/>
      <c r="BH147" s="241"/>
      <c r="BI147" s="241"/>
      <c r="BJ147" s="241"/>
      <c r="BK147" s="241"/>
      <c r="BL147" s="241"/>
      <c r="BM147" s="241"/>
      <c r="BN147" s="241"/>
      <c r="BO147" s="241"/>
      <c r="BP147" s="241"/>
      <c r="BQ147" s="241"/>
      <c r="BR147" s="241"/>
      <c r="BS147" s="241"/>
      <c r="BT147" s="241"/>
      <c r="BU147" s="241"/>
      <c r="BV147" s="241"/>
      <c r="BW147" s="241"/>
      <c r="BX147" s="241"/>
      <c r="BY147" s="241"/>
      <c r="BZ147" s="241"/>
      <c r="CA147" s="241"/>
      <c r="CB147" s="241"/>
      <c r="CC147" s="241"/>
      <c r="CD147" s="241"/>
      <c r="CE147" s="241"/>
      <c r="CF147" s="241"/>
      <c r="CG147" s="241"/>
    </row>
    <row r="148" spans="1:85" ht="12" customHeight="1" outlineLevel="4">
      <c r="A148" s="227"/>
      <c r="B148" s="227"/>
      <c r="C148" s="227">
        <v>5</v>
      </c>
      <c r="D148" s="235" t="s">
        <v>1986</v>
      </c>
      <c r="E148" s="228"/>
      <c r="F148" s="228"/>
      <c r="G148" s="228"/>
      <c r="H148" s="228"/>
      <c r="I148" s="228" t="s">
        <v>1930</v>
      </c>
      <c r="J148" s="228"/>
      <c r="K148" s="228"/>
      <c r="L148" s="228"/>
      <c r="M148" s="228"/>
      <c r="N148" s="228"/>
      <c r="O148" s="228"/>
      <c r="P148" s="250">
        <v>45761</v>
      </c>
      <c r="Q148" s="250">
        <v>45772</v>
      </c>
      <c r="R148" s="228"/>
      <c r="S148" s="229">
        <v>10</v>
      </c>
      <c r="T148" s="229">
        <v>0</v>
      </c>
      <c r="U148" s="229">
        <v>10</v>
      </c>
      <c r="V148" s="229">
        <v>0</v>
      </c>
      <c r="W148" s="250"/>
      <c r="X148" s="250"/>
      <c r="Y148" s="230"/>
      <c r="Z148" s="231">
        <v>0</v>
      </c>
      <c r="AA148" s="229">
        <v>1</v>
      </c>
      <c r="AB148" s="228"/>
      <c r="AC148" s="191"/>
      <c r="AD148" s="234">
        <v>0</v>
      </c>
      <c r="AE148" s="253">
        <v>0</v>
      </c>
      <c r="AF148" s="240"/>
      <c r="AG148" s="241"/>
      <c r="AH148" s="241"/>
      <c r="AI148" s="241"/>
      <c r="AJ148" s="241"/>
      <c r="AK148" s="241"/>
      <c r="AL148" s="241"/>
      <c r="AM148" s="241"/>
      <c r="AN148" s="241" t="str">
        <f>" " &amp; TEXT(AE148,"#0.00%") &amp; " " &amp; "AWS API 중계 시스템 백엔드" &amp; " " &amp; IF(P148="","",TEXT(P148,"M/D-")) &amp; IF(Q148="","",TEXT(Q148,"M/D")) &amp; " "</f>
        <v xml:space="preserve"> 0.00% AWS API 중계 시스템 백엔드 4/14-4/25 </v>
      </c>
      <c r="AO148" s="241"/>
      <c r="AP148" s="241"/>
      <c r="AQ148" s="241"/>
      <c r="AR148" s="241"/>
      <c r="AS148" s="241"/>
      <c r="AT148" s="241"/>
      <c r="AU148" s="241"/>
      <c r="AV148" s="241"/>
      <c r="AW148" s="241"/>
      <c r="AX148" s="241"/>
      <c r="AY148" s="241"/>
      <c r="AZ148" s="241"/>
      <c r="BA148" s="241"/>
      <c r="BB148" s="241"/>
      <c r="BC148" s="241"/>
      <c r="BD148" s="241"/>
      <c r="BE148" s="241"/>
      <c r="BF148" s="241"/>
      <c r="BG148" s="241"/>
      <c r="BH148" s="241"/>
      <c r="BI148" s="241"/>
      <c r="BJ148" s="241"/>
      <c r="BK148" s="241"/>
      <c r="BL148" s="241"/>
      <c r="BM148" s="241"/>
      <c r="BN148" s="241"/>
      <c r="BO148" s="241"/>
      <c r="BP148" s="241"/>
      <c r="BQ148" s="241"/>
      <c r="BR148" s="241"/>
      <c r="BS148" s="241"/>
      <c r="BT148" s="241"/>
      <c r="BU148" s="241"/>
      <c r="BV148" s="241"/>
      <c r="BW148" s="241"/>
      <c r="BX148" s="241"/>
      <c r="BY148" s="241"/>
      <c r="BZ148" s="241"/>
      <c r="CA148" s="241"/>
      <c r="CB148" s="241"/>
      <c r="CC148" s="241"/>
      <c r="CD148" s="241"/>
      <c r="CE148" s="241"/>
      <c r="CF148" s="241"/>
      <c r="CG148" s="241"/>
    </row>
    <row r="149" spans="1:85" ht="12" customHeight="1" outlineLevel="4">
      <c r="A149" s="227"/>
      <c r="B149" s="227"/>
      <c r="C149" s="227">
        <v>5</v>
      </c>
      <c r="D149" s="235" t="s">
        <v>1987</v>
      </c>
      <c r="E149" s="228"/>
      <c r="F149" s="228"/>
      <c r="G149" s="228"/>
      <c r="H149" s="228"/>
      <c r="I149" s="228" t="s">
        <v>1932</v>
      </c>
      <c r="J149" s="228"/>
      <c r="K149" s="228"/>
      <c r="L149" s="228"/>
      <c r="M149" s="228"/>
      <c r="N149" s="228"/>
      <c r="O149" s="228"/>
      <c r="P149" s="250">
        <v>45775</v>
      </c>
      <c r="Q149" s="250">
        <v>45786</v>
      </c>
      <c r="R149" s="228"/>
      <c r="S149" s="229">
        <v>8</v>
      </c>
      <c r="T149" s="229">
        <v>0</v>
      </c>
      <c r="U149" s="229">
        <v>8</v>
      </c>
      <c r="V149" s="229">
        <v>0</v>
      </c>
      <c r="W149" s="250"/>
      <c r="X149" s="250"/>
      <c r="Y149" s="230"/>
      <c r="Z149" s="231">
        <v>0</v>
      </c>
      <c r="AA149" s="229">
        <v>1</v>
      </c>
      <c r="AB149" s="228"/>
      <c r="AC149" s="191"/>
      <c r="AD149" s="234">
        <v>0</v>
      </c>
      <c r="AE149" s="253">
        <v>0</v>
      </c>
      <c r="AF149" s="240"/>
      <c r="AG149" s="241"/>
      <c r="AH149" s="241"/>
      <c r="AI149" s="241"/>
      <c r="AJ149" s="241"/>
      <c r="AK149" s="241"/>
      <c r="AL149" s="241"/>
      <c r="AM149" s="241"/>
      <c r="AN149" s="241"/>
      <c r="AO149" s="241"/>
      <c r="AP149" s="241" t="str">
        <f>" " &amp; TEXT(AE149,"#0.00%") &amp; " " &amp; "온프라미스 API 시스템 백엔드" &amp; " " &amp; IF(P149="","",TEXT(P149,"M/D-")) &amp; IF(Q149="","",TEXT(Q149,"M/D")) &amp; " "</f>
        <v xml:space="preserve"> 0.00% 온프라미스 API 시스템 백엔드 4/28-5/9 </v>
      </c>
      <c r="AQ149" s="241"/>
      <c r="AR149" s="241"/>
      <c r="AS149" s="241"/>
      <c r="AT149" s="241"/>
      <c r="AU149" s="241"/>
      <c r="AV149" s="241"/>
      <c r="AW149" s="241"/>
      <c r="AX149" s="241"/>
      <c r="AY149" s="241"/>
      <c r="AZ149" s="241"/>
      <c r="BA149" s="241"/>
      <c r="BB149" s="241"/>
      <c r="BC149" s="241"/>
      <c r="BD149" s="241"/>
      <c r="BE149" s="241"/>
      <c r="BF149" s="241"/>
      <c r="BG149" s="241"/>
      <c r="BH149" s="241"/>
      <c r="BI149" s="241"/>
      <c r="BJ149" s="241"/>
      <c r="BK149" s="241"/>
      <c r="BL149" s="241"/>
      <c r="BM149" s="241"/>
      <c r="BN149" s="241"/>
      <c r="BO149" s="241"/>
      <c r="BP149" s="241"/>
      <c r="BQ149" s="241"/>
      <c r="BR149" s="241"/>
      <c r="BS149" s="241"/>
      <c r="BT149" s="241"/>
      <c r="BU149" s="241"/>
      <c r="BV149" s="241"/>
      <c r="BW149" s="241"/>
      <c r="BX149" s="241"/>
      <c r="BY149" s="241"/>
      <c r="BZ149" s="241"/>
      <c r="CA149" s="241"/>
      <c r="CB149" s="241"/>
      <c r="CC149" s="241"/>
      <c r="CD149" s="241"/>
      <c r="CE149" s="241"/>
      <c r="CF149" s="241"/>
      <c r="CG149" s="241"/>
    </row>
    <row r="150" spans="1:85" ht="12" customHeight="1" outlineLevel="3">
      <c r="A150" s="227"/>
      <c r="B150" s="227" t="s">
        <v>1766</v>
      </c>
      <c r="C150" s="227">
        <v>4</v>
      </c>
      <c r="D150" s="235" t="s">
        <v>1988</v>
      </c>
      <c r="E150" s="228"/>
      <c r="F150" s="228"/>
      <c r="G150" s="228"/>
      <c r="H150" s="228" t="s">
        <v>1942</v>
      </c>
      <c r="I150" s="228"/>
      <c r="J150" s="228"/>
      <c r="K150" s="228"/>
      <c r="L150" s="228"/>
      <c r="M150" s="228"/>
      <c r="N150" s="228"/>
      <c r="O150" s="228"/>
      <c r="P150" s="250">
        <v>45747</v>
      </c>
      <c r="Q150" s="250">
        <v>45779</v>
      </c>
      <c r="R150" s="228"/>
      <c r="S150" s="229">
        <v>24</v>
      </c>
      <c r="T150" s="229">
        <v>0</v>
      </c>
      <c r="U150" s="229">
        <v>24</v>
      </c>
      <c r="V150" s="229">
        <v>0</v>
      </c>
      <c r="W150" s="250"/>
      <c r="X150" s="250"/>
      <c r="Y150" s="230">
        <v>0</v>
      </c>
      <c r="Z150" s="231">
        <v>0</v>
      </c>
      <c r="AA150" s="229"/>
      <c r="AB150" s="228"/>
      <c r="AC150" s="191"/>
      <c r="AD150" s="234">
        <v>0</v>
      </c>
      <c r="AE150" s="254">
        <v>0</v>
      </c>
      <c r="AF150" s="240"/>
      <c r="AG150" s="241"/>
      <c r="AH150" s="241"/>
      <c r="AI150" s="241"/>
      <c r="AJ150" s="241"/>
      <c r="AK150" s="241"/>
      <c r="AL150" s="241" t="str">
        <f>" " &amp; TEXT(AE150,"#0.00%") &amp; " "</f>
        <v xml:space="preserve"> 0.00% </v>
      </c>
      <c r="AM150" s="241"/>
      <c r="AN150" s="241"/>
      <c r="AO150" s="241"/>
      <c r="AP150" s="241" t="str">
        <f>"      " &amp; "로깅&amp;모니터링" &amp; " " &amp; IF(P150="","",TEXT(P150,"M/D-")) &amp; IF(Q150="","",TEXT(Q150,"M/D")) &amp; " "</f>
        <v xml:space="preserve">      로깅&amp;모니터링 3/31-5/2 </v>
      </c>
      <c r="AQ150" s="241"/>
      <c r="AR150" s="241"/>
      <c r="AS150" s="241"/>
      <c r="AT150" s="241"/>
      <c r="AU150" s="241"/>
      <c r="AV150" s="241"/>
      <c r="AW150" s="241"/>
      <c r="AX150" s="241"/>
      <c r="AY150" s="241"/>
      <c r="AZ150" s="241"/>
      <c r="BA150" s="241"/>
      <c r="BB150" s="241"/>
      <c r="BC150" s="241"/>
      <c r="BD150" s="241"/>
      <c r="BE150" s="241"/>
      <c r="BF150" s="241"/>
      <c r="BG150" s="241"/>
      <c r="BH150" s="241"/>
      <c r="BI150" s="241"/>
      <c r="BJ150" s="241"/>
      <c r="BK150" s="241"/>
      <c r="BL150" s="241"/>
      <c r="BM150" s="241"/>
      <c r="BN150" s="241"/>
      <c r="BO150" s="241"/>
      <c r="BP150" s="241"/>
      <c r="BQ150" s="241"/>
      <c r="BR150" s="241"/>
      <c r="BS150" s="241"/>
      <c r="BT150" s="241"/>
      <c r="BU150" s="241"/>
      <c r="BV150" s="241"/>
      <c r="BW150" s="241"/>
      <c r="BX150" s="241"/>
      <c r="BY150" s="241"/>
      <c r="BZ150" s="241"/>
      <c r="CA150" s="241"/>
      <c r="CB150" s="241"/>
      <c r="CC150" s="241"/>
      <c r="CD150" s="241"/>
      <c r="CE150" s="241"/>
      <c r="CF150" s="241"/>
      <c r="CG150" s="241"/>
    </row>
    <row r="151" spans="1:85" ht="12" customHeight="1" outlineLevel="4">
      <c r="A151" s="227"/>
      <c r="B151" s="227"/>
      <c r="C151" s="227">
        <v>5</v>
      </c>
      <c r="D151" s="235" t="s">
        <v>1989</v>
      </c>
      <c r="E151" s="228"/>
      <c r="F151" s="228"/>
      <c r="G151" s="228"/>
      <c r="H151" s="228"/>
      <c r="I151" s="228" t="s">
        <v>1943</v>
      </c>
      <c r="J151" s="228"/>
      <c r="K151" s="228"/>
      <c r="L151" s="228"/>
      <c r="M151" s="228"/>
      <c r="N151" s="228"/>
      <c r="O151" s="228"/>
      <c r="P151" s="250">
        <v>45747</v>
      </c>
      <c r="Q151" s="250">
        <v>45779</v>
      </c>
      <c r="R151" s="228"/>
      <c r="S151" s="229">
        <v>12</v>
      </c>
      <c r="T151" s="229">
        <v>0</v>
      </c>
      <c r="U151" s="229">
        <v>24</v>
      </c>
      <c r="V151" s="229">
        <v>0</v>
      </c>
      <c r="W151" s="250"/>
      <c r="X151" s="250"/>
      <c r="Y151" s="230"/>
      <c r="Z151" s="231">
        <v>0</v>
      </c>
      <c r="AA151" s="229">
        <v>0.5</v>
      </c>
      <c r="AB151" s="228"/>
      <c r="AC151" s="191"/>
      <c r="AD151" s="234">
        <v>0</v>
      </c>
      <c r="AE151" s="253">
        <v>0</v>
      </c>
      <c r="AF151" s="240"/>
      <c r="AG151" s="241"/>
      <c r="AH151" s="241"/>
      <c r="AI151" s="241"/>
      <c r="AJ151" s="241"/>
      <c r="AK151" s="241"/>
      <c r="AL151" s="241" t="str">
        <f>" " &amp; TEXT(AE151,"#0.00%") &amp; " "</f>
        <v xml:space="preserve"> 0.00% </v>
      </c>
      <c r="AM151" s="241"/>
      <c r="AN151" s="241"/>
      <c r="AO151" s="241"/>
      <c r="AP151" s="241" t="str">
        <f>"      " &amp; "제니퍼 구성" &amp; " " &amp; IF(P151="","",TEXT(P151,"M/D-")) &amp; IF(Q151="","",TEXT(Q151,"M/D")) &amp; " "</f>
        <v xml:space="preserve">      제니퍼 구성 3/31-5/2 </v>
      </c>
      <c r="AQ151" s="241"/>
      <c r="AR151" s="241"/>
      <c r="AS151" s="241"/>
      <c r="AT151" s="241"/>
      <c r="AU151" s="241"/>
      <c r="AV151" s="241"/>
      <c r="AW151" s="241"/>
      <c r="AX151" s="241"/>
      <c r="AY151" s="241"/>
      <c r="AZ151" s="241"/>
      <c r="BA151" s="241"/>
      <c r="BB151" s="241"/>
      <c r="BC151" s="241"/>
      <c r="BD151" s="241"/>
      <c r="BE151" s="241"/>
      <c r="BF151" s="241"/>
      <c r="BG151" s="241"/>
      <c r="BH151" s="241"/>
      <c r="BI151" s="241"/>
      <c r="BJ151" s="241"/>
      <c r="BK151" s="241"/>
      <c r="BL151" s="241"/>
      <c r="BM151" s="241"/>
      <c r="BN151" s="241"/>
      <c r="BO151" s="241"/>
      <c r="BP151" s="241"/>
      <c r="BQ151" s="241"/>
      <c r="BR151" s="241"/>
      <c r="BS151" s="241"/>
      <c r="BT151" s="241"/>
      <c r="BU151" s="241"/>
      <c r="BV151" s="241"/>
      <c r="BW151" s="241"/>
      <c r="BX151" s="241"/>
      <c r="BY151" s="241"/>
      <c r="BZ151" s="241"/>
      <c r="CA151" s="241"/>
      <c r="CB151" s="241"/>
      <c r="CC151" s="241"/>
      <c r="CD151" s="241"/>
      <c r="CE151" s="241"/>
      <c r="CF151" s="241"/>
      <c r="CG151" s="241"/>
    </row>
    <row r="152" spans="1:85" ht="12" customHeight="1" outlineLevel="4">
      <c r="A152" s="227"/>
      <c r="B152" s="227"/>
      <c r="C152" s="227">
        <v>5</v>
      </c>
      <c r="D152" s="235" t="s">
        <v>1990</v>
      </c>
      <c r="E152" s="228"/>
      <c r="F152" s="228"/>
      <c r="G152" s="228"/>
      <c r="H152" s="228"/>
      <c r="I152" s="228" t="s">
        <v>1944</v>
      </c>
      <c r="J152" s="228"/>
      <c r="K152" s="228"/>
      <c r="L152" s="228"/>
      <c r="M152" s="228"/>
      <c r="N152" s="228"/>
      <c r="O152" s="228"/>
      <c r="P152" s="250">
        <v>45747</v>
      </c>
      <c r="Q152" s="250">
        <v>45779</v>
      </c>
      <c r="R152" s="228"/>
      <c r="S152" s="229">
        <v>12</v>
      </c>
      <c r="T152" s="229">
        <v>0</v>
      </c>
      <c r="U152" s="229">
        <v>24</v>
      </c>
      <c r="V152" s="229">
        <v>0</v>
      </c>
      <c r="W152" s="250"/>
      <c r="X152" s="250"/>
      <c r="Y152" s="230"/>
      <c r="Z152" s="231">
        <v>0</v>
      </c>
      <c r="AA152" s="229">
        <v>0.5</v>
      </c>
      <c r="AB152" s="228"/>
      <c r="AC152" s="191"/>
      <c r="AD152" s="234">
        <v>0</v>
      </c>
      <c r="AE152" s="253">
        <v>0</v>
      </c>
      <c r="AF152" s="240"/>
      <c r="AG152" s="241"/>
      <c r="AH152" s="241"/>
      <c r="AI152" s="241"/>
      <c r="AJ152" s="241"/>
      <c r="AK152" s="241"/>
      <c r="AL152" s="241" t="str">
        <f>" " &amp; TEXT(AE152,"#0.00%") &amp; " "</f>
        <v xml:space="preserve"> 0.00% </v>
      </c>
      <c r="AM152" s="241"/>
      <c r="AN152" s="241"/>
      <c r="AO152" s="241"/>
      <c r="AP152" s="241" t="str">
        <f>"      " &amp; "AWS OpenSearch 구성" &amp; " " &amp; IF(P152="","",TEXT(P152,"M/D-")) &amp; IF(Q152="","",TEXT(Q152,"M/D")) &amp; " "</f>
        <v xml:space="preserve">      AWS OpenSearch 구성 3/31-5/2 </v>
      </c>
      <c r="AQ152" s="241"/>
      <c r="AR152" s="241"/>
      <c r="AS152" s="241"/>
      <c r="AT152" s="241"/>
      <c r="AU152" s="241"/>
      <c r="AV152" s="241"/>
      <c r="AW152" s="241"/>
      <c r="AX152" s="241"/>
      <c r="AY152" s="241"/>
      <c r="AZ152" s="241"/>
      <c r="BA152" s="241"/>
      <c r="BB152" s="241"/>
      <c r="BC152" s="241"/>
      <c r="BD152" s="241"/>
      <c r="BE152" s="241"/>
      <c r="BF152" s="241"/>
      <c r="BG152" s="241"/>
      <c r="BH152" s="241"/>
      <c r="BI152" s="241"/>
      <c r="BJ152" s="241"/>
      <c r="BK152" s="241"/>
      <c r="BL152" s="241"/>
      <c r="BM152" s="241"/>
      <c r="BN152" s="241"/>
      <c r="BO152" s="241"/>
      <c r="BP152" s="241"/>
      <c r="BQ152" s="241"/>
      <c r="BR152" s="241"/>
      <c r="BS152" s="241"/>
      <c r="BT152" s="241"/>
      <c r="BU152" s="241"/>
      <c r="BV152" s="241"/>
      <c r="BW152" s="241"/>
      <c r="BX152" s="241"/>
      <c r="BY152" s="241"/>
      <c r="BZ152" s="241"/>
      <c r="CA152" s="241"/>
      <c r="CB152" s="241"/>
      <c r="CC152" s="241"/>
      <c r="CD152" s="241"/>
      <c r="CE152" s="241"/>
      <c r="CF152" s="241"/>
      <c r="CG152" s="241"/>
    </row>
    <row r="153" spans="1:85" ht="12" customHeight="1" outlineLevel="2">
      <c r="A153" s="227"/>
      <c r="B153" s="227" t="s">
        <v>1766</v>
      </c>
      <c r="C153" s="227">
        <v>3</v>
      </c>
      <c r="D153" s="235" t="s">
        <v>1488</v>
      </c>
      <c r="E153" s="228"/>
      <c r="F153" s="228"/>
      <c r="G153" s="228" t="s">
        <v>1945</v>
      </c>
      <c r="H153" s="228"/>
      <c r="I153" s="228"/>
      <c r="J153" s="228"/>
      <c r="K153" s="228"/>
      <c r="L153" s="228"/>
      <c r="M153" s="228"/>
      <c r="N153" s="228"/>
      <c r="O153" s="228"/>
      <c r="P153" s="250">
        <v>45831</v>
      </c>
      <c r="Q153" s="250">
        <v>45863</v>
      </c>
      <c r="R153" s="228"/>
      <c r="S153" s="229">
        <v>105</v>
      </c>
      <c r="T153" s="229">
        <v>0</v>
      </c>
      <c r="U153" s="229">
        <v>25</v>
      </c>
      <c r="V153" s="229">
        <v>0</v>
      </c>
      <c r="W153" s="250"/>
      <c r="X153" s="250"/>
      <c r="Y153" s="230">
        <v>0</v>
      </c>
      <c r="Z153" s="231">
        <v>0</v>
      </c>
      <c r="AA153" s="229"/>
      <c r="AB153" s="228"/>
      <c r="AC153" s="191"/>
      <c r="AD153" s="234">
        <v>0</v>
      </c>
      <c r="AE153" s="254">
        <v>0</v>
      </c>
      <c r="AF153" s="240"/>
      <c r="AG153" s="241"/>
      <c r="AH153" s="241"/>
      <c r="AI153" s="241"/>
      <c r="AJ153" s="241"/>
      <c r="AK153" s="241"/>
      <c r="AL153" s="241"/>
      <c r="AM153" s="241"/>
      <c r="AN153" s="241"/>
      <c r="AO153" s="241"/>
      <c r="AP153" s="241"/>
      <c r="AQ153" s="241"/>
      <c r="AR153" s="241"/>
      <c r="AS153" s="241"/>
      <c r="AT153" s="241"/>
      <c r="AU153" s="241"/>
      <c r="AV153" s="241"/>
      <c r="AW153" s="241"/>
      <c r="AX153" s="241" t="str">
        <f>" " &amp; TEXT(AE153,"#0.00%") &amp; " "</f>
        <v xml:space="preserve"> 0.00% </v>
      </c>
      <c r="AY153" s="241"/>
      <c r="AZ153" s="241"/>
      <c r="BA153" s="241"/>
      <c r="BB153" s="241" t="str">
        <f>"      " &amp; "운영 환경" &amp; " " &amp; IF(P153="","",TEXT(P153,"M/D-")) &amp; IF(Q153="","",TEXT(Q153,"M/D")) &amp; " "</f>
        <v xml:space="preserve">      운영 환경 6/23-7/25 </v>
      </c>
      <c r="BC153" s="241"/>
      <c r="BD153" s="241"/>
      <c r="BE153" s="241"/>
      <c r="BF153" s="241"/>
      <c r="BG153" s="241"/>
      <c r="BH153" s="241"/>
      <c r="BI153" s="241"/>
      <c r="BJ153" s="241"/>
      <c r="BK153" s="241"/>
      <c r="BL153" s="241"/>
      <c r="BM153" s="241"/>
      <c r="BN153" s="241"/>
      <c r="BO153" s="241"/>
      <c r="BP153" s="241"/>
      <c r="BQ153" s="241"/>
      <c r="BR153" s="241"/>
      <c r="BS153" s="241"/>
      <c r="BT153" s="241"/>
      <c r="BU153" s="241"/>
      <c r="BV153" s="241"/>
      <c r="BW153" s="241"/>
      <c r="BX153" s="241"/>
      <c r="BY153" s="241"/>
      <c r="BZ153" s="241"/>
      <c r="CA153" s="241"/>
      <c r="CB153" s="241"/>
      <c r="CC153" s="241"/>
      <c r="CD153" s="241"/>
      <c r="CE153" s="241"/>
      <c r="CF153" s="241"/>
      <c r="CG153" s="241"/>
    </row>
    <row r="154" spans="1:85" ht="12" customHeight="1" outlineLevel="3">
      <c r="A154" s="227"/>
      <c r="B154" s="227" t="s">
        <v>1766</v>
      </c>
      <c r="C154" s="227">
        <v>4</v>
      </c>
      <c r="D154" s="235" t="s">
        <v>1489</v>
      </c>
      <c r="E154" s="228"/>
      <c r="F154" s="228"/>
      <c r="G154" s="228"/>
      <c r="H154" s="228" t="s">
        <v>1935</v>
      </c>
      <c r="I154" s="228"/>
      <c r="J154" s="228"/>
      <c r="K154" s="228"/>
      <c r="L154" s="228"/>
      <c r="M154" s="228"/>
      <c r="N154" s="228"/>
      <c r="O154" s="228"/>
      <c r="P154" s="250">
        <v>45831</v>
      </c>
      <c r="Q154" s="250">
        <v>45863</v>
      </c>
      <c r="R154" s="228"/>
      <c r="S154" s="229">
        <v>45</v>
      </c>
      <c r="T154" s="229">
        <v>0</v>
      </c>
      <c r="U154" s="229">
        <v>25</v>
      </c>
      <c r="V154" s="229">
        <v>0</v>
      </c>
      <c r="W154" s="250"/>
      <c r="X154" s="250"/>
      <c r="Y154" s="230">
        <v>0</v>
      </c>
      <c r="Z154" s="231">
        <v>0</v>
      </c>
      <c r="AA154" s="229"/>
      <c r="AB154" s="228"/>
      <c r="AC154" s="191"/>
      <c r="AD154" s="234">
        <v>0</v>
      </c>
      <c r="AE154" s="254">
        <v>0</v>
      </c>
      <c r="AF154" s="240"/>
      <c r="AG154" s="241"/>
      <c r="AH154" s="241"/>
      <c r="AI154" s="241"/>
      <c r="AJ154" s="241"/>
      <c r="AK154" s="241"/>
      <c r="AL154" s="241"/>
      <c r="AM154" s="241"/>
      <c r="AN154" s="241"/>
      <c r="AO154" s="241"/>
      <c r="AP154" s="241"/>
      <c r="AQ154" s="241"/>
      <c r="AR154" s="241"/>
      <c r="AS154" s="241"/>
      <c r="AT154" s="241"/>
      <c r="AU154" s="241"/>
      <c r="AV154" s="241"/>
      <c r="AW154" s="241"/>
      <c r="AX154" s="241" t="str">
        <f>" " &amp; TEXT(AE154,"#0.00%") &amp; " "</f>
        <v xml:space="preserve"> 0.00% </v>
      </c>
      <c r="AY154" s="241"/>
      <c r="AZ154" s="241"/>
      <c r="BA154" s="241"/>
      <c r="BB154" s="241" t="str">
        <f>"      " &amp; "클라우드 서비스 구성 " &amp; " " &amp; IF(P154="","",TEXT(P154,"M/D-")) &amp; IF(Q154="","",TEXT(Q154,"M/D")) &amp; " "</f>
        <v xml:space="preserve">      클라우드 서비스 구성  6/23-7/25 </v>
      </c>
      <c r="BC154" s="241"/>
      <c r="BD154" s="241"/>
      <c r="BE154" s="241"/>
      <c r="BF154" s="241"/>
      <c r="BG154" s="241"/>
      <c r="BH154" s="241"/>
      <c r="BI154" s="241"/>
      <c r="BJ154" s="241"/>
      <c r="BK154" s="241"/>
      <c r="BL154" s="241"/>
      <c r="BM154" s="241"/>
      <c r="BN154" s="241"/>
      <c r="BO154" s="241"/>
      <c r="BP154" s="241"/>
      <c r="BQ154" s="241"/>
      <c r="BR154" s="241"/>
      <c r="BS154" s="241"/>
      <c r="BT154" s="241"/>
      <c r="BU154" s="241"/>
      <c r="BV154" s="241"/>
      <c r="BW154" s="241"/>
      <c r="BX154" s="241"/>
      <c r="BY154" s="241"/>
      <c r="BZ154" s="241"/>
      <c r="CA154" s="241"/>
      <c r="CB154" s="241"/>
      <c r="CC154" s="241"/>
      <c r="CD154" s="241"/>
      <c r="CE154" s="241"/>
      <c r="CF154" s="241"/>
      <c r="CG154" s="241"/>
    </row>
    <row r="155" spans="1:85" ht="12" customHeight="1" outlineLevel="4">
      <c r="A155" s="227"/>
      <c r="B155" s="227"/>
      <c r="C155" s="227">
        <v>5</v>
      </c>
      <c r="D155" s="235" t="s">
        <v>1991</v>
      </c>
      <c r="E155" s="228"/>
      <c r="F155" s="228"/>
      <c r="G155" s="228"/>
      <c r="H155" s="228"/>
      <c r="I155" s="228" t="s">
        <v>1936</v>
      </c>
      <c r="J155" s="228"/>
      <c r="K155" s="228"/>
      <c r="L155" s="228"/>
      <c r="M155" s="228"/>
      <c r="N155" s="228"/>
      <c r="O155" s="228"/>
      <c r="P155" s="250">
        <v>45831</v>
      </c>
      <c r="Q155" s="250">
        <v>45842</v>
      </c>
      <c r="R155" s="228"/>
      <c r="S155" s="229">
        <v>10</v>
      </c>
      <c r="T155" s="229">
        <v>0</v>
      </c>
      <c r="U155" s="229">
        <v>10</v>
      </c>
      <c r="V155" s="229">
        <v>0</v>
      </c>
      <c r="W155" s="250"/>
      <c r="X155" s="250"/>
      <c r="Y155" s="230"/>
      <c r="Z155" s="231">
        <v>0</v>
      </c>
      <c r="AA155" s="229">
        <v>1</v>
      </c>
      <c r="AB155" s="228"/>
      <c r="AC155" s="191"/>
      <c r="AD155" s="234">
        <v>0</v>
      </c>
      <c r="AE155" s="253">
        <v>0</v>
      </c>
      <c r="AF155" s="240"/>
      <c r="AG155" s="241"/>
      <c r="AH155" s="241"/>
      <c r="AI155" s="241"/>
      <c r="AJ155" s="241"/>
      <c r="AK155" s="241"/>
      <c r="AL155" s="241"/>
      <c r="AM155" s="241"/>
      <c r="AN155" s="241"/>
      <c r="AO155" s="241"/>
      <c r="AP155" s="241"/>
      <c r="AQ155" s="241"/>
      <c r="AR155" s="241"/>
      <c r="AS155" s="241"/>
      <c r="AT155" s="241"/>
      <c r="AU155" s="241"/>
      <c r="AV155" s="241"/>
      <c r="AW155" s="241"/>
      <c r="AX155" s="241" t="str">
        <f>" " &amp; TEXT(AE155,"#0.00%") &amp; " " &amp; "네트워크 및 보안 구성" &amp; " " &amp; IF(P155="","",TEXT(P155,"M/D-")) &amp; IF(Q155="","",TEXT(Q155,"M/D")) &amp; " "</f>
        <v xml:space="preserve"> 0.00% 네트워크 및 보안 구성 6/23-7/4 </v>
      </c>
      <c r="AY155" s="241"/>
      <c r="AZ155" s="241"/>
      <c r="BA155" s="241"/>
      <c r="BB155" s="241"/>
      <c r="BC155" s="241"/>
      <c r="BD155" s="241"/>
      <c r="BE155" s="241"/>
      <c r="BF155" s="241"/>
      <c r="BG155" s="241"/>
      <c r="BH155" s="241"/>
      <c r="BI155" s="241"/>
      <c r="BJ155" s="241"/>
      <c r="BK155" s="241"/>
      <c r="BL155" s="241"/>
      <c r="BM155" s="241"/>
      <c r="BN155" s="241"/>
      <c r="BO155" s="241"/>
      <c r="BP155" s="241"/>
      <c r="BQ155" s="241"/>
      <c r="BR155" s="241"/>
      <c r="BS155" s="241"/>
      <c r="BT155" s="241"/>
      <c r="BU155" s="241"/>
      <c r="BV155" s="241"/>
      <c r="BW155" s="241"/>
      <c r="BX155" s="241"/>
      <c r="BY155" s="241"/>
      <c r="BZ155" s="241"/>
      <c r="CA155" s="241"/>
      <c r="CB155" s="241"/>
      <c r="CC155" s="241"/>
      <c r="CD155" s="241"/>
      <c r="CE155" s="241"/>
      <c r="CF155" s="241"/>
      <c r="CG155" s="241"/>
    </row>
    <row r="156" spans="1:85" ht="12" customHeight="1" outlineLevel="4">
      <c r="A156" s="227"/>
      <c r="B156" s="227"/>
      <c r="C156" s="227">
        <v>5</v>
      </c>
      <c r="D156" s="235" t="s">
        <v>1992</v>
      </c>
      <c r="E156" s="228"/>
      <c r="F156" s="228"/>
      <c r="G156" s="228"/>
      <c r="H156" s="228"/>
      <c r="I156" s="228" t="s">
        <v>1937</v>
      </c>
      <c r="J156" s="228"/>
      <c r="K156" s="228"/>
      <c r="L156" s="228"/>
      <c r="M156" s="228"/>
      <c r="N156" s="228"/>
      <c r="O156" s="228"/>
      <c r="P156" s="250">
        <v>45831</v>
      </c>
      <c r="Q156" s="250">
        <v>45849</v>
      </c>
      <c r="R156" s="228"/>
      <c r="S156" s="229">
        <v>15</v>
      </c>
      <c r="T156" s="229">
        <v>0</v>
      </c>
      <c r="U156" s="229">
        <v>15</v>
      </c>
      <c r="V156" s="229">
        <v>0</v>
      </c>
      <c r="W156" s="250"/>
      <c r="X156" s="250"/>
      <c r="Y156" s="230"/>
      <c r="Z156" s="231">
        <v>0</v>
      </c>
      <c r="AA156" s="229">
        <v>1</v>
      </c>
      <c r="AB156" s="228"/>
      <c r="AC156" s="191"/>
      <c r="AD156" s="234">
        <v>0</v>
      </c>
      <c r="AE156" s="253">
        <v>0</v>
      </c>
      <c r="AF156" s="240"/>
      <c r="AG156" s="241"/>
      <c r="AH156" s="241"/>
      <c r="AI156" s="241"/>
      <c r="AJ156" s="241"/>
      <c r="AK156" s="241"/>
      <c r="AL156" s="241"/>
      <c r="AM156" s="241"/>
      <c r="AN156" s="241"/>
      <c r="AO156" s="241"/>
      <c r="AP156" s="241"/>
      <c r="AQ156" s="241"/>
      <c r="AR156" s="241"/>
      <c r="AS156" s="241"/>
      <c r="AT156" s="241"/>
      <c r="AU156" s="241"/>
      <c r="AV156" s="241"/>
      <c r="AW156" s="241"/>
      <c r="AX156" s="241" t="str">
        <f>" " &amp; TEXT(AE156,"#0.00%") &amp; " " &amp; "ECS 구성 " &amp; " " &amp; IF(P156="","",TEXT(P156,"M/D-")) &amp; IF(Q156="","",TEXT(Q156,"M/D")) &amp; " "</f>
        <v xml:space="preserve"> 0.00% ECS 구성  6/23-7/11 </v>
      </c>
      <c r="AY156" s="241"/>
      <c r="AZ156" s="241"/>
      <c r="BA156" s="241"/>
      <c r="BB156" s="241"/>
      <c r="BC156" s="241"/>
      <c r="BD156" s="241"/>
      <c r="BE156" s="241"/>
      <c r="BF156" s="241"/>
      <c r="BG156" s="241"/>
      <c r="BH156" s="241"/>
      <c r="BI156" s="241"/>
      <c r="BJ156" s="241"/>
      <c r="BK156" s="241"/>
      <c r="BL156" s="241"/>
      <c r="BM156" s="241"/>
      <c r="BN156" s="241"/>
      <c r="BO156" s="241"/>
      <c r="BP156" s="241"/>
      <c r="BQ156" s="241"/>
      <c r="BR156" s="241"/>
      <c r="BS156" s="241"/>
      <c r="BT156" s="241"/>
      <c r="BU156" s="241"/>
      <c r="BV156" s="241"/>
      <c r="BW156" s="241"/>
      <c r="BX156" s="241"/>
      <c r="BY156" s="241"/>
      <c r="BZ156" s="241"/>
      <c r="CA156" s="241"/>
      <c r="CB156" s="241"/>
      <c r="CC156" s="241"/>
      <c r="CD156" s="241"/>
      <c r="CE156" s="241"/>
      <c r="CF156" s="241"/>
      <c r="CG156" s="241"/>
    </row>
    <row r="157" spans="1:85" ht="12" customHeight="1" outlineLevel="4">
      <c r="A157" s="227"/>
      <c r="B157" s="227"/>
      <c r="C157" s="227">
        <v>5</v>
      </c>
      <c r="D157" s="235" t="s">
        <v>1993</v>
      </c>
      <c r="E157" s="228"/>
      <c r="F157" s="228"/>
      <c r="G157" s="228"/>
      <c r="H157" s="228"/>
      <c r="I157" s="228" t="s">
        <v>1938</v>
      </c>
      <c r="J157" s="228"/>
      <c r="K157" s="228"/>
      <c r="L157" s="228"/>
      <c r="M157" s="228"/>
      <c r="N157" s="228"/>
      <c r="O157" s="228"/>
      <c r="P157" s="250">
        <v>45831</v>
      </c>
      <c r="Q157" s="250">
        <v>45849</v>
      </c>
      <c r="R157" s="228"/>
      <c r="S157" s="229">
        <v>15</v>
      </c>
      <c r="T157" s="229">
        <v>0</v>
      </c>
      <c r="U157" s="229">
        <v>15</v>
      </c>
      <c r="V157" s="229">
        <v>0</v>
      </c>
      <c r="W157" s="250"/>
      <c r="X157" s="250"/>
      <c r="Y157" s="230"/>
      <c r="Z157" s="231">
        <v>0</v>
      </c>
      <c r="AA157" s="229">
        <v>1</v>
      </c>
      <c r="AB157" s="228"/>
      <c r="AC157" s="191"/>
      <c r="AD157" s="234">
        <v>0</v>
      </c>
      <c r="AE157" s="253">
        <v>0</v>
      </c>
      <c r="AF157" s="240"/>
      <c r="AG157" s="241"/>
      <c r="AH157" s="241"/>
      <c r="AI157" s="241"/>
      <c r="AJ157" s="241"/>
      <c r="AK157" s="241"/>
      <c r="AL157" s="241"/>
      <c r="AM157" s="241"/>
      <c r="AN157" s="241"/>
      <c r="AO157" s="241"/>
      <c r="AP157" s="241"/>
      <c r="AQ157" s="241"/>
      <c r="AR157" s="241"/>
      <c r="AS157" s="241"/>
      <c r="AT157" s="241"/>
      <c r="AU157" s="241"/>
      <c r="AV157" s="241"/>
      <c r="AW157" s="241"/>
      <c r="AX157" s="241" t="str">
        <f>" " &amp; TEXT(AE157,"#0.00%") &amp; " " &amp; "Database 구성 (Aurora PostgreSQL)" &amp; " " &amp; IF(P157="","",TEXT(P157,"M/D-")) &amp; IF(Q157="","",TEXT(Q157,"M/D")) &amp; " "</f>
        <v xml:space="preserve"> 0.00% Database 구성 (Aurora PostgreSQL) 6/23-7/11 </v>
      </c>
      <c r="AY157" s="241"/>
      <c r="AZ157" s="241"/>
      <c r="BA157" s="241"/>
      <c r="BB157" s="241"/>
      <c r="BC157" s="241"/>
      <c r="BD157" s="241"/>
      <c r="BE157" s="241"/>
      <c r="BF157" s="241"/>
      <c r="BG157" s="241"/>
      <c r="BH157" s="241"/>
      <c r="BI157" s="241"/>
      <c r="BJ157" s="241"/>
      <c r="BK157" s="241"/>
      <c r="BL157" s="241"/>
      <c r="BM157" s="241"/>
      <c r="BN157" s="241"/>
      <c r="BO157" s="241"/>
      <c r="BP157" s="241"/>
      <c r="BQ157" s="241"/>
      <c r="BR157" s="241"/>
      <c r="BS157" s="241"/>
      <c r="BT157" s="241"/>
      <c r="BU157" s="241"/>
      <c r="BV157" s="241"/>
      <c r="BW157" s="241"/>
      <c r="BX157" s="241"/>
      <c r="BY157" s="241"/>
      <c r="BZ157" s="241"/>
      <c r="CA157" s="241"/>
      <c r="CB157" s="241"/>
      <c r="CC157" s="241"/>
      <c r="CD157" s="241"/>
      <c r="CE157" s="241"/>
      <c r="CF157" s="241"/>
      <c r="CG157" s="241"/>
    </row>
    <row r="158" spans="1:85" ht="12" customHeight="1" outlineLevel="4">
      <c r="A158" s="227"/>
      <c r="B158" s="227"/>
      <c r="C158" s="227">
        <v>5</v>
      </c>
      <c r="D158" s="235" t="s">
        <v>1994</v>
      </c>
      <c r="E158" s="228"/>
      <c r="F158" s="228"/>
      <c r="G158" s="228"/>
      <c r="H158" s="228"/>
      <c r="I158" s="228" t="s">
        <v>1946</v>
      </c>
      <c r="J158" s="228"/>
      <c r="K158" s="228"/>
      <c r="L158" s="228"/>
      <c r="M158" s="228"/>
      <c r="N158" s="228"/>
      <c r="O158" s="228"/>
      <c r="P158" s="250">
        <v>45852</v>
      </c>
      <c r="Q158" s="250">
        <v>45863</v>
      </c>
      <c r="R158" s="228"/>
      <c r="S158" s="229">
        <v>5</v>
      </c>
      <c r="T158" s="229">
        <v>0</v>
      </c>
      <c r="U158" s="229">
        <v>10</v>
      </c>
      <c r="V158" s="229">
        <v>0</v>
      </c>
      <c r="W158" s="250"/>
      <c r="X158" s="250"/>
      <c r="Y158" s="230"/>
      <c r="Z158" s="231">
        <v>0</v>
      </c>
      <c r="AA158" s="229">
        <v>0.5</v>
      </c>
      <c r="AB158" s="228"/>
      <c r="AC158" s="191"/>
      <c r="AD158" s="234">
        <v>0</v>
      </c>
      <c r="AE158" s="253">
        <v>0</v>
      </c>
      <c r="AF158" s="240"/>
      <c r="AG158" s="241"/>
      <c r="AH158" s="241"/>
      <c r="AI158" s="241"/>
      <c r="AJ158" s="241"/>
      <c r="AK158" s="241"/>
      <c r="AL158" s="241"/>
      <c r="AM158" s="241"/>
      <c r="AN158" s="241"/>
      <c r="AO158" s="241"/>
      <c r="AP158" s="241"/>
      <c r="AQ158" s="241"/>
      <c r="AR158" s="241"/>
      <c r="AS158" s="241"/>
      <c r="AT158" s="241"/>
      <c r="AU158" s="241"/>
      <c r="AV158" s="241"/>
      <c r="AW158" s="241"/>
      <c r="AX158" s="241"/>
      <c r="AY158" s="241"/>
      <c r="AZ158" s="241"/>
      <c r="BA158" s="241" t="str">
        <f>" " &amp; TEXT(AE158,"#0.00%") &amp; " " &amp; "모니터링 및 백업 체계 구성 " &amp; " " &amp; IF(P158="","",TEXT(P158,"M/D-")) &amp; IF(Q158="","",TEXT(Q158,"M/D")) &amp; " "</f>
        <v xml:space="preserve"> 0.00% 모니터링 및 백업 체계 구성  7/14-7/25 </v>
      </c>
      <c r="BB158" s="241"/>
      <c r="BC158" s="241"/>
      <c r="BD158" s="241"/>
      <c r="BE158" s="241"/>
      <c r="BF158" s="241"/>
      <c r="BG158" s="241"/>
      <c r="BH158" s="241"/>
      <c r="BI158" s="241"/>
      <c r="BJ158" s="241"/>
      <c r="BK158" s="241"/>
      <c r="BL158" s="241"/>
      <c r="BM158" s="241"/>
      <c r="BN158" s="241"/>
      <c r="BO158" s="241"/>
      <c r="BP158" s="241"/>
      <c r="BQ158" s="241"/>
      <c r="BR158" s="241"/>
      <c r="BS158" s="241"/>
      <c r="BT158" s="241"/>
      <c r="BU158" s="241"/>
      <c r="BV158" s="241"/>
      <c r="BW158" s="241"/>
      <c r="BX158" s="241"/>
      <c r="BY158" s="241"/>
      <c r="BZ158" s="241"/>
      <c r="CA158" s="241"/>
      <c r="CB158" s="241"/>
      <c r="CC158" s="241"/>
      <c r="CD158" s="241"/>
      <c r="CE158" s="241"/>
      <c r="CF158" s="241"/>
      <c r="CG158" s="241"/>
    </row>
    <row r="159" spans="1:85" ht="12" customHeight="1" outlineLevel="3">
      <c r="A159" s="227"/>
      <c r="B159" s="227" t="s">
        <v>1766</v>
      </c>
      <c r="C159" s="227">
        <v>4</v>
      </c>
      <c r="D159" s="235" t="s">
        <v>1491</v>
      </c>
      <c r="E159" s="228"/>
      <c r="F159" s="228"/>
      <c r="G159" s="228"/>
      <c r="H159" s="228" t="s">
        <v>1939</v>
      </c>
      <c r="I159" s="228"/>
      <c r="J159" s="228"/>
      <c r="K159" s="228"/>
      <c r="L159" s="228"/>
      <c r="M159" s="228"/>
      <c r="N159" s="228"/>
      <c r="O159" s="228"/>
      <c r="P159" s="250">
        <v>45845</v>
      </c>
      <c r="Q159" s="250">
        <v>45856</v>
      </c>
      <c r="R159" s="228"/>
      <c r="S159" s="229">
        <v>50</v>
      </c>
      <c r="T159" s="229">
        <v>0</v>
      </c>
      <c r="U159" s="229">
        <v>10</v>
      </c>
      <c r="V159" s="229">
        <v>0</v>
      </c>
      <c r="W159" s="250"/>
      <c r="X159" s="250"/>
      <c r="Y159" s="230">
        <v>0</v>
      </c>
      <c r="Z159" s="231">
        <v>0</v>
      </c>
      <c r="AA159" s="229"/>
      <c r="AB159" s="228"/>
      <c r="AC159" s="191"/>
      <c r="AD159" s="234">
        <v>0</v>
      </c>
      <c r="AE159" s="254">
        <v>0</v>
      </c>
      <c r="AF159" s="240"/>
      <c r="AG159" s="241"/>
      <c r="AH159" s="241"/>
      <c r="AI159" s="241"/>
      <c r="AJ159" s="241"/>
      <c r="AK159" s="241"/>
      <c r="AL159" s="241"/>
      <c r="AM159" s="241"/>
      <c r="AN159" s="241"/>
      <c r="AO159" s="241"/>
      <c r="AP159" s="241"/>
      <c r="AQ159" s="241"/>
      <c r="AR159" s="241"/>
      <c r="AS159" s="241"/>
      <c r="AT159" s="241"/>
      <c r="AU159" s="241"/>
      <c r="AV159" s="241"/>
      <c r="AW159" s="241"/>
      <c r="AX159" s="241"/>
      <c r="AY159" s="241"/>
      <c r="AZ159" s="241" t="str">
        <f>" " &amp; TEXT(AE159,"#0.00%") &amp; " " &amp; "CICD" &amp; " " &amp; IF(P159="","",TEXT(P159,"M/D-")) &amp; IF(Q159="","",TEXT(Q159,"M/D")) &amp; " "</f>
        <v xml:space="preserve"> 0.00% CICD 7/7-7/18 </v>
      </c>
      <c r="BA159" s="241"/>
      <c r="BB159" s="241"/>
      <c r="BC159" s="241"/>
      <c r="BD159" s="241"/>
      <c r="BE159" s="241"/>
      <c r="BF159" s="241"/>
      <c r="BG159" s="241"/>
      <c r="BH159" s="241"/>
      <c r="BI159" s="241"/>
      <c r="BJ159" s="241"/>
      <c r="BK159" s="241"/>
      <c r="BL159" s="241"/>
      <c r="BM159" s="241"/>
      <c r="BN159" s="241"/>
      <c r="BO159" s="241"/>
      <c r="BP159" s="241"/>
      <c r="BQ159" s="241"/>
      <c r="BR159" s="241"/>
      <c r="BS159" s="241"/>
      <c r="BT159" s="241"/>
      <c r="BU159" s="241"/>
      <c r="BV159" s="241"/>
      <c r="BW159" s="241"/>
      <c r="BX159" s="241"/>
      <c r="BY159" s="241"/>
      <c r="BZ159" s="241"/>
      <c r="CA159" s="241"/>
      <c r="CB159" s="241"/>
      <c r="CC159" s="241"/>
      <c r="CD159" s="241"/>
      <c r="CE159" s="241"/>
      <c r="CF159" s="241"/>
      <c r="CG159" s="241"/>
    </row>
    <row r="160" spans="1:85" ht="12" customHeight="1" outlineLevel="4">
      <c r="A160" s="227"/>
      <c r="B160" s="227"/>
      <c r="C160" s="227">
        <v>5</v>
      </c>
      <c r="D160" s="235" t="s">
        <v>1995</v>
      </c>
      <c r="E160" s="228"/>
      <c r="F160" s="228"/>
      <c r="G160" s="228"/>
      <c r="H160" s="228"/>
      <c r="I160" s="228" t="s">
        <v>1947</v>
      </c>
      <c r="J160" s="228"/>
      <c r="K160" s="228"/>
      <c r="L160" s="228"/>
      <c r="M160" s="228"/>
      <c r="N160" s="228"/>
      <c r="O160" s="228"/>
      <c r="P160" s="250">
        <v>45845</v>
      </c>
      <c r="Q160" s="250">
        <v>45856</v>
      </c>
      <c r="R160" s="228"/>
      <c r="S160" s="229">
        <v>10</v>
      </c>
      <c r="T160" s="229">
        <v>0</v>
      </c>
      <c r="U160" s="229">
        <v>10</v>
      </c>
      <c r="V160" s="229">
        <v>0</v>
      </c>
      <c r="W160" s="250"/>
      <c r="X160" s="250"/>
      <c r="Y160" s="230"/>
      <c r="Z160" s="231">
        <v>0</v>
      </c>
      <c r="AA160" s="229">
        <v>1</v>
      </c>
      <c r="AB160" s="228"/>
      <c r="AC160" s="191"/>
      <c r="AD160" s="234">
        <v>0</v>
      </c>
      <c r="AE160" s="253">
        <v>0</v>
      </c>
      <c r="AF160" s="240"/>
      <c r="AG160" s="241"/>
      <c r="AH160" s="241"/>
      <c r="AI160" s="241"/>
      <c r="AJ160" s="241"/>
      <c r="AK160" s="241"/>
      <c r="AL160" s="241"/>
      <c r="AM160" s="241"/>
      <c r="AN160" s="241"/>
      <c r="AO160" s="241"/>
      <c r="AP160" s="241"/>
      <c r="AQ160" s="241"/>
      <c r="AR160" s="241"/>
      <c r="AS160" s="241"/>
      <c r="AT160" s="241"/>
      <c r="AU160" s="241"/>
      <c r="AV160" s="241"/>
      <c r="AW160" s="241"/>
      <c r="AX160" s="241"/>
      <c r="AY160" s="241"/>
      <c r="AZ160" s="241" t="str">
        <f>" " &amp; TEXT(AE160,"#0.00%") &amp; " " &amp; "POS/KIOSK 관리시스템 프론트  (신성통상)" &amp; " " &amp; IF(P160="","",TEXT(P160,"M/D-")) &amp; IF(Q160="","",TEXT(Q160,"M/D")) &amp; " "</f>
        <v xml:space="preserve"> 0.00% POS/KIOSK 관리시스템 프론트  (신성통상) 7/7-7/18 </v>
      </c>
      <c r="BA160" s="241"/>
      <c r="BB160" s="241"/>
      <c r="BC160" s="241"/>
      <c r="BD160" s="241"/>
      <c r="BE160" s="241"/>
      <c r="BF160" s="241"/>
      <c r="BG160" s="241"/>
      <c r="BH160" s="241"/>
      <c r="BI160" s="241"/>
      <c r="BJ160" s="241"/>
      <c r="BK160" s="241"/>
      <c r="BL160" s="241"/>
      <c r="BM160" s="241"/>
      <c r="BN160" s="241"/>
      <c r="BO160" s="241"/>
      <c r="BP160" s="241"/>
      <c r="BQ160" s="241"/>
      <c r="BR160" s="241"/>
      <c r="BS160" s="241"/>
      <c r="BT160" s="241"/>
      <c r="BU160" s="241"/>
      <c r="BV160" s="241"/>
      <c r="BW160" s="241"/>
      <c r="BX160" s="241"/>
      <c r="BY160" s="241"/>
      <c r="BZ160" s="241"/>
      <c r="CA160" s="241"/>
      <c r="CB160" s="241"/>
      <c r="CC160" s="241"/>
      <c r="CD160" s="241"/>
      <c r="CE160" s="241"/>
      <c r="CF160" s="241"/>
      <c r="CG160" s="241"/>
    </row>
    <row r="161" spans="1:85" ht="12" customHeight="1" outlineLevel="4">
      <c r="A161" s="227"/>
      <c r="B161" s="227"/>
      <c r="C161" s="227">
        <v>5</v>
      </c>
      <c r="D161" s="235" t="s">
        <v>1996</v>
      </c>
      <c r="E161" s="228"/>
      <c r="F161" s="228"/>
      <c r="G161" s="228"/>
      <c r="H161" s="228"/>
      <c r="I161" s="228" t="s">
        <v>1948</v>
      </c>
      <c r="J161" s="228"/>
      <c r="K161" s="228"/>
      <c r="L161" s="228"/>
      <c r="M161" s="228"/>
      <c r="N161" s="228"/>
      <c r="O161" s="228"/>
      <c r="P161" s="250">
        <v>45845</v>
      </c>
      <c r="Q161" s="250">
        <v>45856</v>
      </c>
      <c r="R161" s="228"/>
      <c r="S161" s="229">
        <v>10</v>
      </c>
      <c r="T161" s="229">
        <v>0</v>
      </c>
      <c r="U161" s="229">
        <v>10</v>
      </c>
      <c r="V161" s="229">
        <v>0</v>
      </c>
      <c r="W161" s="250"/>
      <c r="X161" s="250"/>
      <c r="Y161" s="230"/>
      <c r="Z161" s="231">
        <v>0</v>
      </c>
      <c r="AA161" s="229">
        <v>1</v>
      </c>
      <c r="AB161" s="228"/>
      <c r="AC161" s="191"/>
      <c r="AD161" s="234">
        <v>0</v>
      </c>
      <c r="AE161" s="253">
        <v>0</v>
      </c>
      <c r="AF161" s="240"/>
      <c r="AG161" s="241"/>
      <c r="AH161" s="241"/>
      <c r="AI161" s="241"/>
      <c r="AJ161" s="241"/>
      <c r="AK161" s="241"/>
      <c r="AL161" s="241"/>
      <c r="AM161" s="241"/>
      <c r="AN161" s="241"/>
      <c r="AO161" s="241"/>
      <c r="AP161" s="241"/>
      <c r="AQ161" s="241"/>
      <c r="AR161" s="241"/>
      <c r="AS161" s="241"/>
      <c r="AT161" s="241"/>
      <c r="AU161" s="241"/>
      <c r="AV161" s="241"/>
      <c r="AW161" s="241"/>
      <c r="AX161" s="241"/>
      <c r="AY161" s="241"/>
      <c r="AZ161" s="241" t="str">
        <f>" " &amp; TEXT(AE161,"#0.00%") &amp; " " &amp; "POS/KIOSK 관리시스템 프론트  (에이션패션)" &amp; " " &amp; IF(P161="","",TEXT(P161,"M/D-")) &amp; IF(Q161="","",TEXT(Q161,"M/D")) &amp; " "</f>
        <v xml:space="preserve"> 0.00% POS/KIOSK 관리시스템 프론트  (에이션패션) 7/7-7/18 </v>
      </c>
      <c r="BA161" s="241"/>
      <c r="BB161" s="241"/>
      <c r="BC161" s="241"/>
      <c r="BD161" s="241"/>
      <c r="BE161" s="241"/>
      <c r="BF161" s="241"/>
      <c r="BG161" s="241"/>
      <c r="BH161" s="241"/>
      <c r="BI161" s="241"/>
      <c r="BJ161" s="241"/>
      <c r="BK161" s="241"/>
      <c r="BL161" s="241"/>
      <c r="BM161" s="241"/>
      <c r="BN161" s="241"/>
      <c r="BO161" s="241"/>
      <c r="BP161" s="241"/>
      <c r="BQ161" s="241"/>
      <c r="BR161" s="241"/>
      <c r="BS161" s="241"/>
      <c r="BT161" s="241"/>
      <c r="BU161" s="241"/>
      <c r="BV161" s="241"/>
      <c r="BW161" s="241"/>
      <c r="BX161" s="241"/>
      <c r="BY161" s="241"/>
      <c r="BZ161" s="241"/>
      <c r="CA161" s="241"/>
      <c r="CB161" s="241"/>
      <c r="CC161" s="241"/>
      <c r="CD161" s="241"/>
      <c r="CE161" s="241"/>
      <c r="CF161" s="241"/>
      <c r="CG161" s="241"/>
    </row>
    <row r="162" spans="1:85" ht="12" customHeight="1" outlineLevel="4">
      <c r="A162" s="227"/>
      <c r="B162" s="227"/>
      <c r="C162" s="227">
        <v>5</v>
      </c>
      <c r="D162" s="235" t="s">
        <v>1997</v>
      </c>
      <c r="E162" s="228"/>
      <c r="F162" s="228"/>
      <c r="G162" s="228"/>
      <c r="H162" s="228"/>
      <c r="I162" s="228" t="s">
        <v>1949</v>
      </c>
      <c r="J162" s="228"/>
      <c r="K162" s="228"/>
      <c r="L162" s="228"/>
      <c r="M162" s="228"/>
      <c r="N162" s="228"/>
      <c r="O162" s="228"/>
      <c r="P162" s="250">
        <v>45845</v>
      </c>
      <c r="Q162" s="250">
        <v>45856</v>
      </c>
      <c r="R162" s="228"/>
      <c r="S162" s="229">
        <v>10</v>
      </c>
      <c r="T162" s="229">
        <v>0</v>
      </c>
      <c r="U162" s="229">
        <v>10</v>
      </c>
      <c r="V162" s="229">
        <v>0</v>
      </c>
      <c r="W162" s="250"/>
      <c r="X162" s="250"/>
      <c r="Y162" s="230"/>
      <c r="Z162" s="231">
        <v>0</v>
      </c>
      <c r="AA162" s="229">
        <v>1</v>
      </c>
      <c r="AB162" s="228"/>
      <c r="AC162" s="191"/>
      <c r="AD162" s="234">
        <v>0</v>
      </c>
      <c r="AE162" s="253">
        <v>0</v>
      </c>
      <c r="AF162" s="240"/>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t="str">
        <f>" " &amp; TEXT(AE162,"#0.00%") &amp; " " &amp; "POS/KIOSK 관리시스템 백엔드" &amp; " " &amp; IF(P162="","",TEXT(P162,"M/D-")) &amp; IF(Q162="","",TEXT(Q162,"M/D")) &amp; " "</f>
        <v xml:space="preserve"> 0.00% POS/KIOSK 관리시스템 백엔드 7/7-7/18 </v>
      </c>
      <c r="BA162" s="241"/>
      <c r="BB162" s="241"/>
      <c r="BC162" s="241"/>
      <c r="BD162" s="241"/>
      <c r="BE162" s="241"/>
      <c r="BF162" s="241"/>
      <c r="BG162" s="241"/>
      <c r="BH162" s="241"/>
      <c r="BI162" s="241"/>
      <c r="BJ162" s="241"/>
      <c r="BK162" s="241"/>
      <c r="BL162" s="241"/>
      <c r="BM162" s="241"/>
      <c r="BN162" s="241"/>
      <c r="BO162" s="241"/>
      <c r="BP162" s="241"/>
      <c r="BQ162" s="241"/>
      <c r="BR162" s="241"/>
      <c r="BS162" s="241"/>
      <c r="BT162" s="241"/>
      <c r="BU162" s="241"/>
      <c r="BV162" s="241"/>
      <c r="BW162" s="241"/>
      <c r="BX162" s="241"/>
      <c r="BY162" s="241"/>
      <c r="BZ162" s="241"/>
      <c r="CA162" s="241"/>
      <c r="CB162" s="241"/>
      <c r="CC162" s="241"/>
      <c r="CD162" s="241"/>
      <c r="CE162" s="241"/>
      <c r="CF162" s="241"/>
      <c r="CG162" s="241"/>
    </row>
    <row r="163" spans="1:85" ht="12" customHeight="1" outlineLevel="4">
      <c r="A163" s="227"/>
      <c r="B163" s="227"/>
      <c r="C163" s="227">
        <v>5</v>
      </c>
      <c r="D163" s="235" t="s">
        <v>1998</v>
      </c>
      <c r="E163" s="228"/>
      <c r="F163" s="228"/>
      <c r="G163" s="228"/>
      <c r="H163" s="228"/>
      <c r="I163" s="228" t="s">
        <v>1950</v>
      </c>
      <c r="J163" s="228"/>
      <c r="K163" s="228"/>
      <c r="L163" s="228"/>
      <c r="M163" s="228"/>
      <c r="N163" s="228"/>
      <c r="O163" s="228"/>
      <c r="P163" s="250">
        <v>45845</v>
      </c>
      <c r="Q163" s="250">
        <v>45856</v>
      </c>
      <c r="R163" s="228"/>
      <c r="S163" s="229">
        <v>10</v>
      </c>
      <c r="T163" s="229">
        <v>0</v>
      </c>
      <c r="U163" s="229">
        <v>10</v>
      </c>
      <c r="V163" s="229">
        <v>0</v>
      </c>
      <c r="W163" s="250"/>
      <c r="X163" s="250"/>
      <c r="Y163" s="230"/>
      <c r="Z163" s="231">
        <v>0</v>
      </c>
      <c r="AA163" s="229">
        <v>1</v>
      </c>
      <c r="AB163" s="228"/>
      <c r="AC163" s="191"/>
      <c r="AD163" s="234">
        <v>0</v>
      </c>
      <c r="AE163" s="253">
        <v>0</v>
      </c>
      <c r="AF163" s="240"/>
      <c r="AG163" s="241"/>
      <c r="AH163" s="241"/>
      <c r="AI163" s="241"/>
      <c r="AJ163" s="241"/>
      <c r="AK163" s="241"/>
      <c r="AL163" s="241"/>
      <c r="AM163" s="241"/>
      <c r="AN163" s="241"/>
      <c r="AO163" s="241"/>
      <c r="AP163" s="241"/>
      <c r="AQ163" s="241"/>
      <c r="AR163" s="241"/>
      <c r="AS163" s="241"/>
      <c r="AT163" s="241"/>
      <c r="AU163" s="241"/>
      <c r="AV163" s="241"/>
      <c r="AW163" s="241"/>
      <c r="AX163" s="241"/>
      <c r="AY163" s="241"/>
      <c r="AZ163" s="241" t="str">
        <f>" " &amp; TEXT(AE163,"#0.00%") &amp; " " &amp; "API 중계 시스템 백엔드" &amp; " " &amp; IF(P163="","",TEXT(P163,"M/D-")) &amp; IF(Q163="","",TEXT(Q163,"M/D")) &amp; " "</f>
        <v xml:space="preserve"> 0.00% API 중계 시스템 백엔드 7/7-7/18 </v>
      </c>
      <c r="BA163" s="241"/>
      <c r="BB163" s="241"/>
      <c r="BC163" s="241"/>
      <c r="BD163" s="241"/>
      <c r="BE163" s="241"/>
      <c r="BF163" s="241"/>
      <c r="BG163" s="241"/>
      <c r="BH163" s="241"/>
      <c r="BI163" s="241"/>
      <c r="BJ163" s="241"/>
      <c r="BK163" s="241"/>
      <c r="BL163" s="241"/>
      <c r="BM163" s="241"/>
      <c r="BN163" s="241"/>
      <c r="BO163" s="241"/>
      <c r="BP163" s="241"/>
      <c r="BQ163" s="241"/>
      <c r="BR163" s="241"/>
      <c r="BS163" s="241"/>
      <c r="BT163" s="241"/>
      <c r="BU163" s="241"/>
      <c r="BV163" s="241"/>
      <c r="BW163" s="241"/>
      <c r="BX163" s="241"/>
      <c r="BY163" s="241"/>
      <c r="BZ163" s="241"/>
      <c r="CA163" s="241"/>
      <c r="CB163" s="241"/>
      <c r="CC163" s="241"/>
      <c r="CD163" s="241"/>
      <c r="CE163" s="241"/>
      <c r="CF163" s="241"/>
      <c r="CG163" s="241"/>
    </row>
    <row r="164" spans="1:85" ht="12" customHeight="1" outlineLevel="4">
      <c r="A164" s="227"/>
      <c r="B164" s="227"/>
      <c r="C164" s="227">
        <v>5</v>
      </c>
      <c r="D164" s="235" t="s">
        <v>1999</v>
      </c>
      <c r="E164" s="228"/>
      <c r="F164" s="228"/>
      <c r="G164" s="228"/>
      <c r="H164" s="228"/>
      <c r="I164" s="228" t="s">
        <v>1951</v>
      </c>
      <c r="J164" s="228"/>
      <c r="K164" s="228"/>
      <c r="L164" s="228"/>
      <c r="M164" s="228"/>
      <c r="N164" s="228"/>
      <c r="O164" s="228"/>
      <c r="P164" s="250">
        <v>45845</v>
      </c>
      <c r="Q164" s="250">
        <v>45856</v>
      </c>
      <c r="R164" s="228"/>
      <c r="S164" s="229">
        <v>10</v>
      </c>
      <c r="T164" s="229">
        <v>0</v>
      </c>
      <c r="U164" s="229">
        <v>10</v>
      </c>
      <c r="V164" s="229">
        <v>0</v>
      </c>
      <c r="W164" s="250"/>
      <c r="X164" s="250"/>
      <c r="Y164" s="230"/>
      <c r="Z164" s="231">
        <v>0</v>
      </c>
      <c r="AA164" s="229">
        <v>1</v>
      </c>
      <c r="AB164" s="228"/>
      <c r="AC164" s="191"/>
      <c r="AD164" s="234">
        <v>0</v>
      </c>
      <c r="AE164" s="253">
        <v>0</v>
      </c>
      <c r="AF164" s="240"/>
      <c r="AG164" s="241"/>
      <c r="AH164" s="241"/>
      <c r="AI164" s="241"/>
      <c r="AJ164" s="241"/>
      <c r="AK164" s="241"/>
      <c r="AL164" s="241"/>
      <c r="AM164" s="241"/>
      <c r="AN164" s="241"/>
      <c r="AO164" s="241"/>
      <c r="AP164" s="241"/>
      <c r="AQ164" s="241"/>
      <c r="AR164" s="241"/>
      <c r="AS164" s="241"/>
      <c r="AT164" s="241"/>
      <c r="AU164" s="241"/>
      <c r="AV164" s="241"/>
      <c r="AW164" s="241"/>
      <c r="AX164" s="241"/>
      <c r="AY164" s="241"/>
      <c r="AZ164" s="241" t="str">
        <f>" " &amp; TEXT(AE164,"#0.00%") &amp; " " &amp; "영업관리 시스템 백엔드" &amp; " " &amp; IF(P164="","",TEXT(P164,"M/D-")) &amp; IF(Q164="","",TEXT(Q164,"M/D")) &amp; " "</f>
        <v xml:space="preserve"> 0.00% 영업관리 시스템 백엔드 7/7-7/18 </v>
      </c>
      <c r="BA164" s="241"/>
      <c r="BB164" s="241"/>
      <c r="BC164" s="241"/>
      <c r="BD164" s="241"/>
      <c r="BE164" s="241"/>
      <c r="BF164" s="241"/>
      <c r="BG164" s="241"/>
      <c r="BH164" s="241"/>
      <c r="BI164" s="241"/>
      <c r="BJ164" s="241"/>
      <c r="BK164" s="241"/>
      <c r="BL164" s="241"/>
      <c r="BM164" s="241"/>
      <c r="BN164" s="241"/>
      <c r="BO164" s="241"/>
      <c r="BP164" s="241"/>
      <c r="BQ164" s="241"/>
      <c r="BR164" s="241"/>
      <c r="BS164" s="241"/>
      <c r="BT164" s="241"/>
      <c r="BU164" s="241"/>
      <c r="BV164" s="241"/>
      <c r="BW164" s="241"/>
      <c r="BX164" s="241"/>
      <c r="BY164" s="241"/>
      <c r="BZ164" s="241"/>
      <c r="CA164" s="241"/>
      <c r="CB164" s="241"/>
      <c r="CC164" s="241"/>
      <c r="CD164" s="241"/>
      <c r="CE164" s="241"/>
      <c r="CF164" s="241"/>
      <c r="CG164" s="241"/>
    </row>
    <row r="165" spans="1:85" ht="12" customHeight="1" outlineLevel="3">
      <c r="A165" s="227"/>
      <c r="B165" s="227" t="s">
        <v>1766</v>
      </c>
      <c r="C165" s="227">
        <v>4</v>
      </c>
      <c r="D165" s="204" t="s">
        <v>1493</v>
      </c>
      <c r="E165" s="228"/>
      <c r="F165" s="228"/>
      <c r="G165" s="228"/>
      <c r="H165" s="228" t="s">
        <v>1942</v>
      </c>
      <c r="I165" s="228"/>
      <c r="J165" s="228"/>
      <c r="K165" s="228"/>
      <c r="L165" s="228"/>
      <c r="M165" s="228"/>
      <c r="N165" s="228"/>
      <c r="O165" s="228"/>
      <c r="P165" s="250">
        <v>45852</v>
      </c>
      <c r="Q165" s="250">
        <v>45863</v>
      </c>
      <c r="R165" s="228"/>
      <c r="S165" s="229">
        <v>10</v>
      </c>
      <c r="T165" s="229">
        <v>0</v>
      </c>
      <c r="U165" s="229">
        <v>10</v>
      </c>
      <c r="V165" s="229">
        <v>0</v>
      </c>
      <c r="W165" s="250"/>
      <c r="X165" s="250"/>
      <c r="Y165" s="230">
        <v>0</v>
      </c>
      <c r="Z165" s="231">
        <v>0</v>
      </c>
      <c r="AA165" s="229"/>
      <c r="AB165" s="228"/>
      <c r="AC165" s="191"/>
      <c r="AD165" s="234">
        <v>0</v>
      </c>
      <c r="AE165" s="254">
        <v>0</v>
      </c>
      <c r="AF165" s="240"/>
      <c r="AG165" s="241"/>
      <c r="AH165" s="241"/>
      <c r="AI165" s="241"/>
      <c r="AJ165" s="241"/>
      <c r="AK165" s="241"/>
      <c r="AL165" s="241"/>
      <c r="AM165" s="241"/>
      <c r="AN165" s="241"/>
      <c r="AO165" s="241"/>
      <c r="AP165" s="241"/>
      <c r="AQ165" s="241"/>
      <c r="AR165" s="241"/>
      <c r="AS165" s="241"/>
      <c r="AT165" s="241"/>
      <c r="AU165" s="241"/>
      <c r="AV165" s="241"/>
      <c r="AW165" s="241"/>
      <c r="AX165" s="241"/>
      <c r="AY165" s="241"/>
      <c r="AZ165" s="241"/>
      <c r="BA165" s="241" t="str">
        <f>" " &amp; TEXT(AE165,"#0.00%") &amp; " " &amp; "로깅&amp;모니터링" &amp; " " &amp; IF(P165="","",TEXT(P165,"M/D-")) &amp; IF(Q165="","",TEXT(Q165,"M/D")) &amp; " "</f>
        <v xml:space="preserve"> 0.00% 로깅&amp;모니터링 7/14-7/25 </v>
      </c>
      <c r="BB165" s="241"/>
      <c r="BC165" s="241"/>
      <c r="BD165" s="241"/>
      <c r="BE165" s="241"/>
      <c r="BF165" s="241"/>
      <c r="BG165" s="241"/>
      <c r="BH165" s="241"/>
      <c r="BI165" s="241"/>
      <c r="BJ165" s="241"/>
      <c r="BK165" s="241"/>
      <c r="BL165" s="241"/>
      <c r="BM165" s="241"/>
      <c r="BN165" s="241"/>
      <c r="BO165" s="241"/>
      <c r="BP165" s="241"/>
      <c r="BQ165" s="241"/>
      <c r="BR165" s="241"/>
      <c r="BS165" s="241"/>
      <c r="BT165" s="241"/>
      <c r="BU165" s="241"/>
      <c r="BV165" s="241"/>
      <c r="BW165" s="241"/>
      <c r="BX165" s="241"/>
      <c r="BY165" s="241"/>
      <c r="BZ165" s="241"/>
      <c r="CA165" s="241"/>
      <c r="CB165" s="241"/>
      <c r="CC165" s="241"/>
      <c r="CD165" s="241"/>
      <c r="CE165" s="241"/>
      <c r="CF165" s="241"/>
      <c r="CG165" s="241"/>
    </row>
    <row r="166" spans="1:85" ht="12" customHeight="1" outlineLevel="4">
      <c r="A166" s="227"/>
      <c r="B166" s="227"/>
      <c r="C166" s="227">
        <v>5</v>
      </c>
      <c r="D166" s="235" t="s">
        <v>2000</v>
      </c>
      <c r="E166" s="228"/>
      <c r="F166" s="228"/>
      <c r="G166" s="228"/>
      <c r="H166" s="228"/>
      <c r="I166" s="228" t="s">
        <v>1943</v>
      </c>
      <c r="J166" s="228"/>
      <c r="K166" s="228"/>
      <c r="L166" s="228"/>
      <c r="M166" s="228"/>
      <c r="N166" s="228"/>
      <c r="O166" s="228"/>
      <c r="P166" s="250">
        <v>45852</v>
      </c>
      <c r="Q166" s="250">
        <v>45863</v>
      </c>
      <c r="R166" s="228"/>
      <c r="S166" s="229">
        <v>5</v>
      </c>
      <c r="T166" s="229">
        <v>0</v>
      </c>
      <c r="U166" s="229">
        <v>10</v>
      </c>
      <c r="V166" s="229">
        <v>0</v>
      </c>
      <c r="W166" s="250"/>
      <c r="X166" s="250"/>
      <c r="Y166" s="230"/>
      <c r="Z166" s="231">
        <v>0</v>
      </c>
      <c r="AA166" s="229">
        <v>0.5</v>
      </c>
      <c r="AB166" s="228"/>
      <c r="AC166" s="191"/>
      <c r="AD166" s="234">
        <v>0</v>
      </c>
      <c r="AE166" s="253">
        <v>0</v>
      </c>
      <c r="AF166" s="240"/>
      <c r="AG166" s="241"/>
      <c r="AH166" s="241"/>
      <c r="AI166" s="241"/>
      <c r="AJ166" s="241"/>
      <c r="AK166" s="241"/>
      <c r="AL166" s="241"/>
      <c r="AM166" s="241"/>
      <c r="AN166" s="241"/>
      <c r="AO166" s="241"/>
      <c r="AP166" s="241"/>
      <c r="AQ166" s="241"/>
      <c r="AR166" s="241"/>
      <c r="AS166" s="241"/>
      <c r="AT166" s="241"/>
      <c r="AU166" s="241"/>
      <c r="AV166" s="241"/>
      <c r="AW166" s="241"/>
      <c r="AX166" s="241"/>
      <c r="AY166" s="241"/>
      <c r="AZ166" s="241"/>
      <c r="BA166" s="241" t="str">
        <f>" " &amp; TEXT(AE166,"#0.00%") &amp; " " &amp; "제니퍼 구성" &amp; " " &amp; IF(P166="","",TEXT(P166,"M/D-")) &amp; IF(Q166="","",TEXT(Q166,"M/D")) &amp; " "</f>
        <v xml:space="preserve"> 0.00% 제니퍼 구성 7/14-7/25 </v>
      </c>
      <c r="BB166" s="241"/>
      <c r="BC166" s="241"/>
      <c r="BD166" s="241"/>
      <c r="BE166" s="241"/>
      <c r="BF166" s="241"/>
      <c r="BG166" s="241"/>
      <c r="BH166" s="241"/>
      <c r="BI166" s="241"/>
      <c r="BJ166" s="241"/>
      <c r="BK166" s="241"/>
      <c r="BL166" s="241"/>
      <c r="BM166" s="241"/>
      <c r="BN166" s="241"/>
      <c r="BO166" s="241"/>
      <c r="BP166" s="241"/>
      <c r="BQ166" s="241"/>
      <c r="BR166" s="241"/>
      <c r="BS166" s="241"/>
      <c r="BT166" s="241"/>
      <c r="BU166" s="241"/>
      <c r="BV166" s="241"/>
      <c r="BW166" s="241"/>
      <c r="BX166" s="241"/>
      <c r="BY166" s="241"/>
      <c r="BZ166" s="241"/>
      <c r="CA166" s="241"/>
      <c r="CB166" s="241"/>
      <c r="CC166" s="241"/>
      <c r="CD166" s="241"/>
      <c r="CE166" s="241"/>
      <c r="CF166" s="241"/>
      <c r="CG166" s="241"/>
    </row>
    <row r="167" spans="1:85" ht="12" customHeight="1" outlineLevel="4">
      <c r="A167" s="227"/>
      <c r="B167" s="227"/>
      <c r="C167" s="227">
        <v>5</v>
      </c>
      <c r="D167" s="235" t="s">
        <v>2001</v>
      </c>
      <c r="E167" s="228"/>
      <c r="F167" s="228"/>
      <c r="G167" s="228"/>
      <c r="H167" s="228"/>
      <c r="I167" s="228" t="s">
        <v>1944</v>
      </c>
      <c r="J167" s="228"/>
      <c r="K167" s="228"/>
      <c r="L167" s="228"/>
      <c r="M167" s="228"/>
      <c r="N167" s="228"/>
      <c r="O167" s="228"/>
      <c r="P167" s="250">
        <v>45852</v>
      </c>
      <c r="Q167" s="250">
        <v>45863</v>
      </c>
      <c r="R167" s="228"/>
      <c r="S167" s="229">
        <v>5</v>
      </c>
      <c r="T167" s="229">
        <v>0</v>
      </c>
      <c r="U167" s="229">
        <v>10</v>
      </c>
      <c r="V167" s="229">
        <v>0</v>
      </c>
      <c r="W167" s="250"/>
      <c r="X167" s="250"/>
      <c r="Y167" s="230"/>
      <c r="Z167" s="231">
        <v>0</v>
      </c>
      <c r="AA167" s="229">
        <v>0.5</v>
      </c>
      <c r="AB167" s="228"/>
      <c r="AC167" s="191"/>
      <c r="AD167" s="234">
        <v>0</v>
      </c>
      <c r="AE167" s="253">
        <v>0</v>
      </c>
      <c r="AF167" s="240"/>
      <c r="AG167" s="241"/>
      <c r="AH167" s="241"/>
      <c r="AI167" s="241"/>
      <c r="AJ167" s="241"/>
      <c r="AK167" s="241"/>
      <c r="AL167" s="241"/>
      <c r="AM167" s="241"/>
      <c r="AN167" s="241"/>
      <c r="AO167" s="241"/>
      <c r="AP167" s="241"/>
      <c r="AQ167" s="241"/>
      <c r="AR167" s="241"/>
      <c r="AS167" s="241"/>
      <c r="AT167" s="241"/>
      <c r="AU167" s="241"/>
      <c r="AV167" s="241"/>
      <c r="AW167" s="241"/>
      <c r="AX167" s="241"/>
      <c r="AY167" s="241"/>
      <c r="AZ167" s="241"/>
      <c r="BA167" s="241" t="str">
        <f>" " &amp; TEXT(AE167,"#0.00%") &amp; " " &amp; "AWS OpenSearch 구성" &amp; " " &amp; IF(P167="","",TEXT(P167,"M/D-")) &amp; IF(Q167="","",TEXT(Q167,"M/D")) &amp; " "</f>
        <v xml:space="preserve"> 0.00% AWS OpenSearch 구성 7/14-7/25 </v>
      </c>
      <c r="BB167" s="241"/>
      <c r="BC167" s="241"/>
      <c r="BD167" s="241"/>
      <c r="BE167" s="241"/>
      <c r="BF167" s="241"/>
      <c r="BG167" s="241"/>
      <c r="BH167" s="241"/>
      <c r="BI167" s="241"/>
      <c r="BJ167" s="241"/>
      <c r="BK167" s="241"/>
      <c r="BL167" s="241"/>
      <c r="BM167" s="241"/>
      <c r="BN167" s="241"/>
      <c r="BO167" s="241"/>
      <c r="BP167" s="241"/>
      <c r="BQ167" s="241"/>
      <c r="BR167" s="241"/>
      <c r="BS167" s="241"/>
      <c r="BT167" s="241"/>
      <c r="BU167" s="241"/>
      <c r="BV167" s="241"/>
      <c r="BW167" s="241"/>
      <c r="BX167" s="241"/>
      <c r="BY167" s="241"/>
      <c r="BZ167" s="241"/>
      <c r="CA167" s="241"/>
      <c r="CB167" s="241"/>
      <c r="CC167" s="241"/>
      <c r="CD167" s="241"/>
      <c r="CE167" s="241"/>
      <c r="CF167" s="241"/>
      <c r="CG167" s="241"/>
    </row>
    <row r="168" spans="1:85" ht="12" customHeight="1">
      <c r="A168" s="227"/>
      <c r="B168" s="227" t="s">
        <v>1766</v>
      </c>
      <c r="C168" s="227">
        <v>1</v>
      </c>
      <c r="D168" s="235" t="s">
        <v>1542</v>
      </c>
      <c r="E168" s="228" t="s">
        <v>1702</v>
      </c>
      <c r="F168" s="228"/>
      <c r="G168" s="228"/>
      <c r="H168" s="228"/>
      <c r="I168" s="228"/>
      <c r="J168" s="228"/>
      <c r="K168" s="228"/>
      <c r="L168" s="228"/>
      <c r="M168" s="228"/>
      <c r="N168" s="228"/>
      <c r="O168" s="228"/>
      <c r="P168" s="250">
        <v>45705</v>
      </c>
      <c r="Q168" s="250">
        <v>46020</v>
      </c>
      <c r="R168" s="228"/>
      <c r="S168" s="229">
        <v>582.9</v>
      </c>
      <c r="T168" s="229">
        <v>65.599999999999994</v>
      </c>
      <c r="U168" s="229">
        <v>215</v>
      </c>
      <c r="V168" s="229">
        <v>13</v>
      </c>
      <c r="W168" s="250"/>
      <c r="X168" s="250"/>
      <c r="Y168" s="230">
        <v>0</v>
      </c>
      <c r="Z168" s="231">
        <v>0</v>
      </c>
      <c r="AA168" s="229"/>
      <c r="AB168" s="228"/>
      <c r="AC168" s="191"/>
      <c r="AD168" s="234">
        <v>0.11254074455309658</v>
      </c>
      <c r="AE168" s="243">
        <v>0</v>
      </c>
      <c r="AF168" s="240" t="str">
        <f>" " &amp; TEXT(AE168,"#0.00%") &amp; " "</f>
        <v xml:space="preserve"> 0.00% </v>
      </c>
      <c r="AG168" s="241"/>
      <c r="AH168" s="241"/>
      <c r="AI168" s="241"/>
      <c r="AJ168" s="241"/>
      <c r="AK168" s="241"/>
      <c r="AL168" s="241"/>
      <c r="AM168" s="241"/>
      <c r="AN168" s="241"/>
      <c r="AO168" s="241"/>
      <c r="AP168" s="241"/>
      <c r="AQ168" s="241"/>
      <c r="AR168" s="241"/>
      <c r="AS168" s="241"/>
      <c r="AT168" s="241"/>
      <c r="AU168" s="241"/>
      <c r="AV168" s="241"/>
      <c r="AW168" s="241"/>
      <c r="AX168" s="241"/>
      <c r="AY168" s="241"/>
      <c r="AZ168" s="241"/>
      <c r="BA168" s="241"/>
      <c r="BB168" s="241"/>
      <c r="BC168" s="241"/>
      <c r="BD168" s="241"/>
      <c r="BE168" s="241"/>
      <c r="BF168" s="241"/>
      <c r="BG168" s="241"/>
      <c r="BH168" s="241"/>
      <c r="BI168" s="241"/>
      <c r="BJ168" s="241"/>
      <c r="BK168" s="241"/>
      <c r="BL168" s="241"/>
      <c r="BM168" s="241"/>
      <c r="BN168" s="241"/>
      <c r="BO168" s="241"/>
      <c r="BP168" s="241"/>
      <c r="BQ168" s="241"/>
      <c r="BR168" s="241"/>
      <c r="BS168" s="241"/>
      <c r="BT168" s="241"/>
      <c r="BU168" s="241"/>
      <c r="BV168" s="241"/>
      <c r="BW168" s="241"/>
      <c r="BX168" s="241"/>
      <c r="BY168" s="241" t="str">
        <f>"  " &amp; "시스템 구축" &amp; " " &amp; IF(P168="","",TEXT(P168,"M/D-")) &amp; IF(Q168="","",TEXT(Q168,"M/D")) &amp; " "</f>
        <v xml:space="preserve">  시스템 구축 2/17-12/29 </v>
      </c>
      <c r="BZ168" s="241"/>
      <c r="CA168" s="241"/>
      <c r="CB168" s="241"/>
      <c r="CC168" s="241"/>
      <c r="CD168" s="241"/>
      <c r="CE168" s="241"/>
      <c r="CF168" s="241"/>
      <c r="CG168" s="241"/>
    </row>
    <row r="169" spans="1:85" ht="12" customHeight="1" outlineLevel="1">
      <c r="A169" s="227"/>
      <c r="B169" s="227" t="s">
        <v>1766</v>
      </c>
      <c r="C169" s="227">
        <v>2</v>
      </c>
      <c r="D169" s="235" t="s">
        <v>1859</v>
      </c>
      <c r="E169" s="228"/>
      <c r="F169" s="228" t="s">
        <v>1701</v>
      </c>
      <c r="G169" s="228"/>
      <c r="H169" s="228"/>
      <c r="I169" s="228"/>
      <c r="J169" s="228"/>
      <c r="K169" s="228"/>
      <c r="L169" s="228"/>
      <c r="M169" s="228"/>
      <c r="N169" s="228"/>
      <c r="O169" s="228"/>
      <c r="P169" s="250">
        <v>45705</v>
      </c>
      <c r="Q169" s="250">
        <v>45765</v>
      </c>
      <c r="R169" s="228"/>
      <c r="S169" s="229">
        <v>84</v>
      </c>
      <c r="T169" s="229">
        <v>38</v>
      </c>
      <c r="U169" s="229">
        <v>44</v>
      </c>
      <c r="V169" s="229">
        <v>13</v>
      </c>
      <c r="W169" s="250"/>
      <c r="X169" s="250"/>
      <c r="Y169" s="230">
        <v>0</v>
      </c>
      <c r="Z169" s="231">
        <v>0</v>
      </c>
      <c r="AA169" s="229"/>
      <c r="AB169" s="228"/>
      <c r="AC169" s="191"/>
      <c r="AD169" s="234">
        <v>0.45238095238095238</v>
      </c>
      <c r="AE169" s="243">
        <v>0</v>
      </c>
      <c r="AF169" s="240" t="str">
        <f>" " &amp; TEXT(AE169,"#0.00%") &amp; " "</f>
        <v xml:space="preserve"> 0.00% </v>
      </c>
      <c r="AG169" s="241"/>
      <c r="AH169" s="241"/>
      <c r="AI169" s="241"/>
      <c r="AJ169" s="241"/>
      <c r="AK169" s="241"/>
      <c r="AL169" s="241"/>
      <c r="AM169" s="241"/>
      <c r="AN169" s="241" t="str">
        <f>"      " &amp; "POS 구축" &amp; " " &amp; IF(P169="","",TEXT(P169,"M/D-")) &amp; IF(Q169="","",TEXT(Q169,"M/D")) &amp; " "</f>
        <v xml:space="preserve">      POS 구축 2/17-4/18 </v>
      </c>
      <c r="AO169" s="241"/>
      <c r="AP169" s="241"/>
      <c r="AQ169" s="241"/>
      <c r="AR169" s="241"/>
      <c r="AS169" s="241"/>
      <c r="AT169" s="241"/>
      <c r="AU169" s="241"/>
      <c r="AV169" s="241"/>
      <c r="AW169" s="241"/>
      <c r="AX169" s="241"/>
      <c r="AY169" s="241"/>
      <c r="AZ169" s="241"/>
      <c r="BA169" s="241"/>
      <c r="BB169" s="241"/>
      <c r="BC169" s="241"/>
      <c r="BD169" s="241"/>
      <c r="BE169" s="241"/>
      <c r="BF169" s="241"/>
      <c r="BG169" s="241"/>
      <c r="BH169" s="241"/>
      <c r="BI169" s="241"/>
      <c r="BJ169" s="241"/>
      <c r="BK169" s="241"/>
      <c r="BL169" s="241"/>
      <c r="BM169" s="241"/>
      <c r="BN169" s="241"/>
      <c r="BO169" s="241"/>
      <c r="BP169" s="241"/>
      <c r="BQ169" s="241"/>
      <c r="BR169" s="241"/>
      <c r="BS169" s="241"/>
      <c r="BT169" s="241"/>
      <c r="BU169" s="241"/>
      <c r="BV169" s="241"/>
      <c r="BW169" s="241"/>
      <c r="BX169" s="241"/>
      <c r="BY169" s="241"/>
      <c r="BZ169" s="241"/>
      <c r="CA169" s="241"/>
      <c r="CB169" s="241"/>
      <c r="CC169" s="241"/>
      <c r="CD169" s="241"/>
      <c r="CE169" s="241"/>
      <c r="CF169" s="241"/>
      <c r="CG169" s="241"/>
    </row>
    <row r="170" spans="1:85" ht="12" customHeight="1" outlineLevel="2">
      <c r="A170" s="227"/>
      <c r="B170" s="227"/>
      <c r="C170" s="227">
        <v>3</v>
      </c>
      <c r="D170" s="235" t="s">
        <v>1860</v>
      </c>
      <c r="E170" s="228"/>
      <c r="F170" s="228"/>
      <c r="G170" s="228" t="s">
        <v>1445</v>
      </c>
      <c r="H170" s="228"/>
      <c r="I170" s="228"/>
      <c r="J170" s="228"/>
      <c r="K170" s="228"/>
      <c r="L170" s="228"/>
      <c r="M170" s="228"/>
      <c r="N170" s="228"/>
      <c r="O170" s="228"/>
      <c r="P170" s="250">
        <v>45705</v>
      </c>
      <c r="Q170" s="250">
        <v>45709</v>
      </c>
      <c r="R170" s="228"/>
      <c r="S170" s="229">
        <v>5</v>
      </c>
      <c r="T170" s="229">
        <v>5</v>
      </c>
      <c r="U170" s="229">
        <v>5</v>
      </c>
      <c r="V170" s="229">
        <v>5</v>
      </c>
      <c r="W170" s="250"/>
      <c r="X170" s="250"/>
      <c r="Y170" s="230"/>
      <c r="Z170" s="231">
        <v>0</v>
      </c>
      <c r="AA170" s="229">
        <v>1</v>
      </c>
      <c r="AB170" s="228"/>
      <c r="AC170" s="192"/>
      <c r="AD170" s="234">
        <v>1</v>
      </c>
      <c r="AE170" s="242">
        <v>0</v>
      </c>
      <c r="AF170" s="240" t="str">
        <f>" " &amp; TEXT(AE170,"#0.00%") &amp; " " &amp; "분석" &amp; " " &amp; IF(P170="","",TEXT(P170,"M/D-")) &amp; IF(Q170="","",TEXT(Q170,"M/D")) &amp; " "</f>
        <v xml:space="preserve"> 0.00% 분석 2/17-2/21 </v>
      </c>
      <c r="AG170" s="241"/>
      <c r="AH170" s="241"/>
      <c r="AI170" s="241"/>
      <c r="AJ170" s="241"/>
      <c r="AK170" s="241"/>
      <c r="AL170" s="241"/>
      <c r="AM170" s="241"/>
      <c r="AN170" s="241"/>
      <c r="AO170" s="241"/>
      <c r="AP170" s="241"/>
      <c r="AQ170" s="241"/>
      <c r="AR170" s="241"/>
      <c r="AS170" s="241"/>
      <c r="AT170" s="241"/>
      <c r="AU170" s="241"/>
      <c r="AV170" s="241"/>
      <c r="AW170" s="241"/>
      <c r="AX170" s="241"/>
      <c r="AY170" s="241"/>
      <c r="AZ170" s="241"/>
      <c r="BA170" s="241"/>
      <c r="BB170" s="241"/>
      <c r="BC170" s="241"/>
      <c r="BD170" s="241"/>
      <c r="BE170" s="241"/>
      <c r="BF170" s="241"/>
      <c r="BG170" s="241"/>
      <c r="BH170" s="241"/>
      <c r="BI170" s="241"/>
      <c r="BJ170" s="241"/>
      <c r="BK170" s="241"/>
      <c r="BL170" s="241"/>
      <c r="BM170" s="241"/>
      <c r="BN170" s="241"/>
      <c r="BO170" s="241"/>
      <c r="BP170" s="241"/>
      <c r="BQ170" s="241"/>
      <c r="BR170" s="241"/>
      <c r="BS170" s="241"/>
      <c r="BT170" s="241"/>
      <c r="BU170" s="241"/>
      <c r="BV170" s="241"/>
      <c r="BW170" s="241"/>
      <c r="BX170" s="241"/>
      <c r="BY170" s="241"/>
      <c r="BZ170" s="241"/>
      <c r="CA170" s="241"/>
      <c r="CB170" s="241"/>
      <c r="CC170" s="241"/>
      <c r="CD170" s="241"/>
      <c r="CE170" s="241"/>
      <c r="CF170" s="241"/>
      <c r="CG170" s="241"/>
    </row>
    <row r="171" spans="1:85" ht="12" customHeight="1" outlineLevel="2">
      <c r="A171" s="227"/>
      <c r="B171" s="227"/>
      <c r="C171" s="227">
        <v>3</v>
      </c>
      <c r="D171" s="235" t="s">
        <v>1861</v>
      </c>
      <c r="E171" s="228"/>
      <c r="F171" s="228"/>
      <c r="G171" s="197" t="s">
        <v>1952</v>
      </c>
      <c r="H171" s="197"/>
      <c r="I171" s="197"/>
      <c r="J171" s="197"/>
      <c r="K171" s="197"/>
      <c r="L171" s="197"/>
      <c r="M171" s="197"/>
      <c r="N171" s="197"/>
      <c r="O171" s="197"/>
      <c r="P171" s="194">
        <v>45705</v>
      </c>
      <c r="Q171" s="194">
        <v>45730</v>
      </c>
      <c r="R171" s="228"/>
      <c r="S171" s="229">
        <v>19</v>
      </c>
      <c r="T171" s="229">
        <v>13</v>
      </c>
      <c r="U171" s="229">
        <v>19</v>
      </c>
      <c r="V171" s="229">
        <v>13</v>
      </c>
      <c r="W171" s="250"/>
      <c r="X171" s="250"/>
      <c r="Y171" s="230"/>
      <c r="Z171" s="231">
        <v>0</v>
      </c>
      <c r="AA171" s="229">
        <v>1</v>
      </c>
      <c r="AB171" s="197" t="s">
        <v>1907</v>
      </c>
      <c r="AC171" s="205" t="s">
        <v>1953</v>
      </c>
      <c r="AD171" s="234">
        <v>0.68421052631578949</v>
      </c>
      <c r="AE171" s="242">
        <v>0</v>
      </c>
      <c r="AF171" s="240" t="str">
        <f>" " &amp; TEXT(AE171,"#0.00%") &amp; " "</f>
        <v xml:space="preserve"> 0.00% </v>
      </c>
      <c r="AG171" s="241"/>
      <c r="AH171" s="241"/>
      <c r="AI171" s="241" t="str">
        <f>"      " &amp; "기획분석" &amp; "(김보배님)" &amp; " " &amp; IF(P171="","",TEXT(P171,"M/D-")) &amp; IF(Q171="","",TEXT(Q171,"M/D")) &amp; " "</f>
        <v xml:space="preserve">      기획분석(김보배님) 2/17-3/14 </v>
      </c>
      <c r="AJ171" s="241"/>
      <c r="AK171" s="241"/>
      <c r="AL171" s="241"/>
      <c r="AM171" s="241"/>
      <c r="AN171" s="241"/>
      <c r="AO171" s="241"/>
      <c r="AP171" s="241"/>
      <c r="AQ171" s="241"/>
      <c r="AR171" s="241"/>
      <c r="AS171" s="241"/>
      <c r="AT171" s="241"/>
      <c r="AU171" s="241"/>
      <c r="AV171" s="241"/>
      <c r="AW171" s="241"/>
      <c r="AX171" s="241"/>
      <c r="AY171" s="241"/>
      <c r="AZ171" s="241"/>
      <c r="BA171" s="241"/>
      <c r="BB171" s="241"/>
      <c r="BC171" s="241"/>
      <c r="BD171" s="241"/>
      <c r="BE171" s="241"/>
      <c r="BF171" s="241"/>
      <c r="BG171" s="241"/>
      <c r="BH171" s="241"/>
      <c r="BI171" s="241"/>
      <c r="BJ171" s="241"/>
      <c r="BK171" s="241"/>
      <c r="BL171" s="241"/>
      <c r="BM171" s="241"/>
      <c r="BN171" s="241"/>
      <c r="BO171" s="241"/>
      <c r="BP171" s="241"/>
      <c r="BQ171" s="241"/>
      <c r="BR171" s="241"/>
      <c r="BS171" s="241"/>
      <c r="BT171" s="241"/>
      <c r="BU171" s="241"/>
      <c r="BV171" s="241"/>
      <c r="BW171" s="241"/>
      <c r="BX171" s="241"/>
      <c r="BY171" s="241"/>
      <c r="BZ171" s="241"/>
      <c r="CA171" s="241"/>
      <c r="CB171" s="241"/>
      <c r="CC171" s="241"/>
      <c r="CD171" s="241"/>
      <c r="CE171" s="241"/>
      <c r="CF171" s="241"/>
      <c r="CG171" s="241"/>
    </row>
    <row r="172" spans="1:85" ht="12" customHeight="1" outlineLevel="2">
      <c r="A172" s="227"/>
      <c r="B172" s="227"/>
      <c r="C172" s="227">
        <v>3</v>
      </c>
      <c r="D172" s="235" t="s">
        <v>2002</v>
      </c>
      <c r="E172" s="228"/>
      <c r="F172" s="228"/>
      <c r="G172" s="197" t="s">
        <v>1705</v>
      </c>
      <c r="H172" s="197"/>
      <c r="I172" s="197"/>
      <c r="J172" s="197"/>
      <c r="K172" s="197"/>
      <c r="L172" s="197"/>
      <c r="M172" s="197"/>
      <c r="N172" s="197"/>
      <c r="O172" s="197"/>
      <c r="P172" s="194">
        <v>45733</v>
      </c>
      <c r="Q172" s="194">
        <v>45758</v>
      </c>
      <c r="R172" s="257"/>
      <c r="S172" s="193">
        <v>20</v>
      </c>
      <c r="T172" s="193">
        <v>0</v>
      </c>
      <c r="U172" s="193">
        <v>20</v>
      </c>
      <c r="V172" s="193">
        <v>0</v>
      </c>
      <c r="W172" s="194"/>
      <c r="X172" s="194"/>
      <c r="Y172" s="195"/>
      <c r="Z172" s="196">
        <v>0</v>
      </c>
      <c r="AA172" s="193">
        <v>1</v>
      </c>
      <c r="AB172" s="197" t="s">
        <v>1907</v>
      </c>
      <c r="AC172" s="205" t="s">
        <v>1953</v>
      </c>
      <c r="AD172" s="199">
        <v>0</v>
      </c>
      <c r="AE172" s="253">
        <v>0</v>
      </c>
      <c r="AF172" s="240"/>
      <c r="AG172" s="241"/>
      <c r="AH172" s="241"/>
      <c r="AI172" s="241"/>
      <c r="AJ172" s="241" t="str">
        <f>" " &amp; TEXT(AE172,"#0.00%") &amp; " "</f>
        <v xml:space="preserve"> 0.00% </v>
      </c>
      <c r="AK172" s="241"/>
      <c r="AL172" s="241"/>
      <c r="AM172" s="241" t="str">
        <f>"      " &amp; "기획" &amp; "(김보배님)" &amp; " " &amp; IF(P172="","",TEXT(P172,"M/D-")) &amp; IF(Q172="","",TEXT(Q172,"M/D")) &amp; " "</f>
        <v xml:space="preserve">      기획(김보배님) 3/17-4/11 </v>
      </c>
      <c r="AN172" s="241"/>
      <c r="AO172" s="241"/>
      <c r="AP172" s="241"/>
      <c r="AQ172" s="241"/>
      <c r="AR172" s="241"/>
      <c r="AS172" s="241"/>
      <c r="AT172" s="241"/>
      <c r="AU172" s="241"/>
      <c r="AV172" s="241"/>
      <c r="AW172" s="241"/>
      <c r="AX172" s="241"/>
      <c r="AY172" s="241"/>
      <c r="AZ172" s="241"/>
      <c r="BA172" s="241"/>
      <c r="BB172" s="241"/>
      <c r="BC172" s="241"/>
      <c r="BD172" s="241"/>
      <c r="BE172" s="241"/>
      <c r="BF172" s="241"/>
      <c r="BG172" s="241"/>
      <c r="BH172" s="241"/>
      <c r="BI172" s="241"/>
      <c r="BJ172" s="241"/>
      <c r="BK172" s="241"/>
      <c r="BL172" s="241"/>
      <c r="BM172" s="241"/>
      <c r="BN172" s="241"/>
      <c r="BO172" s="241"/>
      <c r="BP172" s="241"/>
      <c r="BQ172" s="241"/>
      <c r="BR172" s="241"/>
      <c r="BS172" s="241"/>
      <c r="BT172" s="241"/>
      <c r="BU172" s="241"/>
      <c r="BV172" s="241"/>
      <c r="BW172" s="241"/>
      <c r="BX172" s="241"/>
      <c r="BY172" s="241"/>
      <c r="BZ172" s="241"/>
      <c r="CA172" s="241"/>
      <c r="CB172" s="241"/>
      <c r="CC172" s="241"/>
      <c r="CD172" s="241"/>
      <c r="CE172" s="241"/>
      <c r="CF172" s="241"/>
      <c r="CG172" s="241"/>
    </row>
    <row r="173" spans="1:85" ht="12" customHeight="1" outlineLevel="2">
      <c r="A173" s="227"/>
      <c r="B173" s="227"/>
      <c r="C173" s="227">
        <v>3</v>
      </c>
      <c r="D173" s="235" t="s">
        <v>2003</v>
      </c>
      <c r="E173" s="228"/>
      <c r="F173" s="228"/>
      <c r="G173" s="197" t="s">
        <v>1706</v>
      </c>
      <c r="H173" s="197"/>
      <c r="I173" s="197"/>
      <c r="J173" s="197"/>
      <c r="K173" s="197"/>
      <c r="L173" s="197"/>
      <c r="M173" s="197"/>
      <c r="N173" s="197"/>
      <c r="O173" s="197"/>
      <c r="P173" s="194">
        <v>45740</v>
      </c>
      <c r="Q173" s="194">
        <v>45765</v>
      </c>
      <c r="R173" s="257"/>
      <c r="S173" s="193">
        <v>20</v>
      </c>
      <c r="T173" s="193">
        <v>0</v>
      </c>
      <c r="U173" s="193">
        <v>20</v>
      </c>
      <c r="V173" s="193">
        <v>0</v>
      </c>
      <c r="W173" s="194"/>
      <c r="X173" s="194"/>
      <c r="Y173" s="195"/>
      <c r="Z173" s="196">
        <v>0</v>
      </c>
      <c r="AA173" s="193">
        <v>1</v>
      </c>
      <c r="AB173" s="197" t="s">
        <v>1906</v>
      </c>
      <c r="AC173" s="205" t="s">
        <v>1954</v>
      </c>
      <c r="AD173" s="199">
        <v>0</v>
      </c>
      <c r="AE173" s="253">
        <v>0</v>
      </c>
      <c r="AF173" s="240"/>
      <c r="AG173" s="241"/>
      <c r="AH173" s="241"/>
      <c r="AI173" s="241"/>
      <c r="AJ173" s="241"/>
      <c r="AK173" s="241" t="str">
        <f>" " &amp; TEXT(AE173,"#0.00%") &amp; " "</f>
        <v xml:space="preserve"> 0.00% </v>
      </c>
      <c r="AL173" s="241"/>
      <c r="AM173" s="241"/>
      <c r="AN173" s="241" t="str">
        <f>"      " &amp; "디자인" &amp; "(명예지님)" &amp; " " &amp; IF(P173="","",TEXT(P173,"M/D-")) &amp; IF(Q173="","",TEXT(Q173,"M/D")) &amp; " "</f>
        <v xml:space="preserve">      디자인(명예지님) 3/24-4/18 </v>
      </c>
      <c r="AO173" s="241"/>
      <c r="AP173" s="241"/>
      <c r="AQ173" s="241"/>
      <c r="AR173" s="241"/>
      <c r="AS173" s="241"/>
      <c r="AT173" s="241"/>
      <c r="AU173" s="241"/>
      <c r="AV173" s="241"/>
      <c r="AW173" s="241"/>
      <c r="AX173" s="241"/>
      <c r="AY173" s="241"/>
      <c r="AZ173" s="241"/>
      <c r="BA173" s="241"/>
      <c r="BB173" s="241"/>
      <c r="BC173" s="241"/>
      <c r="BD173" s="241"/>
      <c r="BE173" s="241"/>
      <c r="BF173" s="241"/>
      <c r="BG173" s="241"/>
      <c r="BH173" s="241"/>
      <c r="BI173" s="241"/>
      <c r="BJ173" s="241"/>
      <c r="BK173" s="241"/>
      <c r="BL173" s="241"/>
      <c r="BM173" s="241"/>
      <c r="BN173" s="241"/>
      <c r="BO173" s="241"/>
      <c r="BP173" s="241"/>
      <c r="BQ173" s="241"/>
      <c r="BR173" s="241"/>
      <c r="BS173" s="241"/>
      <c r="BT173" s="241"/>
      <c r="BU173" s="241"/>
      <c r="BV173" s="241"/>
      <c r="BW173" s="241"/>
      <c r="BX173" s="241"/>
      <c r="BY173" s="241"/>
      <c r="BZ173" s="241"/>
      <c r="CA173" s="241"/>
      <c r="CB173" s="241"/>
      <c r="CC173" s="241"/>
      <c r="CD173" s="241"/>
      <c r="CE173" s="241"/>
      <c r="CF173" s="241"/>
      <c r="CG173" s="241"/>
    </row>
    <row r="174" spans="1:85" ht="12" customHeight="1" outlineLevel="2">
      <c r="A174" s="227"/>
      <c r="B174" s="227"/>
      <c r="C174" s="227">
        <v>3</v>
      </c>
      <c r="D174" s="235" t="s">
        <v>2004</v>
      </c>
      <c r="E174" s="228"/>
      <c r="F174" s="228"/>
      <c r="G174" s="197" t="s">
        <v>1678</v>
      </c>
      <c r="H174" s="197"/>
      <c r="I174" s="197"/>
      <c r="J174" s="197"/>
      <c r="K174" s="197"/>
      <c r="L174" s="197"/>
      <c r="M174" s="197"/>
      <c r="N174" s="197"/>
      <c r="O174" s="197"/>
      <c r="P174" s="194">
        <v>45705</v>
      </c>
      <c r="Q174" s="194">
        <v>45709</v>
      </c>
      <c r="R174" s="228"/>
      <c r="S174" s="229">
        <v>5</v>
      </c>
      <c r="T174" s="229">
        <v>5</v>
      </c>
      <c r="U174" s="229">
        <v>5</v>
      </c>
      <c r="V174" s="229">
        <v>5</v>
      </c>
      <c r="W174" s="250"/>
      <c r="X174" s="250"/>
      <c r="Y174" s="230"/>
      <c r="Z174" s="231">
        <v>0</v>
      </c>
      <c r="AA174" s="229">
        <v>1</v>
      </c>
      <c r="AB174" s="228"/>
      <c r="AC174" s="192"/>
      <c r="AD174" s="234">
        <v>1</v>
      </c>
      <c r="AE174" s="242">
        <v>0</v>
      </c>
      <c r="AF174" s="240" t="str">
        <f>" " &amp; TEXT(AE174,"#0.00%") &amp; " " &amp; "전환 Base Line 설정 " &amp; " " &amp; IF(P174="","",TEXT(P174,"M/D-")) &amp; IF(Q174="","",TEXT(Q174,"M/D")) &amp; " "</f>
        <v xml:space="preserve"> 0.00% 전환 Base Line 설정  2/17-2/21 </v>
      </c>
      <c r="AG174" s="241"/>
      <c r="AH174" s="241"/>
      <c r="AI174" s="241"/>
      <c r="AJ174" s="241"/>
      <c r="AK174" s="241"/>
      <c r="AL174" s="241"/>
      <c r="AM174" s="241"/>
      <c r="AN174" s="241"/>
      <c r="AO174" s="241"/>
      <c r="AP174" s="241"/>
      <c r="AQ174" s="241"/>
      <c r="AR174" s="241"/>
      <c r="AS174" s="241"/>
      <c r="AT174" s="241"/>
      <c r="AU174" s="241"/>
      <c r="AV174" s="241"/>
      <c r="AW174" s="241"/>
      <c r="AX174" s="241"/>
      <c r="AY174" s="241"/>
      <c r="AZ174" s="241"/>
      <c r="BA174" s="241"/>
      <c r="BB174" s="241"/>
      <c r="BC174" s="241"/>
      <c r="BD174" s="241"/>
      <c r="BE174" s="241"/>
      <c r="BF174" s="241"/>
      <c r="BG174" s="241"/>
      <c r="BH174" s="241"/>
      <c r="BI174" s="241"/>
      <c r="BJ174" s="241"/>
      <c r="BK174" s="241"/>
      <c r="BL174" s="241"/>
      <c r="BM174" s="241"/>
      <c r="BN174" s="241"/>
      <c r="BO174" s="241"/>
      <c r="BP174" s="241"/>
      <c r="BQ174" s="241"/>
      <c r="BR174" s="241"/>
      <c r="BS174" s="241"/>
      <c r="BT174" s="241"/>
      <c r="BU174" s="241"/>
      <c r="BV174" s="241"/>
      <c r="BW174" s="241"/>
      <c r="BX174" s="241"/>
      <c r="BY174" s="241"/>
      <c r="BZ174" s="241"/>
      <c r="CA174" s="241"/>
      <c r="CB174" s="241"/>
      <c r="CC174" s="241"/>
      <c r="CD174" s="241"/>
      <c r="CE174" s="241"/>
      <c r="CF174" s="241"/>
      <c r="CG174" s="241"/>
    </row>
    <row r="175" spans="1:85" ht="12" customHeight="1" outlineLevel="2">
      <c r="A175" s="227"/>
      <c r="B175" s="227"/>
      <c r="C175" s="227">
        <v>3</v>
      </c>
      <c r="D175" s="235" t="s">
        <v>2005</v>
      </c>
      <c r="E175" s="228"/>
      <c r="F175" s="228"/>
      <c r="G175" s="197" t="s">
        <v>1679</v>
      </c>
      <c r="H175" s="197"/>
      <c r="I175" s="197"/>
      <c r="J175" s="197"/>
      <c r="K175" s="197"/>
      <c r="L175" s="197"/>
      <c r="M175" s="197"/>
      <c r="N175" s="197"/>
      <c r="O175" s="197"/>
      <c r="P175" s="194">
        <v>45705</v>
      </c>
      <c r="Q175" s="194">
        <v>45709</v>
      </c>
      <c r="R175" s="228"/>
      <c r="S175" s="229">
        <v>5</v>
      </c>
      <c r="T175" s="229">
        <v>5</v>
      </c>
      <c r="U175" s="229">
        <v>5</v>
      </c>
      <c r="V175" s="229">
        <v>5</v>
      </c>
      <c r="W175" s="250"/>
      <c r="X175" s="250"/>
      <c r="Y175" s="230"/>
      <c r="Z175" s="231">
        <v>0</v>
      </c>
      <c r="AA175" s="229">
        <v>1</v>
      </c>
      <c r="AB175" s="228"/>
      <c r="AC175" s="192"/>
      <c r="AD175" s="234">
        <v>1</v>
      </c>
      <c r="AE175" s="242">
        <v>0</v>
      </c>
      <c r="AF175" s="240" t="str">
        <f>" " &amp; TEXT(AE175,"#0.00%") &amp; " " &amp; "sonarQube, Secure Code 예외처리를 위한 base line  설정 " &amp; " " &amp; IF(P175="","",TEXT(P175,"M/D-")) &amp; IF(Q175="","",TEXT(Q175,"M/D")) &amp; " "</f>
        <v xml:space="preserve"> 0.00% sonarQube, Secure Code 예외처리를 위한 base line  설정  2/17-2/21 </v>
      </c>
      <c r="AG175" s="241"/>
      <c r="AH175" s="241"/>
      <c r="AI175" s="241"/>
      <c r="AJ175" s="241"/>
      <c r="AK175" s="241"/>
      <c r="AL175" s="241"/>
      <c r="AM175" s="241"/>
      <c r="AN175" s="241"/>
      <c r="AO175" s="241"/>
      <c r="AP175" s="241"/>
      <c r="AQ175" s="241"/>
      <c r="AR175" s="241"/>
      <c r="AS175" s="241"/>
      <c r="AT175" s="241"/>
      <c r="AU175" s="241"/>
      <c r="AV175" s="241"/>
      <c r="AW175" s="241"/>
      <c r="AX175" s="241"/>
      <c r="AY175" s="241"/>
      <c r="AZ175" s="241"/>
      <c r="BA175" s="241"/>
      <c r="BB175" s="241"/>
      <c r="BC175" s="241"/>
      <c r="BD175" s="241"/>
      <c r="BE175" s="241"/>
      <c r="BF175" s="241"/>
      <c r="BG175" s="241"/>
      <c r="BH175" s="241"/>
      <c r="BI175" s="241"/>
      <c r="BJ175" s="241"/>
      <c r="BK175" s="241"/>
      <c r="BL175" s="241"/>
      <c r="BM175" s="241"/>
      <c r="BN175" s="241"/>
      <c r="BO175" s="241"/>
      <c r="BP175" s="241"/>
      <c r="BQ175" s="241"/>
      <c r="BR175" s="241"/>
      <c r="BS175" s="241"/>
      <c r="BT175" s="241"/>
      <c r="BU175" s="241"/>
      <c r="BV175" s="241"/>
      <c r="BW175" s="241"/>
      <c r="BX175" s="241"/>
      <c r="BY175" s="241"/>
      <c r="BZ175" s="241"/>
      <c r="CA175" s="241"/>
      <c r="CB175" s="241"/>
      <c r="CC175" s="241"/>
      <c r="CD175" s="241"/>
      <c r="CE175" s="241"/>
      <c r="CF175" s="241"/>
      <c r="CG175" s="241"/>
    </row>
    <row r="176" spans="1:85" ht="12" customHeight="1" outlineLevel="2">
      <c r="A176" s="227"/>
      <c r="B176" s="227"/>
      <c r="C176" s="227">
        <v>3</v>
      </c>
      <c r="D176" s="235" t="s">
        <v>2006</v>
      </c>
      <c r="E176" s="228"/>
      <c r="F176" s="228"/>
      <c r="G176" s="197" t="s">
        <v>1449</v>
      </c>
      <c r="H176" s="197"/>
      <c r="I176" s="197"/>
      <c r="J176" s="197"/>
      <c r="K176" s="197"/>
      <c r="L176" s="197"/>
      <c r="M176" s="197"/>
      <c r="N176" s="197"/>
      <c r="O176" s="197"/>
      <c r="P176" s="194">
        <v>45705</v>
      </c>
      <c r="Q176" s="194">
        <v>45709</v>
      </c>
      <c r="R176" s="228"/>
      <c r="S176" s="229">
        <v>5</v>
      </c>
      <c r="T176" s="229">
        <v>5</v>
      </c>
      <c r="U176" s="229">
        <v>5</v>
      </c>
      <c r="V176" s="229">
        <v>5</v>
      </c>
      <c r="W176" s="250"/>
      <c r="X176" s="250"/>
      <c r="Y176" s="230"/>
      <c r="Z176" s="231">
        <v>0</v>
      </c>
      <c r="AA176" s="229">
        <v>1</v>
      </c>
      <c r="AB176" s="228"/>
      <c r="AC176" s="192"/>
      <c r="AD176" s="234">
        <v>1</v>
      </c>
      <c r="AE176" s="242">
        <v>0</v>
      </c>
      <c r="AF176" s="240" t="str">
        <f>" " &amp; TEXT(AE176,"#0.00%") &amp; " " &amp; "설계" &amp; " " &amp; IF(P176="","",TEXT(P176,"M/D-")) &amp; IF(Q176="","",TEXT(Q176,"M/D")) &amp; " "</f>
        <v xml:space="preserve"> 0.00% 설계 2/17-2/21 </v>
      </c>
      <c r="AG176" s="241"/>
      <c r="AH176" s="241"/>
      <c r="AI176" s="241"/>
      <c r="AJ176" s="241"/>
      <c r="AK176" s="241"/>
      <c r="AL176" s="241"/>
      <c r="AM176" s="241"/>
      <c r="AN176" s="241"/>
      <c r="AO176" s="241"/>
      <c r="AP176" s="241"/>
      <c r="AQ176" s="241"/>
      <c r="AR176" s="241"/>
      <c r="AS176" s="241"/>
      <c r="AT176" s="241"/>
      <c r="AU176" s="241"/>
      <c r="AV176" s="241"/>
      <c r="AW176" s="241"/>
      <c r="AX176" s="241"/>
      <c r="AY176" s="241"/>
      <c r="AZ176" s="241"/>
      <c r="BA176" s="241"/>
      <c r="BB176" s="241"/>
      <c r="BC176" s="241"/>
      <c r="BD176" s="241"/>
      <c r="BE176" s="241"/>
      <c r="BF176" s="241"/>
      <c r="BG176" s="241"/>
      <c r="BH176" s="241"/>
      <c r="BI176" s="241"/>
      <c r="BJ176" s="241"/>
      <c r="BK176" s="241"/>
      <c r="BL176" s="241"/>
      <c r="BM176" s="241"/>
      <c r="BN176" s="241"/>
      <c r="BO176" s="241"/>
      <c r="BP176" s="241"/>
      <c r="BQ176" s="241"/>
      <c r="BR176" s="241"/>
      <c r="BS176" s="241"/>
      <c r="BT176" s="241"/>
      <c r="BU176" s="241"/>
      <c r="BV176" s="241"/>
      <c r="BW176" s="241"/>
      <c r="BX176" s="241"/>
      <c r="BY176" s="241"/>
      <c r="BZ176" s="241"/>
      <c r="CA176" s="241"/>
      <c r="CB176" s="241"/>
      <c r="CC176" s="241"/>
      <c r="CD176" s="241"/>
      <c r="CE176" s="241"/>
      <c r="CF176" s="241"/>
      <c r="CG176" s="241"/>
    </row>
    <row r="177" spans="1:85" ht="12" customHeight="1" outlineLevel="2">
      <c r="A177" s="227"/>
      <c r="B177" s="227"/>
      <c r="C177" s="227">
        <v>3</v>
      </c>
      <c r="D177" s="235" t="s">
        <v>2007</v>
      </c>
      <c r="E177" s="228"/>
      <c r="F177" s="228"/>
      <c r="G177" s="197" t="s">
        <v>1519</v>
      </c>
      <c r="H177" s="197"/>
      <c r="I177" s="197"/>
      <c r="J177" s="197"/>
      <c r="K177" s="197"/>
      <c r="L177" s="197"/>
      <c r="M177" s="197"/>
      <c r="N177" s="197"/>
      <c r="O177" s="197"/>
      <c r="P177" s="194">
        <v>45705</v>
      </c>
      <c r="Q177" s="194">
        <v>45709</v>
      </c>
      <c r="R177" s="228"/>
      <c r="S177" s="229">
        <v>5</v>
      </c>
      <c r="T177" s="229">
        <v>5</v>
      </c>
      <c r="U177" s="229">
        <v>5</v>
      </c>
      <c r="V177" s="229">
        <v>5</v>
      </c>
      <c r="W177" s="250"/>
      <c r="X177" s="250"/>
      <c r="Y177" s="230"/>
      <c r="Z177" s="231">
        <v>0</v>
      </c>
      <c r="AA177" s="229">
        <v>1</v>
      </c>
      <c r="AB177" s="228"/>
      <c r="AC177" s="192"/>
      <c r="AD177" s="234">
        <v>1</v>
      </c>
      <c r="AE177" s="242">
        <v>0</v>
      </c>
      <c r="AF177" s="240" t="str">
        <f>" " &amp; TEXT(AE177,"#0.00%") &amp; " " &amp; "구현" &amp; " " &amp; IF(P177="","",TEXT(P177,"M/D-")) &amp; IF(Q177="","",TEXT(Q177,"M/D")) &amp; " "</f>
        <v xml:space="preserve"> 0.00% 구현 2/17-2/21 </v>
      </c>
      <c r="AG177" s="241"/>
      <c r="AH177" s="241"/>
      <c r="AI177" s="241"/>
      <c r="AJ177" s="241"/>
      <c r="AK177" s="241"/>
      <c r="AL177" s="241"/>
      <c r="AM177" s="241"/>
      <c r="AN177" s="241"/>
      <c r="AO177" s="241"/>
      <c r="AP177" s="241"/>
      <c r="AQ177" s="241"/>
      <c r="AR177" s="241"/>
      <c r="AS177" s="241"/>
      <c r="AT177" s="241"/>
      <c r="AU177" s="241"/>
      <c r="AV177" s="241"/>
      <c r="AW177" s="241"/>
      <c r="AX177" s="241"/>
      <c r="AY177" s="241"/>
      <c r="AZ177" s="241"/>
      <c r="BA177" s="241"/>
      <c r="BB177" s="241"/>
      <c r="BC177" s="241"/>
      <c r="BD177" s="241"/>
      <c r="BE177" s="241"/>
      <c r="BF177" s="241"/>
      <c r="BG177" s="241"/>
      <c r="BH177" s="241"/>
      <c r="BI177" s="241"/>
      <c r="BJ177" s="241"/>
      <c r="BK177" s="241"/>
      <c r="BL177" s="241"/>
      <c r="BM177" s="241"/>
      <c r="BN177" s="241"/>
      <c r="BO177" s="241"/>
      <c r="BP177" s="241"/>
      <c r="BQ177" s="241"/>
      <c r="BR177" s="241"/>
      <c r="BS177" s="241"/>
      <c r="BT177" s="241"/>
      <c r="BU177" s="241"/>
      <c r="BV177" s="241"/>
      <c r="BW177" s="241"/>
      <c r="BX177" s="241"/>
      <c r="BY177" s="241"/>
      <c r="BZ177" s="241"/>
      <c r="CA177" s="241"/>
      <c r="CB177" s="241"/>
      <c r="CC177" s="241"/>
      <c r="CD177" s="241"/>
      <c r="CE177" s="241"/>
      <c r="CF177" s="241"/>
      <c r="CG177" s="241"/>
    </row>
    <row r="178" spans="1:85" ht="12" customHeight="1" outlineLevel="1">
      <c r="A178" s="227"/>
      <c r="B178" s="227" t="s">
        <v>1766</v>
      </c>
      <c r="C178" s="227">
        <v>2</v>
      </c>
      <c r="D178" s="235" t="s">
        <v>1862</v>
      </c>
      <c r="E178" s="228"/>
      <c r="F178" s="228" t="s">
        <v>1703</v>
      </c>
      <c r="G178" s="197"/>
      <c r="H178" s="197"/>
      <c r="I178" s="197"/>
      <c r="J178" s="197"/>
      <c r="K178" s="197"/>
      <c r="L178" s="197"/>
      <c r="M178" s="197"/>
      <c r="N178" s="197"/>
      <c r="O178" s="197"/>
      <c r="P178" s="194">
        <v>45705</v>
      </c>
      <c r="Q178" s="194">
        <v>45807</v>
      </c>
      <c r="R178" s="228"/>
      <c r="S178" s="229">
        <v>51</v>
      </c>
      <c r="T178" s="229">
        <v>25</v>
      </c>
      <c r="U178" s="229">
        <v>72</v>
      </c>
      <c r="V178" s="229">
        <v>13</v>
      </c>
      <c r="W178" s="250"/>
      <c r="X178" s="250"/>
      <c r="Y178" s="230">
        <v>0</v>
      </c>
      <c r="Z178" s="231">
        <v>0</v>
      </c>
      <c r="AA178" s="229"/>
      <c r="AB178" s="228"/>
      <c r="AC178" s="192"/>
      <c r="AD178" s="234">
        <v>0.49019607843137253</v>
      </c>
      <c r="AE178" s="243">
        <v>0</v>
      </c>
      <c r="AF178" s="240" t="str">
        <f>" " &amp; TEXT(AE178,"#0.00%") &amp; " "</f>
        <v xml:space="preserve"> 0.00% </v>
      </c>
      <c r="AG178" s="241"/>
      <c r="AH178" s="241"/>
      <c r="AI178" s="241"/>
      <c r="AJ178" s="241"/>
      <c r="AK178" s="241"/>
      <c r="AL178" s="241"/>
      <c r="AM178" s="241"/>
      <c r="AN178" s="241"/>
      <c r="AO178" s="241"/>
      <c r="AP178" s="241"/>
      <c r="AQ178" s="241"/>
      <c r="AR178" s="241"/>
      <c r="AS178" s="241"/>
      <c r="AT178" s="241" t="str">
        <f>"      " &amp; "키오스크 구축" &amp; " " &amp; IF(P178="","",TEXT(P178,"M/D-")) &amp; IF(Q178="","",TEXT(Q178,"M/D")) &amp; " "</f>
        <v xml:space="preserve">      키오스크 구축 2/17-5/30 </v>
      </c>
      <c r="AU178" s="241"/>
      <c r="AV178" s="241"/>
      <c r="AW178" s="241"/>
      <c r="AX178" s="241"/>
      <c r="AY178" s="241"/>
      <c r="AZ178" s="241"/>
      <c r="BA178" s="241"/>
      <c r="BB178" s="241"/>
      <c r="BC178" s="241"/>
      <c r="BD178" s="241"/>
      <c r="BE178" s="241"/>
      <c r="BF178" s="241"/>
      <c r="BG178" s="241"/>
      <c r="BH178" s="241"/>
      <c r="BI178" s="241"/>
      <c r="BJ178" s="241"/>
      <c r="BK178" s="241"/>
      <c r="BL178" s="241"/>
      <c r="BM178" s="241"/>
      <c r="BN178" s="241"/>
      <c r="BO178" s="241"/>
      <c r="BP178" s="241"/>
      <c r="BQ178" s="241"/>
      <c r="BR178" s="241"/>
      <c r="BS178" s="241"/>
      <c r="BT178" s="241"/>
      <c r="BU178" s="241"/>
      <c r="BV178" s="241"/>
      <c r="BW178" s="241"/>
      <c r="BX178" s="241"/>
      <c r="BY178" s="241"/>
      <c r="BZ178" s="241"/>
      <c r="CA178" s="241"/>
      <c r="CB178" s="241"/>
      <c r="CC178" s="241"/>
      <c r="CD178" s="241"/>
      <c r="CE178" s="241"/>
      <c r="CF178" s="241"/>
      <c r="CG178" s="241"/>
    </row>
    <row r="179" spans="1:85" ht="12" customHeight="1" outlineLevel="2">
      <c r="A179" s="227"/>
      <c r="B179" s="227"/>
      <c r="C179" s="227">
        <v>3</v>
      </c>
      <c r="D179" s="235" t="s">
        <v>1863</v>
      </c>
      <c r="E179" s="228"/>
      <c r="F179" s="228"/>
      <c r="G179" s="197" t="s">
        <v>1445</v>
      </c>
      <c r="H179" s="197"/>
      <c r="I179" s="197"/>
      <c r="J179" s="197"/>
      <c r="K179" s="197"/>
      <c r="L179" s="197"/>
      <c r="M179" s="197"/>
      <c r="N179" s="197"/>
      <c r="O179" s="197"/>
      <c r="P179" s="194">
        <v>45705</v>
      </c>
      <c r="Q179" s="194">
        <v>45709</v>
      </c>
      <c r="R179" s="228"/>
      <c r="S179" s="229">
        <v>5</v>
      </c>
      <c r="T179" s="229">
        <v>5</v>
      </c>
      <c r="U179" s="229">
        <v>5</v>
      </c>
      <c r="V179" s="229">
        <v>5</v>
      </c>
      <c r="W179" s="250"/>
      <c r="X179" s="250"/>
      <c r="Y179" s="230"/>
      <c r="Z179" s="231">
        <v>0</v>
      </c>
      <c r="AA179" s="229">
        <v>1</v>
      </c>
      <c r="AB179" s="228"/>
      <c r="AC179" s="192"/>
      <c r="AD179" s="234">
        <v>1</v>
      </c>
      <c r="AE179" s="242">
        <v>0</v>
      </c>
      <c r="AF179" s="240" t="str">
        <f>" " &amp; TEXT(AE179,"#0.00%") &amp; " " &amp; "분석" &amp; " " &amp; IF(P179="","",TEXT(P179,"M/D-")) &amp; IF(Q179="","",TEXT(Q179,"M/D")) &amp; " "</f>
        <v xml:space="preserve"> 0.00% 분석 2/17-2/21 </v>
      </c>
      <c r="AG179" s="241"/>
      <c r="AH179" s="241"/>
      <c r="AI179" s="241"/>
      <c r="AJ179" s="241"/>
      <c r="AK179" s="241"/>
      <c r="AL179" s="241"/>
      <c r="AM179" s="241"/>
      <c r="AN179" s="241"/>
      <c r="AO179" s="241"/>
      <c r="AP179" s="241"/>
      <c r="AQ179" s="241"/>
      <c r="AR179" s="241"/>
      <c r="AS179" s="241"/>
      <c r="AT179" s="241"/>
      <c r="AU179" s="241"/>
      <c r="AV179" s="241"/>
      <c r="AW179" s="241"/>
      <c r="AX179" s="241"/>
      <c r="AY179" s="241"/>
      <c r="AZ179" s="241"/>
      <c r="BA179" s="241"/>
      <c r="BB179" s="241"/>
      <c r="BC179" s="241"/>
      <c r="BD179" s="241"/>
      <c r="BE179" s="241"/>
      <c r="BF179" s="241"/>
      <c r="BG179" s="241"/>
      <c r="BH179" s="241"/>
      <c r="BI179" s="241"/>
      <c r="BJ179" s="241"/>
      <c r="BK179" s="241"/>
      <c r="BL179" s="241"/>
      <c r="BM179" s="241"/>
      <c r="BN179" s="241"/>
      <c r="BO179" s="241"/>
      <c r="BP179" s="241"/>
      <c r="BQ179" s="241"/>
      <c r="BR179" s="241"/>
      <c r="BS179" s="241"/>
      <c r="BT179" s="241"/>
      <c r="BU179" s="241"/>
      <c r="BV179" s="241"/>
      <c r="BW179" s="241"/>
      <c r="BX179" s="241"/>
      <c r="BY179" s="241"/>
      <c r="BZ179" s="241"/>
      <c r="CA179" s="241"/>
      <c r="CB179" s="241"/>
      <c r="CC179" s="241"/>
      <c r="CD179" s="241"/>
      <c r="CE179" s="241"/>
      <c r="CF179" s="241"/>
      <c r="CG179" s="241"/>
    </row>
    <row r="180" spans="1:85" ht="12" customHeight="1" outlineLevel="2">
      <c r="A180" s="227"/>
      <c r="B180" s="227"/>
      <c r="C180" s="227">
        <v>3</v>
      </c>
      <c r="D180" s="235" t="s">
        <v>1864</v>
      </c>
      <c r="E180" s="228"/>
      <c r="F180" s="228"/>
      <c r="G180" s="197" t="s">
        <v>1952</v>
      </c>
      <c r="H180" s="197"/>
      <c r="I180" s="197"/>
      <c r="J180" s="197"/>
      <c r="K180" s="197"/>
      <c r="L180" s="197"/>
      <c r="M180" s="197"/>
      <c r="N180" s="197"/>
      <c r="O180" s="197"/>
      <c r="P180" s="194">
        <v>45778</v>
      </c>
      <c r="Q180" s="194">
        <v>45779</v>
      </c>
      <c r="R180" s="228"/>
      <c r="S180" s="229">
        <v>1</v>
      </c>
      <c r="T180" s="229">
        <v>0</v>
      </c>
      <c r="U180" s="229">
        <v>1</v>
      </c>
      <c r="V180" s="229">
        <v>0</v>
      </c>
      <c r="W180" s="250"/>
      <c r="X180" s="250"/>
      <c r="Y180" s="230"/>
      <c r="Z180" s="231">
        <v>0</v>
      </c>
      <c r="AA180" s="229">
        <v>1</v>
      </c>
      <c r="AB180" s="197" t="s">
        <v>1907</v>
      </c>
      <c r="AC180" s="205" t="s">
        <v>1953</v>
      </c>
      <c r="AD180" s="234">
        <v>0</v>
      </c>
      <c r="AE180" s="253">
        <v>0</v>
      </c>
      <c r="AF180" s="240"/>
      <c r="AG180" s="241"/>
      <c r="AH180" s="241"/>
      <c r="AI180" s="241"/>
      <c r="AJ180" s="241"/>
      <c r="AK180" s="241"/>
      <c r="AL180" s="241"/>
      <c r="AM180" s="241"/>
      <c r="AN180" s="241"/>
      <c r="AO180" s="241"/>
      <c r="AP180" s="241" t="str">
        <f>"    " &amp; TEXT(AE180,"#0.00%") &amp; " " &amp; "기획분석" &amp; "(김보배님)" &amp; " " &amp; IF(P180="","",TEXT(P180,"M/D-")) &amp; IF(Q180="","",TEXT(Q180,"M/D")) &amp; " "</f>
        <v xml:space="preserve">    0.00% 기획분석(김보배님) 5/1-5/2 </v>
      </c>
      <c r="AQ180" s="241"/>
      <c r="AR180" s="241"/>
      <c r="AS180" s="241"/>
      <c r="AT180" s="241"/>
      <c r="AU180" s="241"/>
      <c r="AV180" s="241"/>
      <c r="AW180" s="241"/>
      <c r="AX180" s="241"/>
      <c r="AY180" s="241"/>
      <c r="AZ180" s="241"/>
      <c r="BA180" s="241"/>
      <c r="BB180" s="241"/>
      <c r="BC180" s="241"/>
      <c r="BD180" s="241"/>
      <c r="BE180" s="241"/>
      <c r="BF180" s="241"/>
      <c r="BG180" s="241"/>
      <c r="BH180" s="241"/>
      <c r="BI180" s="241"/>
      <c r="BJ180" s="241"/>
      <c r="BK180" s="241"/>
      <c r="BL180" s="241"/>
      <c r="BM180" s="241"/>
      <c r="BN180" s="241"/>
      <c r="BO180" s="241"/>
      <c r="BP180" s="241"/>
      <c r="BQ180" s="241"/>
      <c r="BR180" s="241"/>
      <c r="BS180" s="241"/>
      <c r="BT180" s="241"/>
      <c r="BU180" s="241"/>
      <c r="BV180" s="241"/>
      <c r="BW180" s="241"/>
      <c r="BX180" s="241"/>
      <c r="BY180" s="241"/>
      <c r="BZ180" s="241"/>
      <c r="CA180" s="241"/>
      <c r="CB180" s="241"/>
      <c r="CC180" s="241"/>
      <c r="CD180" s="241"/>
      <c r="CE180" s="241"/>
      <c r="CF180" s="241"/>
      <c r="CG180" s="241"/>
    </row>
    <row r="181" spans="1:85" ht="12" customHeight="1" outlineLevel="2">
      <c r="A181" s="227"/>
      <c r="B181" s="227"/>
      <c r="C181" s="227">
        <v>3</v>
      </c>
      <c r="D181" s="235" t="s">
        <v>2008</v>
      </c>
      <c r="E181" s="228"/>
      <c r="F181" s="228"/>
      <c r="G181" s="197" t="s">
        <v>1705</v>
      </c>
      <c r="H181" s="197"/>
      <c r="I181" s="197"/>
      <c r="J181" s="197"/>
      <c r="K181" s="197"/>
      <c r="L181" s="197"/>
      <c r="M181" s="197"/>
      <c r="N181" s="197"/>
      <c r="O181" s="197"/>
      <c r="P181" s="194">
        <v>45778</v>
      </c>
      <c r="Q181" s="194">
        <v>45793</v>
      </c>
      <c r="R181" s="257"/>
      <c r="S181" s="193">
        <v>10</v>
      </c>
      <c r="T181" s="193">
        <v>0</v>
      </c>
      <c r="U181" s="193">
        <v>10</v>
      </c>
      <c r="V181" s="193">
        <v>0</v>
      </c>
      <c r="W181" s="194"/>
      <c r="X181" s="194"/>
      <c r="Y181" s="195"/>
      <c r="Z181" s="196">
        <v>0</v>
      </c>
      <c r="AA181" s="193">
        <v>1</v>
      </c>
      <c r="AB181" s="197" t="s">
        <v>1907</v>
      </c>
      <c r="AC181" s="205" t="s">
        <v>1953</v>
      </c>
      <c r="AD181" s="199">
        <v>0</v>
      </c>
      <c r="AE181" s="253">
        <v>0</v>
      </c>
      <c r="AF181" s="240"/>
      <c r="AG181" s="241"/>
      <c r="AH181" s="241"/>
      <c r="AI181" s="241"/>
      <c r="AJ181" s="241"/>
      <c r="AK181" s="241"/>
      <c r="AL181" s="241"/>
      <c r="AM181" s="241"/>
      <c r="AN181" s="241"/>
      <c r="AO181" s="241"/>
      <c r="AP181" s="241" t="str">
        <f>"    " &amp; TEXT(AE181,"#0.00%") &amp; " " &amp; "기획" &amp; "(김보배님)" &amp; " " &amp; IF(P181="","",TEXT(P181,"M/D-")) &amp; IF(Q181="","",TEXT(Q181,"M/D")) &amp; " "</f>
        <v xml:space="preserve">    0.00% 기획(김보배님) 5/1-5/16 </v>
      </c>
      <c r="AQ181" s="241"/>
      <c r="AR181" s="241"/>
      <c r="AS181" s="241"/>
      <c r="AT181" s="241"/>
      <c r="AU181" s="241"/>
      <c r="AV181" s="241"/>
      <c r="AW181" s="241"/>
      <c r="AX181" s="241"/>
      <c r="AY181" s="241"/>
      <c r="AZ181" s="241"/>
      <c r="BA181" s="241"/>
      <c r="BB181" s="241"/>
      <c r="BC181" s="241"/>
      <c r="BD181" s="241"/>
      <c r="BE181" s="241"/>
      <c r="BF181" s="241"/>
      <c r="BG181" s="241"/>
      <c r="BH181" s="241"/>
      <c r="BI181" s="241"/>
      <c r="BJ181" s="241"/>
      <c r="BK181" s="241"/>
      <c r="BL181" s="241"/>
      <c r="BM181" s="241"/>
      <c r="BN181" s="241"/>
      <c r="BO181" s="241"/>
      <c r="BP181" s="241"/>
      <c r="BQ181" s="241"/>
      <c r="BR181" s="241"/>
      <c r="BS181" s="241"/>
      <c r="BT181" s="241"/>
      <c r="BU181" s="241"/>
      <c r="BV181" s="241"/>
      <c r="BW181" s="241"/>
      <c r="BX181" s="241"/>
      <c r="BY181" s="241"/>
      <c r="BZ181" s="241"/>
      <c r="CA181" s="241"/>
      <c r="CB181" s="241"/>
      <c r="CC181" s="241"/>
      <c r="CD181" s="241"/>
      <c r="CE181" s="241"/>
      <c r="CF181" s="241"/>
      <c r="CG181" s="241"/>
    </row>
    <row r="182" spans="1:85" ht="12" customHeight="1" outlineLevel="2">
      <c r="A182" s="227"/>
      <c r="B182" s="227"/>
      <c r="C182" s="227">
        <v>3</v>
      </c>
      <c r="D182" s="235" t="s">
        <v>2009</v>
      </c>
      <c r="E182" s="228"/>
      <c r="F182" s="228"/>
      <c r="G182" s="197" t="s">
        <v>1706</v>
      </c>
      <c r="H182" s="197"/>
      <c r="I182" s="197"/>
      <c r="J182" s="197"/>
      <c r="K182" s="197"/>
      <c r="L182" s="197"/>
      <c r="M182" s="197"/>
      <c r="N182" s="197"/>
      <c r="O182" s="197"/>
      <c r="P182" s="194">
        <v>45789</v>
      </c>
      <c r="Q182" s="194">
        <v>45807</v>
      </c>
      <c r="R182" s="257"/>
      <c r="S182" s="193">
        <v>15</v>
      </c>
      <c r="T182" s="193">
        <v>0</v>
      </c>
      <c r="U182" s="193">
        <v>15</v>
      </c>
      <c r="V182" s="193">
        <v>0</v>
      </c>
      <c r="W182" s="194"/>
      <c r="X182" s="194"/>
      <c r="Y182" s="195"/>
      <c r="Z182" s="196">
        <v>0</v>
      </c>
      <c r="AA182" s="193">
        <v>1</v>
      </c>
      <c r="AB182" s="197" t="s">
        <v>1906</v>
      </c>
      <c r="AC182" s="205" t="s">
        <v>1954</v>
      </c>
      <c r="AD182" s="199">
        <v>0</v>
      </c>
      <c r="AE182" s="253">
        <v>0</v>
      </c>
      <c r="AF182" s="240"/>
      <c r="AG182" s="241"/>
      <c r="AH182" s="241"/>
      <c r="AI182" s="241"/>
      <c r="AJ182" s="241"/>
      <c r="AK182" s="241"/>
      <c r="AL182" s="241"/>
      <c r="AM182" s="241"/>
      <c r="AN182" s="241"/>
      <c r="AO182" s="241"/>
      <c r="AP182" s="241"/>
      <c r="AQ182" s="241"/>
      <c r="AR182" s="241" t="str">
        <f>" " &amp; TEXT(AE182,"#0.00%") &amp; " " &amp; "디자인" &amp; "(명예지님)" &amp; " " &amp; IF(P182="","",TEXT(P182,"M/D-")) &amp; IF(Q182="","",TEXT(Q182,"M/D")) &amp; " "</f>
        <v xml:space="preserve"> 0.00% 디자인(명예지님) 5/12-5/30 </v>
      </c>
      <c r="AS182" s="241"/>
      <c r="AT182" s="241"/>
      <c r="AU182" s="241"/>
      <c r="AV182" s="241"/>
      <c r="AW182" s="241"/>
      <c r="AX182" s="241"/>
      <c r="AY182" s="241"/>
      <c r="AZ182" s="241"/>
      <c r="BA182" s="241"/>
      <c r="BB182" s="241"/>
      <c r="BC182" s="241"/>
      <c r="BD182" s="241"/>
      <c r="BE182" s="241"/>
      <c r="BF182" s="241"/>
      <c r="BG182" s="241"/>
      <c r="BH182" s="241"/>
      <c r="BI182" s="241"/>
      <c r="BJ182" s="241"/>
      <c r="BK182" s="241"/>
      <c r="BL182" s="241"/>
      <c r="BM182" s="241"/>
      <c r="BN182" s="241"/>
      <c r="BO182" s="241"/>
      <c r="BP182" s="241"/>
      <c r="BQ182" s="241"/>
      <c r="BR182" s="241"/>
      <c r="BS182" s="241"/>
      <c r="BT182" s="241"/>
      <c r="BU182" s="241"/>
      <c r="BV182" s="241"/>
      <c r="BW182" s="241"/>
      <c r="BX182" s="241"/>
      <c r="BY182" s="241"/>
      <c r="BZ182" s="241"/>
      <c r="CA182" s="241"/>
      <c r="CB182" s="241"/>
      <c r="CC182" s="241"/>
      <c r="CD182" s="241"/>
      <c r="CE182" s="241"/>
      <c r="CF182" s="241"/>
      <c r="CG182" s="241"/>
    </row>
    <row r="183" spans="1:85" ht="12" customHeight="1" outlineLevel="2">
      <c r="A183" s="227"/>
      <c r="B183" s="227"/>
      <c r="C183" s="227">
        <v>3</v>
      </c>
      <c r="D183" s="235" t="s">
        <v>2010</v>
      </c>
      <c r="E183" s="228"/>
      <c r="F183" s="228"/>
      <c r="G183" s="197" t="s">
        <v>1678</v>
      </c>
      <c r="H183" s="197"/>
      <c r="I183" s="197"/>
      <c r="J183" s="197"/>
      <c r="K183" s="197"/>
      <c r="L183" s="197"/>
      <c r="M183" s="197"/>
      <c r="N183" s="197"/>
      <c r="O183" s="197"/>
      <c r="P183" s="194">
        <v>45705</v>
      </c>
      <c r="Q183" s="194">
        <v>45709</v>
      </c>
      <c r="R183" s="228"/>
      <c r="S183" s="229">
        <v>5</v>
      </c>
      <c r="T183" s="229">
        <v>5</v>
      </c>
      <c r="U183" s="229">
        <v>5</v>
      </c>
      <c r="V183" s="229">
        <v>5</v>
      </c>
      <c r="W183" s="250"/>
      <c r="X183" s="250"/>
      <c r="Y183" s="230"/>
      <c r="Z183" s="231">
        <v>0</v>
      </c>
      <c r="AA183" s="229">
        <v>1</v>
      </c>
      <c r="AB183" s="228"/>
      <c r="AC183" s="192"/>
      <c r="AD183" s="234">
        <v>1</v>
      </c>
      <c r="AE183" s="242">
        <v>0</v>
      </c>
      <c r="AF183" s="240" t="str">
        <f>" " &amp; TEXT(AE183,"#0.00%") &amp; " " &amp; "전환 Base Line 설정 " &amp; " " &amp; IF(P183="","",TEXT(P183,"M/D-")) &amp; IF(Q183="","",TEXT(Q183,"M/D")) &amp; " "</f>
        <v xml:space="preserve"> 0.00% 전환 Base Line 설정  2/17-2/21 </v>
      </c>
      <c r="AG183" s="241"/>
      <c r="AH183" s="241"/>
      <c r="AI183" s="241"/>
      <c r="AJ183" s="241"/>
      <c r="AK183" s="241"/>
      <c r="AL183" s="241"/>
      <c r="AM183" s="241"/>
      <c r="AN183" s="241"/>
      <c r="AO183" s="241"/>
      <c r="AP183" s="241"/>
      <c r="AQ183" s="241"/>
      <c r="AR183" s="241"/>
      <c r="AS183" s="241"/>
      <c r="AT183" s="241"/>
      <c r="AU183" s="241"/>
      <c r="AV183" s="241"/>
      <c r="AW183" s="241"/>
      <c r="AX183" s="241"/>
      <c r="AY183" s="241"/>
      <c r="AZ183" s="241"/>
      <c r="BA183" s="241"/>
      <c r="BB183" s="241"/>
      <c r="BC183" s="241"/>
      <c r="BD183" s="241"/>
      <c r="BE183" s="241"/>
      <c r="BF183" s="241"/>
      <c r="BG183" s="241"/>
      <c r="BH183" s="241"/>
      <c r="BI183" s="241"/>
      <c r="BJ183" s="241"/>
      <c r="BK183" s="241"/>
      <c r="BL183" s="241"/>
      <c r="BM183" s="241"/>
      <c r="BN183" s="241"/>
      <c r="BO183" s="241"/>
      <c r="BP183" s="241"/>
      <c r="BQ183" s="241"/>
      <c r="BR183" s="241"/>
      <c r="BS183" s="241"/>
      <c r="BT183" s="241"/>
      <c r="BU183" s="241"/>
      <c r="BV183" s="241"/>
      <c r="BW183" s="241"/>
      <c r="BX183" s="241"/>
      <c r="BY183" s="241"/>
      <c r="BZ183" s="241"/>
      <c r="CA183" s="241"/>
      <c r="CB183" s="241"/>
      <c r="CC183" s="241"/>
      <c r="CD183" s="241"/>
      <c r="CE183" s="241"/>
      <c r="CF183" s="241"/>
      <c r="CG183" s="241"/>
    </row>
    <row r="184" spans="1:85" ht="12" customHeight="1" outlineLevel="2">
      <c r="A184" s="227"/>
      <c r="B184" s="227"/>
      <c r="C184" s="227">
        <v>3</v>
      </c>
      <c r="D184" s="235" t="s">
        <v>2011</v>
      </c>
      <c r="E184" s="228"/>
      <c r="F184" s="228"/>
      <c r="G184" s="197" t="s">
        <v>1679</v>
      </c>
      <c r="H184" s="197"/>
      <c r="I184" s="197"/>
      <c r="J184" s="197"/>
      <c r="K184" s="197"/>
      <c r="L184" s="197"/>
      <c r="M184" s="197"/>
      <c r="N184" s="197"/>
      <c r="O184" s="197"/>
      <c r="P184" s="194">
        <v>45705</v>
      </c>
      <c r="Q184" s="194">
        <v>45709</v>
      </c>
      <c r="R184" s="228"/>
      <c r="S184" s="229">
        <v>5</v>
      </c>
      <c r="T184" s="229">
        <v>5</v>
      </c>
      <c r="U184" s="229">
        <v>5</v>
      </c>
      <c r="V184" s="229">
        <v>5</v>
      </c>
      <c r="W184" s="250"/>
      <c r="X184" s="250"/>
      <c r="Y184" s="230"/>
      <c r="Z184" s="231">
        <v>0</v>
      </c>
      <c r="AA184" s="229">
        <v>1</v>
      </c>
      <c r="AB184" s="228"/>
      <c r="AC184" s="192"/>
      <c r="AD184" s="234">
        <v>1</v>
      </c>
      <c r="AE184" s="242">
        <v>0</v>
      </c>
      <c r="AF184" s="240" t="str">
        <f>" " &amp; TEXT(AE184,"#0.00%") &amp; " " &amp; "sonarQube, Secure Code 예외처리를 위한 base line  설정 " &amp; " " &amp; IF(P184="","",TEXT(P184,"M/D-")) &amp; IF(Q184="","",TEXT(Q184,"M/D")) &amp; " "</f>
        <v xml:space="preserve"> 0.00% sonarQube, Secure Code 예외처리를 위한 base line  설정  2/17-2/21 </v>
      </c>
      <c r="AG184" s="241"/>
      <c r="AH184" s="241"/>
      <c r="AI184" s="241"/>
      <c r="AJ184" s="241"/>
      <c r="AK184" s="241"/>
      <c r="AL184" s="241"/>
      <c r="AM184" s="241"/>
      <c r="AN184" s="241"/>
      <c r="AO184" s="241"/>
      <c r="AP184" s="241"/>
      <c r="AQ184" s="241"/>
      <c r="AR184" s="241"/>
      <c r="AS184" s="241"/>
      <c r="AT184" s="241"/>
      <c r="AU184" s="241"/>
      <c r="AV184" s="241"/>
      <c r="AW184" s="241"/>
      <c r="AX184" s="241"/>
      <c r="AY184" s="241"/>
      <c r="AZ184" s="241"/>
      <c r="BA184" s="241"/>
      <c r="BB184" s="241"/>
      <c r="BC184" s="241"/>
      <c r="BD184" s="241"/>
      <c r="BE184" s="241"/>
      <c r="BF184" s="241"/>
      <c r="BG184" s="241"/>
      <c r="BH184" s="241"/>
      <c r="BI184" s="241"/>
      <c r="BJ184" s="241"/>
      <c r="BK184" s="241"/>
      <c r="BL184" s="241"/>
      <c r="BM184" s="241"/>
      <c r="BN184" s="241"/>
      <c r="BO184" s="241"/>
      <c r="BP184" s="241"/>
      <c r="BQ184" s="241"/>
      <c r="BR184" s="241"/>
      <c r="BS184" s="241"/>
      <c r="BT184" s="241"/>
      <c r="BU184" s="241"/>
      <c r="BV184" s="241"/>
      <c r="BW184" s="241"/>
      <c r="BX184" s="241"/>
      <c r="BY184" s="241"/>
      <c r="BZ184" s="241"/>
      <c r="CA184" s="241"/>
      <c r="CB184" s="241"/>
      <c r="CC184" s="241"/>
      <c r="CD184" s="241"/>
      <c r="CE184" s="241"/>
      <c r="CF184" s="241"/>
      <c r="CG184" s="241"/>
    </row>
    <row r="185" spans="1:85" ht="12" customHeight="1" outlineLevel="2">
      <c r="A185" s="227"/>
      <c r="B185" s="227"/>
      <c r="C185" s="227">
        <v>3</v>
      </c>
      <c r="D185" s="235" t="s">
        <v>2012</v>
      </c>
      <c r="E185" s="228"/>
      <c r="F185" s="228"/>
      <c r="G185" s="197" t="s">
        <v>1449</v>
      </c>
      <c r="H185" s="197"/>
      <c r="I185" s="197"/>
      <c r="J185" s="197"/>
      <c r="K185" s="197"/>
      <c r="L185" s="197"/>
      <c r="M185" s="197"/>
      <c r="N185" s="197"/>
      <c r="O185" s="197"/>
      <c r="P185" s="194">
        <v>45705</v>
      </c>
      <c r="Q185" s="194">
        <v>45709</v>
      </c>
      <c r="R185" s="228"/>
      <c r="S185" s="229">
        <v>5</v>
      </c>
      <c r="T185" s="229">
        <v>5</v>
      </c>
      <c r="U185" s="229">
        <v>5</v>
      </c>
      <c r="V185" s="229">
        <v>5</v>
      </c>
      <c r="W185" s="250"/>
      <c r="X185" s="250"/>
      <c r="Y185" s="230"/>
      <c r="Z185" s="231">
        <v>0</v>
      </c>
      <c r="AA185" s="229">
        <v>1</v>
      </c>
      <c r="AB185" s="228"/>
      <c r="AC185" s="192"/>
      <c r="AD185" s="234">
        <v>1</v>
      </c>
      <c r="AE185" s="242">
        <v>0</v>
      </c>
      <c r="AF185" s="240" t="str">
        <f>" " &amp; TEXT(AE185,"#0.00%") &amp; " " &amp; "설계" &amp; " " &amp; IF(P185="","",TEXT(P185,"M/D-")) &amp; IF(Q185="","",TEXT(Q185,"M/D")) &amp; " "</f>
        <v xml:space="preserve"> 0.00% 설계 2/17-2/21 </v>
      </c>
      <c r="AG185" s="241"/>
      <c r="AH185" s="241"/>
      <c r="AI185" s="241"/>
      <c r="AJ185" s="241"/>
      <c r="AK185" s="241"/>
      <c r="AL185" s="241"/>
      <c r="AM185" s="241"/>
      <c r="AN185" s="241"/>
      <c r="AO185" s="241"/>
      <c r="AP185" s="241"/>
      <c r="AQ185" s="241"/>
      <c r="AR185" s="241"/>
      <c r="AS185" s="241"/>
      <c r="AT185" s="241"/>
      <c r="AU185" s="241"/>
      <c r="AV185" s="241"/>
      <c r="AW185" s="241"/>
      <c r="AX185" s="241"/>
      <c r="AY185" s="241"/>
      <c r="AZ185" s="241"/>
      <c r="BA185" s="241"/>
      <c r="BB185" s="241"/>
      <c r="BC185" s="241"/>
      <c r="BD185" s="241"/>
      <c r="BE185" s="241"/>
      <c r="BF185" s="241"/>
      <c r="BG185" s="241"/>
      <c r="BH185" s="241"/>
      <c r="BI185" s="241"/>
      <c r="BJ185" s="241"/>
      <c r="BK185" s="241"/>
      <c r="BL185" s="241"/>
      <c r="BM185" s="241"/>
      <c r="BN185" s="241"/>
      <c r="BO185" s="241"/>
      <c r="BP185" s="241"/>
      <c r="BQ185" s="241"/>
      <c r="BR185" s="241"/>
      <c r="BS185" s="241"/>
      <c r="BT185" s="241"/>
      <c r="BU185" s="241"/>
      <c r="BV185" s="241"/>
      <c r="BW185" s="241"/>
      <c r="BX185" s="241"/>
      <c r="BY185" s="241"/>
      <c r="BZ185" s="241"/>
      <c r="CA185" s="241"/>
      <c r="CB185" s="241"/>
      <c r="CC185" s="241"/>
      <c r="CD185" s="241"/>
      <c r="CE185" s="241"/>
      <c r="CF185" s="241"/>
      <c r="CG185" s="241"/>
    </row>
    <row r="186" spans="1:85" ht="12" customHeight="1" outlineLevel="2">
      <c r="A186" s="227"/>
      <c r="B186" s="227"/>
      <c r="C186" s="227">
        <v>3</v>
      </c>
      <c r="D186" s="235" t="s">
        <v>2013</v>
      </c>
      <c r="E186" s="228"/>
      <c r="F186" s="228"/>
      <c r="G186" s="197" t="s">
        <v>1519</v>
      </c>
      <c r="H186" s="197"/>
      <c r="I186" s="197"/>
      <c r="J186" s="197"/>
      <c r="K186" s="197"/>
      <c r="L186" s="197"/>
      <c r="M186" s="197"/>
      <c r="N186" s="197"/>
      <c r="O186" s="197"/>
      <c r="P186" s="194">
        <v>45705</v>
      </c>
      <c r="Q186" s="194">
        <v>45709</v>
      </c>
      <c r="R186" s="228"/>
      <c r="S186" s="229">
        <v>5</v>
      </c>
      <c r="T186" s="229">
        <v>5</v>
      </c>
      <c r="U186" s="229">
        <v>5</v>
      </c>
      <c r="V186" s="229">
        <v>5</v>
      </c>
      <c r="W186" s="250"/>
      <c r="X186" s="250"/>
      <c r="Y186" s="230"/>
      <c r="Z186" s="231">
        <v>0</v>
      </c>
      <c r="AA186" s="229">
        <v>1</v>
      </c>
      <c r="AB186" s="228"/>
      <c r="AC186" s="192"/>
      <c r="AD186" s="234">
        <v>1</v>
      </c>
      <c r="AE186" s="242">
        <v>0</v>
      </c>
      <c r="AF186" s="240" t="str">
        <f>" " &amp; TEXT(AE186,"#0.00%") &amp; " " &amp; "구현" &amp; " " &amp; IF(P186="","",TEXT(P186,"M/D-")) &amp; IF(Q186="","",TEXT(Q186,"M/D")) &amp; " "</f>
        <v xml:space="preserve"> 0.00% 구현 2/17-2/21 </v>
      </c>
      <c r="AG186" s="241"/>
      <c r="AH186" s="241"/>
      <c r="AI186" s="241"/>
      <c r="AJ186" s="241"/>
      <c r="AK186" s="241"/>
      <c r="AL186" s="241"/>
      <c r="AM186" s="241"/>
      <c r="AN186" s="241"/>
      <c r="AO186" s="241"/>
      <c r="AP186" s="241"/>
      <c r="AQ186" s="241"/>
      <c r="AR186" s="241"/>
      <c r="AS186" s="241"/>
      <c r="AT186" s="241"/>
      <c r="AU186" s="241"/>
      <c r="AV186" s="241"/>
      <c r="AW186" s="241"/>
      <c r="AX186" s="241"/>
      <c r="AY186" s="241"/>
      <c r="AZ186" s="241"/>
      <c r="BA186" s="241"/>
      <c r="BB186" s="241"/>
      <c r="BC186" s="241"/>
      <c r="BD186" s="241"/>
      <c r="BE186" s="241"/>
      <c r="BF186" s="241"/>
      <c r="BG186" s="241"/>
      <c r="BH186" s="241"/>
      <c r="BI186" s="241"/>
      <c r="BJ186" s="241"/>
      <c r="BK186" s="241"/>
      <c r="BL186" s="241"/>
      <c r="BM186" s="241"/>
      <c r="BN186" s="241"/>
      <c r="BO186" s="241"/>
      <c r="BP186" s="241"/>
      <c r="BQ186" s="241"/>
      <c r="BR186" s="241"/>
      <c r="BS186" s="241"/>
      <c r="BT186" s="241"/>
      <c r="BU186" s="241"/>
      <c r="BV186" s="241"/>
      <c r="BW186" s="241"/>
      <c r="BX186" s="241"/>
      <c r="BY186" s="241"/>
      <c r="BZ186" s="241"/>
      <c r="CA186" s="241"/>
      <c r="CB186" s="241"/>
      <c r="CC186" s="241"/>
      <c r="CD186" s="241"/>
      <c r="CE186" s="241"/>
      <c r="CF186" s="241"/>
      <c r="CG186" s="241"/>
    </row>
    <row r="187" spans="1:85" ht="12" customHeight="1" outlineLevel="1">
      <c r="A187" s="227"/>
      <c r="B187" s="227" t="s">
        <v>1766</v>
      </c>
      <c r="C187" s="227">
        <v>2</v>
      </c>
      <c r="D187" s="235" t="s">
        <v>1865</v>
      </c>
      <c r="E187" s="228"/>
      <c r="F187" s="228" t="s">
        <v>1704</v>
      </c>
      <c r="G187" s="197"/>
      <c r="H187" s="197"/>
      <c r="I187" s="197"/>
      <c r="J187" s="197"/>
      <c r="K187" s="197"/>
      <c r="L187" s="197"/>
      <c r="M187" s="197"/>
      <c r="N187" s="197"/>
      <c r="O187" s="197"/>
      <c r="P187" s="194">
        <v>45705</v>
      </c>
      <c r="Q187" s="194">
        <v>45856</v>
      </c>
      <c r="R187" s="228"/>
      <c r="S187" s="229">
        <v>107.9</v>
      </c>
      <c r="T187" s="229">
        <v>1.3</v>
      </c>
      <c r="U187" s="229">
        <v>106</v>
      </c>
      <c r="V187" s="229">
        <v>13</v>
      </c>
      <c r="W187" s="250"/>
      <c r="X187" s="250"/>
      <c r="Y187" s="230">
        <v>0</v>
      </c>
      <c r="Z187" s="231">
        <v>0</v>
      </c>
      <c r="AA187" s="229"/>
      <c r="AB187" s="228"/>
      <c r="AC187" s="192"/>
      <c r="AD187" s="234">
        <v>1.2048192771084338E-2</v>
      </c>
      <c r="AE187" s="243">
        <v>0</v>
      </c>
      <c r="AF187" s="240" t="str">
        <f>" " &amp; TEXT(AE187,"#0.00%") &amp; " "</f>
        <v xml:space="preserve"> 0.00% </v>
      </c>
      <c r="AG187" s="241"/>
      <c r="AH187" s="241"/>
      <c r="AI187" s="241"/>
      <c r="AJ187" s="241"/>
      <c r="AK187" s="241"/>
      <c r="AL187" s="241"/>
      <c r="AM187" s="241"/>
      <c r="AN187" s="241"/>
      <c r="AO187" s="241"/>
      <c r="AP187" s="241"/>
      <c r="AQ187" s="241"/>
      <c r="AR187" s="241"/>
      <c r="AS187" s="241"/>
      <c r="AT187" s="241"/>
      <c r="AU187" s="241"/>
      <c r="AV187" s="241"/>
      <c r="AW187" s="241"/>
      <c r="AX187" s="241"/>
      <c r="AY187" s="241"/>
      <c r="AZ187" s="241"/>
      <c r="BA187" s="241" t="str">
        <f>"      " &amp; "API 구축" &amp; " " &amp; IF(P187="","",TEXT(P187,"M/D-")) &amp; IF(Q187="","",TEXT(Q187,"M/D")) &amp; " "</f>
        <v xml:space="preserve">      API 구축 2/17-7/18 </v>
      </c>
      <c r="BB187" s="241"/>
      <c r="BC187" s="241"/>
      <c r="BD187" s="241"/>
      <c r="BE187" s="241"/>
      <c r="BF187" s="241"/>
      <c r="BG187" s="241"/>
      <c r="BH187" s="241"/>
      <c r="BI187" s="241"/>
      <c r="BJ187" s="241"/>
      <c r="BK187" s="241"/>
      <c r="BL187" s="241"/>
      <c r="BM187" s="241"/>
      <c r="BN187" s="241"/>
      <c r="BO187" s="241"/>
      <c r="BP187" s="241"/>
      <c r="BQ187" s="241"/>
      <c r="BR187" s="241"/>
      <c r="BS187" s="241"/>
      <c r="BT187" s="241"/>
      <c r="BU187" s="241"/>
      <c r="BV187" s="241"/>
      <c r="BW187" s="241"/>
      <c r="BX187" s="241"/>
      <c r="BY187" s="241"/>
      <c r="BZ187" s="241"/>
      <c r="CA187" s="241"/>
      <c r="CB187" s="241"/>
      <c r="CC187" s="241"/>
      <c r="CD187" s="241"/>
      <c r="CE187" s="241"/>
      <c r="CF187" s="241"/>
      <c r="CG187" s="241"/>
    </row>
    <row r="188" spans="1:85" ht="12" customHeight="1" outlineLevel="2">
      <c r="A188" s="227"/>
      <c r="B188" s="227"/>
      <c r="C188" s="227">
        <v>3</v>
      </c>
      <c r="D188" s="235" t="s">
        <v>1866</v>
      </c>
      <c r="E188" s="228"/>
      <c r="F188" s="228"/>
      <c r="G188" s="197" t="s">
        <v>1445</v>
      </c>
      <c r="H188" s="197"/>
      <c r="I188" s="197"/>
      <c r="J188" s="197"/>
      <c r="K188" s="197"/>
      <c r="L188" s="197"/>
      <c r="M188" s="197"/>
      <c r="N188" s="197"/>
      <c r="O188" s="197"/>
      <c r="P188" s="194">
        <v>45705</v>
      </c>
      <c r="Q188" s="194">
        <v>45730</v>
      </c>
      <c r="R188" s="228"/>
      <c r="S188" s="229">
        <v>1.9000000000000001</v>
      </c>
      <c r="T188" s="229">
        <v>1.3</v>
      </c>
      <c r="U188" s="229">
        <v>19</v>
      </c>
      <c r="V188" s="229">
        <v>13</v>
      </c>
      <c r="W188" s="250"/>
      <c r="X188" s="250"/>
      <c r="Y188" s="230"/>
      <c r="Z188" s="231">
        <v>0</v>
      </c>
      <c r="AA188" s="229">
        <v>0.1</v>
      </c>
      <c r="AB188" s="228"/>
      <c r="AC188" s="192"/>
      <c r="AD188" s="234">
        <v>0.68421052631578949</v>
      </c>
      <c r="AE188" s="242">
        <v>0</v>
      </c>
      <c r="AF188" s="240" t="str">
        <f>" " &amp; TEXT(AE188,"#0.00%") &amp; " "</f>
        <v xml:space="preserve"> 0.00% </v>
      </c>
      <c r="AG188" s="241"/>
      <c r="AH188" s="241"/>
      <c r="AI188" s="241" t="str">
        <f>"      " &amp; "분석" &amp; " " &amp; IF(P188="","",TEXT(P188,"M/D-")) &amp; IF(Q188="","",TEXT(Q188,"M/D")) &amp; " "</f>
        <v xml:space="preserve">      분석 2/17-3/14 </v>
      </c>
      <c r="AJ188" s="241"/>
      <c r="AK188" s="241"/>
      <c r="AL188" s="241"/>
      <c r="AM188" s="241"/>
      <c r="AN188" s="241"/>
      <c r="AO188" s="241"/>
      <c r="AP188" s="241"/>
      <c r="AQ188" s="241"/>
      <c r="AR188" s="241"/>
      <c r="AS188" s="241"/>
      <c r="AT188" s="241"/>
      <c r="AU188" s="241"/>
      <c r="AV188" s="241"/>
      <c r="AW188" s="241"/>
      <c r="AX188" s="241"/>
      <c r="AY188" s="241"/>
      <c r="AZ188" s="241"/>
      <c r="BA188" s="241"/>
      <c r="BB188" s="241"/>
      <c r="BC188" s="241"/>
      <c r="BD188" s="241"/>
      <c r="BE188" s="241"/>
      <c r="BF188" s="241"/>
      <c r="BG188" s="241"/>
      <c r="BH188" s="241"/>
      <c r="BI188" s="241"/>
      <c r="BJ188" s="241"/>
      <c r="BK188" s="241"/>
      <c r="BL188" s="241"/>
      <c r="BM188" s="241"/>
      <c r="BN188" s="241"/>
      <c r="BO188" s="241"/>
      <c r="BP188" s="241"/>
      <c r="BQ188" s="241"/>
      <c r="BR188" s="241"/>
      <c r="BS188" s="241"/>
      <c r="BT188" s="241"/>
      <c r="BU188" s="241"/>
      <c r="BV188" s="241"/>
      <c r="BW188" s="241"/>
      <c r="BX188" s="241"/>
      <c r="BY188" s="241"/>
      <c r="BZ188" s="241"/>
      <c r="CA188" s="241"/>
      <c r="CB188" s="241"/>
      <c r="CC188" s="241"/>
      <c r="CD188" s="241"/>
      <c r="CE188" s="241"/>
      <c r="CF188" s="241"/>
      <c r="CG188" s="241"/>
    </row>
    <row r="189" spans="1:85" ht="12" customHeight="1" outlineLevel="2">
      <c r="A189" s="227"/>
      <c r="B189" s="227"/>
      <c r="C189" s="227">
        <v>3</v>
      </c>
      <c r="D189" s="235" t="s">
        <v>1867</v>
      </c>
      <c r="E189" s="228"/>
      <c r="F189" s="228"/>
      <c r="G189" s="197" t="s">
        <v>1706</v>
      </c>
      <c r="H189" s="197"/>
      <c r="I189" s="197"/>
      <c r="J189" s="197"/>
      <c r="K189" s="197"/>
      <c r="L189" s="197"/>
      <c r="M189" s="197"/>
      <c r="N189" s="197"/>
      <c r="O189" s="197"/>
      <c r="P189" s="194"/>
      <c r="Q189" s="194"/>
      <c r="R189" s="228"/>
      <c r="S189" s="229">
        <v>0</v>
      </c>
      <c r="T189" s="229">
        <v>0</v>
      </c>
      <c r="U189" s="229">
        <v>0</v>
      </c>
      <c r="V189" s="229">
        <v>0</v>
      </c>
      <c r="W189" s="250"/>
      <c r="X189" s="250"/>
      <c r="Y189" s="230">
        <v>0</v>
      </c>
      <c r="Z189" s="231">
        <v>0</v>
      </c>
      <c r="AA189" s="229"/>
      <c r="AB189" s="228"/>
      <c r="AC189" s="191"/>
      <c r="AD189" s="234">
        <v>0</v>
      </c>
      <c r="AE189" s="252">
        <v>0</v>
      </c>
      <c r="AF189" s="240"/>
      <c r="AG189" s="241"/>
      <c r="AH189" s="241"/>
      <c r="AI189" s="241"/>
      <c r="AJ189" s="241"/>
      <c r="AK189" s="241"/>
      <c r="AL189" s="241"/>
      <c r="AM189" s="241"/>
      <c r="AN189" s="241"/>
      <c r="AO189" s="241"/>
      <c r="AP189" s="241"/>
      <c r="AQ189" s="241"/>
      <c r="AR189" s="241"/>
      <c r="AS189" s="241"/>
      <c r="AT189" s="241"/>
      <c r="AU189" s="241"/>
      <c r="AV189" s="241"/>
      <c r="AW189" s="241"/>
      <c r="AX189" s="241"/>
      <c r="AY189" s="241"/>
      <c r="AZ189" s="241"/>
      <c r="BA189" s="241"/>
      <c r="BB189" s="241"/>
      <c r="BC189" s="241"/>
      <c r="BD189" s="241"/>
      <c r="BE189" s="241"/>
      <c r="BF189" s="241"/>
      <c r="BG189" s="241"/>
      <c r="BH189" s="241"/>
      <c r="BI189" s="241"/>
      <c r="BJ189" s="241"/>
      <c r="BK189" s="241"/>
      <c r="BL189" s="241"/>
      <c r="BM189" s="241"/>
      <c r="BN189" s="241"/>
      <c r="BO189" s="241"/>
      <c r="BP189" s="241"/>
      <c r="BQ189" s="241"/>
      <c r="BR189" s="241"/>
      <c r="BS189" s="241"/>
      <c r="BT189" s="241"/>
      <c r="BU189" s="241"/>
      <c r="BV189" s="241"/>
      <c r="BW189" s="241"/>
      <c r="BX189" s="241"/>
      <c r="BY189" s="241"/>
      <c r="BZ189" s="241"/>
      <c r="CA189" s="241"/>
      <c r="CB189" s="241"/>
      <c r="CC189" s="241"/>
      <c r="CD189" s="241"/>
      <c r="CE189" s="241"/>
      <c r="CF189" s="241"/>
      <c r="CG189" s="241"/>
    </row>
    <row r="190" spans="1:85" ht="12" customHeight="1" outlineLevel="2">
      <c r="A190" s="227"/>
      <c r="B190" s="227"/>
      <c r="C190" s="227">
        <v>3</v>
      </c>
      <c r="D190" s="235" t="s">
        <v>2014</v>
      </c>
      <c r="E190" s="228"/>
      <c r="F190" s="228"/>
      <c r="G190" s="197" t="s">
        <v>1707</v>
      </c>
      <c r="H190" s="197"/>
      <c r="I190" s="197"/>
      <c r="J190" s="197"/>
      <c r="K190" s="197"/>
      <c r="L190" s="197"/>
      <c r="M190" s="197"/>
      <c r="N190" s="197"/>
      <c r="O190" s="197"/>
      <c r="P190" s="194"/>
      <c r="Q190" s="194"/>
      <c r="R190" s="228"/>
      <c r="S190" s="229">
        <v>0</v>
      </c>
      <c r="T190" s="229">
        <v>0</v>
      </c>
      <c r="U190" s="229">
        <v>0</v>
      </c>
      <c r="V190" s="229">
        <v>0</v>
      </c>
      <c r="W190" s="250"/>
      <c r="X190" s="250"/>
      <c r="Y190" s="230">
        <v>0</v>
      </c>
      <c r="Z190" s="231">
        <v>0</v>
      </c>
      <c r="AA190" s="229"/>
      <c r="AB190" s="228"/>
      <c r="AC190" s="191"/>
      <c r="AD190" s="234">
        <v>0</v>
      </c>
      <c r="AE190" s="252">
        <v>0</v>
      </c>
      <c r="AF190" s="240"/>
      <c r="AG190" s="241"/>
      <c r="AH190" s="241"/>
      <c r="AI190" s="241"/>
      <c r="AJ190" s="241"/>
      <c r="AK190" s="241"/>
      <c r="AL190" s="241"/>
      <c r="AM190" s="241"/>
      <c r="AN190" s="241"/>
      <c r="AO190" s="241"/>
      <c r="AP190" s="241"/>
      <c r="AQ190" s="241"/>
      <c r="AR190" s="241"/>
      <c r="AS190" s="241"/>
      <c r="AT190" s="241"/>
      <c r="AU190" s="241"/>
      <c r="AV190" s="241"/>
      <c r="AW190" s="241"/>
      <c r="AX190" s="241"/>
      <c r="AY190" s="241"/>
      <c r="AZ190" s="241"/>
      <c r="BA190" s="241"/>
      <c r="BB190" s="241"/>
      <c r="BC190" s="241"/>
      <c r="BD190" s="241"/>
      <c r="BE190" s="241"/>
      <c r="BF190" s="241"/>
      <c r="BG190" s="241"/>
      <c r="BH190" s="241"/>
      <c r="BI190" s="241"/>
      <c r="BJ190" s="241"/>
      <c r="BK190" s="241"/>
      <c r="BL190" s="241"/>
      <c r="BM190" s="241"/>
      <c r="BN190" s="241"/>
      <c r="BO190" s="241"/>
      <c r="BP190" s="241"/>
      <c r="BQ190" s="241"/>
      <c r="BR190" s="241"/>
      <c r="BS190" s="241"/>
      <c r="BT190" s="241"/>
      <c r="BU190" s="241"/>
      <c r="BV190" s="241"/>
      <c r="BW190" s="241"/>
      <c r="BX190" s="241"/>
      <c r="BY190" s="241"/>
      <c r="BZ190" s="241"/>
      <c r="CA190" s="241"/>
      <c r="CB190" s="241"/>
      <c r="CC190" s="241"/>
      <c r="CD190" s="241"/>
      <c r="CE190" s="241"/>
      <c r="CF190" s="241"/>
      <c r="CG190" s="241"/>
    </row>
    <row r="191" spans="1:85" ht="12" customHeight="1" outlineLevel="2">
      <c r="A191" s="227"/>
      <c r="B191" s="227"/>
      <c r="C191" s="227">
        <v>3</v>
      </c>
      <c r="D191" s="235" t="s">
        <v>2015</v>
      </c>
      <c r="E191" s="228"/>
      <c r="F191" s="228"/>
      <c r="G191" s="197" t="s">
        <v>1449</v>
      </c>
      <c r="H191" s="197"/>
      <c r="I191" s="197"/>
      <c r="J191" s="197"/>
      <c r="K191" s="197"/>
      <c r="L191" s="197"/>
      <c r="M191" s="197"/>
      <c r="N191" s="197"/>
      <c r="O191" s="197"/>
      <c r="P191" s="194">
        <v>45733</v>
      </c>
      <c r="Q191" s="194">
        <v>45793</v>
      </c>
      <c r="R191" s="228"/>
      <c r="S191" s="229">
        <v>21.5</v>
      </c>
      <c r="T191" s="229">
        <v>0</v>
      </c>
      <c r="U191" s="229">
        <v>43</v>
      </c>
      <c r="V191" s="229">
        <v>0</v>
      </c>
      <c r="W191" s="250"/>
      <c r="X191" s="250"/>
      <c r="Y191" s="230"/>
      <c r="Z191" s="231">
        <v>0</v>
      </c>
      <c r="AA191" s="229">
        <v>0.5</v>
      </c>
      <c r="AB191" s="228"/>
      <c r="AC191" s="191"/>
      <c r="AD191" s="234">
        <v>0</v>
      </c>
      <c r="AE191" s="253">
        <v>0</v>
      </c>
      <c r="AF191" s="240"/>
      <c r="AG191" s="241"/>
      <c r="AH191" s="241"/>
      <c r="AI191" s="241"/>
      <c r="AJ191" s="241" t="str">
        <f>" " &amp; TEXT(AE191,"#0.00%") &amp; " "</f>
        <v xml:space="preserve"> 0.00% </v>
      </c>
      <c r="AK191" s="241"/>
      <c r="AL191" s="241"/>
      <c r="AM191" s="241"/>
      <c r="AN191" s="241"/>
      <c r="AO191" s="241"/>
      <c r="AP191" s="241"/>
      <c r="AQ191" s="241"/>
      <c r="AR191" s="241" t="str">
        <f>"      " &amp; "설계" &amp; " " &amp; IF(P191="","",TEXT(P191,"M/D-")) &amp; IF(Q191="","",TEXT(Q191,"M/D")) &amp; " "</f>
        <v xml:space="preserve">      설계 3/17-5/16 </v>
      </c>
      <c r="AS191" s="241"/>
      <c r="AT191" s="241"/>
      <c r="AU191" s="241"/>
      <c r="AV191" s="241"/>
      <c r="AW191" s="241"/>
      <c r="AX191" s="241"/>
      <c r="AY191" s="241"/>
      <c r="AZ191" s="241"/>
      <c r="BA191" s="241"/>
      <c r="BB191" s="241"/>
      <c r="BC191" s="241"/>
      <c r="BD191" s="241"/>
      <c r="BE191" s="241"/>
      <c r="BF191" s="241"/>
      <c r="BG191" s="241"/>
      <c r="BH191" s="241"/>
      <c r="BI191" s="241"/>
      <c r="BJ191" s="241"/>
      <c r="BK191" s="241"/>
      <c r="BL191" s="241"/>
      <c r="BM191" s="241"/>
      <c r="BN191" s="241"/>
      <c r="BO191" s="241"/>
      <c r="BP191" s="241"/>
      <c r="BQ191" s="241"/>
      <c r="BR191" s="241"/>
      <c r="BS191" s="241"/>
      <c r="BT191" s="241"/>
      <c r="BU191" s="241"/>
      <c r="BV191" s="241"/>
      <c r="BW191" s="241"/>
      <c r="BX191" s="241"/>
      <c r="BY191" s="241"/>
      <c r="BZ191" s="241"/>
      <c r="CA191" s="241"/>
      <c r="CB191" s="241"/>
      <c r="CC191" s="241"/>
      <c r="CD191" s="241"/>
      <c r="CE191" s="241"/>
      <c r="CF191" s="241"/>
      <c r="CG191" s="241"/>
    </row>
    <row r="192" spans="1:85" ht="12" customHeight="1" outlineLevel="2">
      <c r="A192" s="227"/>
      <c r="B192" s="227"/>
      <c r="C192" s="227">
        <v>3</v>
      </c>
      <c r="D192" s="235" t="s">
        <v>2016</v>
      </c>
      <c r="E192" s="228"/>
      <c r="F192" s="228"/>
      <c r="G192" s="197" t="s">
        <v>1708</v>
      </c>
      <c r="H192" s="197"/>
      <c r="I192" s="197"/>
      <c r="J192" s="197"/>
      <c r="K192" s="197"/>
      <c r="L192" s="197"/>
      <c r="M192" s="197"/>
      <c r="N192" s="197"/>
      <c r="O192" s="197"/>
      <c r="P192" s="194">
        <v>45740</v>
      </c>
      <c r="Q192" s="194">
        <v>45849</v>
      </c>
      <c r="R192" s="228"/>
      <c r="S192" s="229">
        <v>77</v>
      </c>
      <c r="T192" s="229">
        <v>0</v>
      </c>
      <c r="U192" s="229">
        <v>77</v>
      </c>
      <c r="V192" s="229">
        <v>0</v>
      </c>
      <c r="W192" s="250"/>
      <c r="X192" s="250"/>
      <c r="Y192" s="230"/>
      <c r="Z192" s="231">
        <v>0</v>
      </c>
      <c r="AA192" s="229">
        <v>1</v>
      </c>
      <c r="AB192" s="228"/>
      <c r="AC192" s="191"/>
      <c r="AD192" s="234">
        <v>0</v>
      </c>
      <c r="AE192" s="253">
        <v>0</v>
      </c>
      <c r="AF192" s="240"/>
      <c r="AG192" s="241"/>
      <c r="AH192" s="241"/>
      <c r="AI192" s="241"/>
      <c r="AJ192" s="241"/>
      <c r="AK192" s="241" t="str">
        <f>" " &amp; TEXT(AE192,"#0.00%") &amp; " "</f>
        <v xml:space="preserve"> 0.00% </v>
      </c>
      <c r="AL192" s="241"/>
      <c r="AM192" s="241"/>
      <c r="AN192" s="241"/>
      <c r="AO192" s="241"/>
      <c r="AP192" s="241"/>
      <c r="AQ192" s="241"/>
      <c r="AR192" s="241"/>
      <c r="AS192" s="241"/>
      <c r="AT192" s="241"/>
      <c r="AU192" s="241"/>
      <c r="AV192" s="241"/>
      <c r="AW192" s="241"/>
      <c r="AX192" s="241"/>
      <c r="AY192" s="241"/>
      <c r="AZ192" s="241" t="str">
        <f>"      " &amp; "개발" &amp; " " &amp; IF(P192="","",TEXT(P192,"M/D-")) &amp; IF(Q192="","",TEXT(Q192,"M/D")) &amp; " "</f>
        <v xml:space="preserve">      개발 3/24-7/11 </v>
      </c>
      <c r="BA192" s="241"/>
      <c r="BB192" s="241"/>
      <c r="BC192" s="241"/>
      <c r="BD192" s="241"/>
      <c r="BE192" s="241"/>
      <c r="BF192" s="241"/>
      <c r="BG192" s="241"/>
      <c r="BH192" s="241"/>
      <c r="BI192" s="241"/>
      <c r="BJ192" s="241"/>
      <c r="BK192" s="241"/>
      <c r="BL192" s="241"/>
      <c r="BM192" s="241"/>
      <c r="BN192" s="241"/>
      <c r="BO192" s="241"/>
      <c r="BP192" s="241"/>
      <c r="BQ192" s="241"/>
      <c r="BR192" s="241"/>
      <c r="BS192" s="241"/>
      <c r="BT192" s="241"/>
      <c r="BU192" s="241"/>
      <c r="BV192" s="241"/>
      <c r="BW192" s="241"/>
      <c r="BX192" s="241"/>
      <c r="BY192" s="241"/>
      <c r="BZ192" s="241"/>
      <c r="CA192" s="241"/>
      <c r="CB192" s="241"/>
      <c r="CC192" s="241"/>
      <c r="CD192" s="241"/>
      <c r="CE192" s="241"/>
      <c r="CF192" s="241"/>
      <c r="CG192" s="241"/>
    </row>
    <row r="193" spans="1:85" ht="12" customHeight="1" outlineLevel="2">
      <c r="A193" s="227"/>
      <c r="B193" s="227"/>
      <c r="C193" s="227">
        <v>3</v>
      </c>
      <c r="D193" s="235" t="s">
        <v>2017</v>
      </c>
      <c r="E193" s="228"/>
      <c r="F193" s="228"/>
      <c r="G193" s="197" t="s">
        <v>1709</v>
      </c>
      <c r="H193" s="197"/>
      <c r="I193" s="197"/>
      <c r="J193" s="197"/>
      <c r="K193" s="197"/>
      <c r="L193" s="197"/>
      <c r="M193" s="197"/>
      <c r="N193" s="197"/>
      <c r="O193" s="197"/>
      <c r="P193" s="194">
        <v>45824</v>
      </c>
      <c r="Q193" s="194">
        <v>45856</v>
      </c>
      <c r="R193" s="228"/>
      <c r="S193" s="229">
        <v>7.5</v>
      </c>
      <c r="T193" s="229">
        <v>0</v>
      </c>
      <c r="U193" s="229">
        <v>25</v>
      </c>
      <c r="V193" s="229">
        <v>0</v>
      </c>
      <c r="W193" s="250"/>
      <c r="X193" s="250"/>
      <c r="Y193" s="230"/>
      <c r="Z193" s="231">
        <v>0</v>
      </c>
      <c r="AA193" s="229">
        <v>0.3</v>
      </c>
      <c r="AB193" s="228"/>
      <c r="AC193" s="191"/>
      <c r="AD193" s="234">
        <v>0</v>
      </c>
      <c r="AE193" s="253">
        <v>0</v>
      </c>
      <c r="AF193" s="240"/>
      <c r="AG193" s="241"/>
      <c r="AH193" s="241"/>
      <c r="AI193" s="241"/>
      <c r="AJ193" s="241"/>
      <c r="AK193" s="241"/>
      <c r="AL193" s="241"/>
      <c r="AM193" s="241"/>
      <c r="AN193" s="241"/>
      <c r="AO193" s="241"/>
      <c r="AP193" s="241"/>
      <c r="AQ193" s="241"/>
      <c r="AR193" s="241"/>
      <c r="AS193" s="241"/>
      <c r="AT193" s="241"/>
      <c r="AU193" s="241"/>
      <c r="AV193" s="241"/>
      <c r="AW193" s="241" t="str">
        <f>" " &amp; TEXT(AE193,"#0.00%") &amp; " "</f>
        <v xml:space="preserve"> 0.00% </v>
      </c>
      <c r="AX193" s="241"/>
      <c r="AY193" s="241"/>
      <c r="AZ193" s="241"/>
      <c r="BA193" s="241" t="str">
        <f>"      " &amp; "단위테스트" &amp; " " &amp; IF(P193="","",TEXT(P193,"M/D-")) &amp; IF(Q193="","",TEXT(Q193,"M/D")) &amp; " "</f>
        <v xml:space="preserve">      단위테스트 6/16-7/18 </v>
      </c>
      <c r="BB193" s="241"/>
      <c r="BC193" s="241"/>
      <c r="BD193" s="241"/>
      <c r="BE193" s="241"/>
      <c r="BF193" s="241"/>
      <c r="BG193" s="241"/>
      <c r="BH193" s="241"/>
      <c r="BI193" s="241"/>
      <c r="BJ193" s="241"/>
      <c r="BK193" s="241"/>
      <c r="BL193" s="241"/>
      <c r="BM193" s="241"/>
      <c r="BN193" s="241"/>
      <c r="BO193" s="241"/>
      <c r="BP193" s="241"/>
      <c r="BQ193" s="241"/>
      <c r="BR193" s="241"/>
      <c r="BS193" s="241"/>
      <c r="BT193" s="241"/>
      <c r="BU193" s="241"/>
      <c r="BV193" s="241"/>
      <c r="BW193" s="241"/>
      <c r="BX193" s="241"/>
      <c r="BY193" s="241"/>
      <c r="BZ193" s="241"/>
      <c r="CA193" s="241"/>
      <c r="CB193" s="241"/>
      <c r="CC193" s="241"/>
      <c r="CD193" s="241"/>
      <c r="CE193" s="241"/>
      <c r="CF193" s="241"/>
      <c r="CG193" s="241"/>
    </row>
    <row r="194" spans="1:85" ht="12" customHeight="1" outlineLevel="1">
      <c r="A194" s="227"/>
      <c r="B194" s="227" t="s">
        <v>1766</v>
      </c>
      <c r="C194" s="227">
        <v>2</v>
      </c>
      <c r="D194" s="235" t="s">
        <v>1868</v>
      </c>
      <c r="E194" s="228"/>
      <c r="F194" s="228" t="s">
        <v>1719</v>
      </c>
      <c r="G194" s="197"/>
      <c r="H194" s="197"/>
      <c r="I194" s="197"/>
      <c r="J194" s="197"/>
      <c r="K194" s="197"/>
      <c r="L194" s="197"/>
      <c r="M194" s="197"/>
      <c r="N194" s="197"/>
      <c r="O194" s="197"/>
      <c r="P194" s="194">
        <v>45705</v>
      </c>
      <c r="Q194" s="194">
        <v>45898</v>
      </c>
      <c r="R194" s="228"/>
      <c r="S194" s="229">
        <v>189.4</v>
      </c>
      <c r="T194" s="229">
        <v>1.3</v>
      </c>
      <c r="U194" s="229">
        <v>135</v>
      </c>
      <c r="V194" s="229">
        <v>13</v>
      </c>
      <c r="W194" s="250"/>
      <c r="X194" s="250"/>
      <c r="Y194" s="230">
        <v>0</v>
      </c>
      <c r="Z194" s="231">
        <v>0</v>
      </c>
      <c r="AA194" s="229"/>
      <c r="AB194" s="228"/>
      <c r="AC194" s="191"/>
      <c r="AD194" s="234">
        <v>6.8637803590285108E-3</v>
      </c>
      <c r="AE194" s="243">
        <v>0</v>
      </c>
      <c r="AF194" s="240" t="str">
        <f>" " &amp; TEXT(AE194,"#0.00%") &amp; " "</f>
        <v xml:space="preserve"> 0.00% </v>
      </c>
      <c r="AG194" s="241"/>
      <c r="AH194" s="241"/>
      <c r="AI194" s="241"/>
      <c r="AJ194" s="241"/>
      <c r="AK194" s="241"/>
      <c r="AL194" s="241"/>
      <c r="AM194" s="241"/>
      <c r="AN194" s="241"/>
      <c r="AO194" s="241"/>
      <c r="AP194" s="241"/>
      <c r="AQ194" s="241"/>
      <c r="AR194" s="241"/>
      <c r="AS194" s="241"/>
      <c r="AT194" s="241"/>
      <c r="AU194" s="241"/>
      <c r="AV194" s="241"/>
      <c r="AW194" s="241"/>
      <c r="AX194" s="241"/>
      <c r="AY194" s="241"/>
      <c r="AZ194" s="241"/>
      <c r="BA194" s="241"/>
      <c r="BB194" s="241"/>
      <c r="BC194" s="241"/>
      <c r="BD194" s="241"/>
      <c r="BE194" s="241"/>
      <c r="BF194" s="241"/>
      <c r="BG194" s="241" t="str">
        <f>"      " &amp; "POS관리시스템 구축" &amp; " " &amp; IF(P194="","",TEXT(P194,"M/D-")) &amp; IF(Q194="","",TEXT(Q194,"M/D")) &amp; " "</f>
        <v xml:space="preserve">      POS관리시스템 구축 2/17-8/29 </v>
      </c>
      <c r="BH194" s="241"/>
      <c r="BI194" s="241"/>
      <c r="BJ194" s="241"/>
      <c r="BK194" s="241"/>
      <c r="BL194" s="241"/>
      <c r="BM194" s="241"/>
      <c r="BN194" s="241"/>
      <c r="BO194" s="241"/>
      <c r="BP194" s="241"/>
      <c r="BQ194" s="241"/>
      <c r="BR194" s="241"/>
      <c r="BS194" s="241"/>
      <c r="BT194" s="241"/>
      <c r="BU194" s="241"/>
      <c r="BV194" s="241"/>
      <c r="BW194" s="241"/>
      <c r="BX194" s="241"/>
      <c r="BY194" s="241"/>
      <c r="BZ194" s="241"/>
      <c r="CA194" s="241"/>
      <c r="CB194" s="241"/>
      <c r="CC194" s="241"/>
      <c r="CD194" s="241"/>
      <c r="CE194" s="241"/>
      <c r="CF194" s="241"/>
      <c r="CG194" s="241"/>
    </row>
    <row r="195" spans="1:85" ht="12" customHeight="1" outlineLevel="2">
      <c r="A195" s="227"/>
      <c r="B195" s="227"/>
      <c r="C195" s="227">
        <v>3</v>
      </c>
      <c r="D195" s="235" t="s">
        <v>1869</v>
      </c>
      <c r="E195" s="228"/>
      <c r="F195" s="228"/>
      <c r="G195" s="197" t="s">
        <v>1445</v>
      </c>
      <c r="H195" s="197"/>
      <c r="I195" s="197"/>
      <c r="J195" s="197"/>
      <c r="K195" s="197"/>
      <c r="L195" s="197"/>
      <c r="M195" s="197"/>
      <c r="N195" s="197"/>
      <c r="O195" s="197"/>
      <c r="P195" s="194">
        <v>45705</v>
      </c>
      <c r="Q195" s="194">
        <v>45730</v>
      </c>
      <c r="R195" s="197"/>
      <c r="S195" s="193">
        <v>1.9000000000000001</v>
      </c>
      <c r="T195" s="193">
        <v>1.3</v>
      </c>
      <c r="U195" s="193">
        <v>19</v>
      </c>
      <c r="V195" s="193">
        <v>13</v>
      </c>
      <c r="W195" s="194"/>
      <c r="X195" s="194"/>
      <c r="Y195" s="195"/>
      <c r="Z195" s="196">
        <v>0</v>
      </c>
      <c r="AA195" s="193">
        <v>0.1</v>
      </c>
      <c r="AB195" s="197"/>
      <c r="AC195" s="191"/>
      <c r="AD195" s="234">
        <v>0.68421052631578949</v>
      </c>
      <c r="AE195" s="242">
        <v>0</v>
      </c>
      <c r="AF195" s="240" t="str">
        <f>" " &amp; TEXT(AE195,"#0.00%") &amp; " "</f>
        <v xml:space="preserve"> 0.00% </v>
      </c>
      <c r="AG195" s="241"/>
      <c r="AH195" s="241"/>
      <c r="AI195" s="241" t="str">
        <f>"      " &amp; "분석" &amp; " " &amp; IF(P195="","",TEXT(P195,"M/D-")) &amp; IF(Q195="","",TEXT(Q195,"M/D")) &amp; " "</f>
        <v xml:space="preserve">      분석 2/17-3/14 </v>
      </c>
      <c r="AJ195" s="241"/>
      <c r="AK195" s="241"/>
      <c r="AL195" s="241"/>
      <c r="AM195" s="241"/>
      <c r="AN195" s="241"/>
      <c r="AO195" s="241"/>
      <c r="AP195" s="241"/>
      <c r="AQ195" s="241"/>
      <c r="AR195" s="241"/>
      <c r="AS195" s="241"/>
      <c r="AT195" s="241"/>
      <c r="AU195" s="241"/>
      <c r="AV195" s="241"/>
      <c r="AW195" s="241"/>
      <c r="AX195" s="241"/>
      <c r="AY195" s="241"/>
      <c r="AZ195" s="241"/>
      <c r="BA195" s="241"/>
      <c r="BB195" s="241"/>
      <c r="BC195" s="241"/>
      <c r="BD195" s="241"/>
      <c r="BE195" s="241"/>
      <c r="BF195" s="241"/>
      <c r="BG195" s="241"/>
      <c r="BH195" s="241"/>
      <c r="BI195" s="241"/>
      <c r="BJ195" s="241"/>
      <c r="BK195" s="241"/>
      <c r="BL195" s="241"/>
      <c r="BM195" s="241"/>
      <c r="BN195" s="241"/>
      <c r="BO195" s="241"/>
      <c r="BP195" s="241"/>
      <c r="BQ195" s="241"/>
      <c r="BR195" s="241"/>
      <c r="BS195" s="241"/>
      <c r="BT195" s="241"/>
      <c r="BU195" s="241"/>
      <c r="BV195" s="241"/>
      <c r="BW195" s="241"/>
      <c r="BX195" s="241"/>
      <c r="BY195" s="241"/>
      <c r="BZ195" s="241"/>
      <c r="CA195" s="241"/>
      <c r="CB195" s="241"/>
      <c r="CC195" s="241"/>
      <c r="CD195" s="241"/>
      <c r="CE195" s="241"/>
      <c r="CF195" s="241"/>
      <c r="CG195" s="241"/>
    </row>
    <row r="196" spans="1:85" ht="12" customHeight="1" outlineLevel="2">
      <c r="A196" s="227"/>
      <c r="B196" s="227"/>
      <c r="C196" s="227">
        <v>3</v>
      </c>
      <c r="D196" s="235" t="s">
        <v>1870</v>
      </c>
      <c r="E196" s="228"/>
      <c r="F196" s="228"/>
      <c r="G196" s="197" t="s">
        <v>1952</v>
      </c>
      <c r="H196" s="197"/>
      <c r="I196" s="197"/>
      <c r="J196" s="197"/>
      <c r="K196" s="197"/>
      <c r="L196" s="197"/>
      <c r="M196" s="197"/>
      <c r="N196" s="197"/>
      <c r="O196" s="197"/>
      <c r="P196" s="194">
        <v>45757</v>
      </c>
      <c r="Q196" s="194">
        <v>45762</v>
      </c>
      <c r="R196" s="197"/>
      <c r="S196" s="193">
        <v>4</v>
      </c>
      <c r="T196" s="193">
        <v>0</v>
      </c>
      <c r="U196" s="193">
        <v>4</v>
      </c>
      <c r="V196" s="193">
        <v>0</v>
      </c>
      <c r="W196" s="194"/>
      <c r="X196" s="194"/>
      <c r="Y196" s="195"/>
      <c r="Z196" s="196">
        <v>0</v>
      </c>
      <c r="AA196" s="193">
        <v>1</v>
      </c>
      <c r="AB196" s="197" t="s">
        <v>1907</v>
      </c>
      <c r="AC196" s="205" t="s">
        <v>1953</v>
      </c>
      <c r="AD196" s="234">
        <v>0</v>
      </c>
      <c r="AE196" s="253">
        <v>0</v>
      </c>
      <c r="AF196" s="240"/>
      <c r="AG196" s="241"/>
      <c r="AH196" s="241"/>
      <c r="AI196" s="241"/>
      <c r="AJ196" s="241"/>
      <c r="AK196" s="241"/>
      <c r="AL196" s="241"/>
      <c r="AM196" s="241" t="str">
        <f>"    " &amp; TEXT(AE196,"#0.00%") &amp; " " &amp; "기획분석" &amp; "(김보배님)" &amp; " " &amp; IF(P196="","",TEXT(P196,"M/D-")) &amp; IF(Q196="","",TEXT(Q196,"M/D")) &amp; " "</f>
        <v xml:space="preserve">    0.00% 기획분석(김보배님) 4/10-4/15 </v>
      </c>
      <c r="AN196" s="241"/>
      <c r="AO196" s="241"/>
      <c r="AP196" s="241"/>
      <c r="AQ196" s="241"/>
      <c r="AR196" s="241"/>
      <c r="AS196" s="241"/>
      <c r="AT196" s="241"/>
      <c r="AU196" s="241"/>
      <c r="AV196" s="241"/>
      <c r="AW196" s="241"/>
      <c r="AX196" s="241"/>
      <c r="AY196" s="241"/>
      <c r="AZ196" s="241"/>
      <c r="BA196" s="241"/>
      <c r="BB196" s="241"/>
      <c r="BC196" s="241"/>
      <c r="BD196" s="241"/>
      <c r="BE196" s="241"/>
      <c r="BF196" s="241"/>
      <c r="BG196" s="241"/>
      <c r="BH196" s="241"/>
      <c r="BI196" s="241"/>
      <c r="BJ196" s="241"/>
      <c r="BK196" s="241"/>
      <c r="BL196" s="241"/>
      <c r="BM196" s="241"/>
      <c r="BN196" s="241"/>
      <c r="BO196" s="241"/>
      <c r="BP196" s="241"/>
      <c r="BQ196" s="241"/>
      <c r="BR196" s="241"/>
      <c r="BS196" s="241"/>
      <c r="BT196" s="241"/>
      <c r="BU196" s="241"/>
      <c r="BV196" s="241"/>
      <c r="BW196" s="241"/>
      <c r="BX196" s="241"/>
      <c r="BY196" s="241"/>
      <c r="BZ196" s="241"/>
      <c r="CA196" s="241"/>
      <c r="CB196" s="241"/>
      <c r="CC196" s="241"/>
      <c r="CD196" s="241"/>
      <c r="CE196" s="241"/>
      <c r="CF196" s="241"/>
      <c r="CG196" s="241"/>
    </row>
    <row r="197" spans="1:85" ht="12" customHeight="1" outlineLevel="2">
      <c r="A197" s="227"/>
      <c r="B197" s="227"/>
      <c r="C197" s="227">
        <v>3</v>
      </c>
      <c r="D197" s="235" t="s">
        <v>2018</v>
      </c>
      <c r="E197" s="228"/>
      <c r="F197" s="228"/>
      <c r="G197" s="197" t="s">
        <v>1705</v>
      </c>
      <c r="H197" s="197"/>
      <c r="I197" s="197"/>
      <c r="J197" s="197"/>
      <c r="K197" s="197"/>
      <c r="L197" s="197"/>
      <c r="M197" s="197"/>
      <c r="N197" s="197"/>
      <c r="O197" s="197"/>
      <c r="P197" s="194">
        <v>45761</v>
      </c>
      <c r="Q197" s="194">
        <v>45777</v>
      </c>
      <c r="R197" s="197"/>
      <c r="S197" s="193">
        <v>13</v>
      </c>
      <c r="T197" s="193">
        <v>0</v>
      </c>
      <c r="U197" s="193">
        <v>13</v>
      </c>
      <c r="V197" s="193">
        <v>0</v>
      </c>
      <c r="W197" s="194"/>
      <c r="X197" s="194"/>
      <c r="Y197" s="195"/>
      <c r="Z197" s="196">
        <v>0</v>
      </c>
      <c r="AA197" s="193">
        <v>1</v>
      </c>
      <c r="AB197" s="197" t="s">
        <v>1907</v>
      </c>
      <c r="AC197" s="205" t="s">
        <v>1953</v>
      </c>
      <c r="AD197" s="199">
        <v>0</v>
      </c>
      <c r="AE197" s="253">
        <v>0</v>
      </c>
      <c r="AF197" s="240"/>
      <c r="AG197" s="241"/>
      <c r="AH197" s="241"/>
      <c r="AI197" s="241"/>
      <c r="AJ197" s="241"/>
      <c r="AK197" s="241"/>
      <c r="AL197" s="241"/>
      <c r="AM197" s="241"/>
      <c r="AN197" s="241" t="str">
        <f>" " &amp; TEXT(AE197,"#0.00%") &amp; " " &amp; "기획" &amp; "(김보배님)" &amp; " " &amp; IF(P197="","",TEXT(P197,"M/D-")) &amp; IF(Q197="","",TEXT(Q197,"M/D")) &amp; " "</f>
        <v xml:space="preserve"> 0.00% 기획(김보배님) 4/14-4/30 </v>
      </c>
      <c r="AO197" s="241"/>
      <c r="AP197" s="241"/>
      <c r="AQ197" s="241"/>
      <c r="AR197" s="241"/>
      <c r="AS197" s="241"/>
      <c r="AT197" s="241"/>
      <c r="AU197" s="241"/>
      <c r="AV197" s="241"/>
      <c r="AW197" s="241"/>
      <c r="AX197" s="241"/>
      <c r="AY197" s="241"/>
      <c r="AZ197" s="241"/>
      <c r="BA197" s="241"/>
      <c r="BB197" s="241"/>
      <c r="BC197" s="241"/>
      <c r="BD197" s="241"/>
      <c r="BE197" s="241"/>
      <c r="BF197" s="241"/>
      <c r="BG197" s="241"/>
      <c r="BH197" s="241"/>
      <c r="BI197" s="241"/>
      <c r="BJ197" s="241"/>
      <c r="BK197" s="241"/>
      <c r="BL197" s="241"/>
      <c r="BM197" s="241"/>
      <c r="BN197" s="241"/>
      <c r="BO197" s="241"/>
      <c r="BP197" s="241"/>
      <c r="BQ197" s="241"/>
      <c r="BR197" s="241"/>
      <c r="BS197" s="241"/>
      <c r="BT197" s="241"/>
      <c r="BU197" s="241"/>
      <c r="BV197" s="241"/>
      <c r="BW197" s="241"/>
      <c r="BX197" s="241"/>
      <c r="BY197" s="241"/>
      <c r="BZ197" s="241"/>
      <c r="CA197" s="241"/>
      <c r="CB197" s="241"/>
      <c r="CC197" s="241"/>
      <c r="CD197" s="241"/>
      <c r="CE197" s="241"/>
      <c r="CF197" s="241"/>
      <c r="CG197" s="241"/>
    </row>
    <row r="198" spans="1:85" ht="12" customHeight="1" outlineLevel="2">
      <c r="A198" s="227"/>
      <c r="B198" s="227"/>
      <c r="C198" s="227">
        <v>3</v>
      </c>
      <c r="D198" s="235" t="s">
        <v>2019</v>
      </c>
      <c r="E198" s="228"/>
      <c r="F198" s="228"/>
      <c r="G198" s="197" t="s">
        <v>1706</v>
      </c>
      <c r="H198" s="197"/>
      <c r="I198" s="197"/>
      <c r="J198" s="197"/>
      <c r="K198" s="197"/>
      <c r="L198" s="197"/>
      <c r="M198" s="197"/>
      <c r="N198" s="197"/>
      <c r="O198" s="197"/>
      <c r="P198" s="194">
        <v>45768</v>
      </c>
      <c r="Q198" s="194">
        <v>45786</v>
      </c>
      <c r="R198" s="197"/>
      <c r="S198" s="193">
        <v>13</v>
      </c>
      <c r="T198" s="193">
        <v>0</v>
      </c>
      <c r="U198" s="193">
        <v>13</v>
      </c>
      <c r="V198" s="193">
        <v>0</v>
      </c>
      <c r="W198" s="194"/>
      <c r="X198" s="194"/>
      <c r="Y198" s="195"/>
      <c r="Z198" s="196">
        <v>0</v>
      </c>
      <c r="AA198" s="193">
        <v>1</v>
      </c>
      <c r="AB198" s="197" t="s">
        <v>1906</v>
      </c>
      <c r="AC198" s="205" t="s">
        <v>1954</v>
      </c>
      <c r="AD198" s="199">
        <v>0</v>
      </c>
      <c r="AE198" s="253">
        <v>0</v>
      </c>
      <c r="AF198" s="240"/>
      <c r="AG198" s="241"/>
      <c r="AH198" s="241"/>
      <c r="AI198" s="241"/>
      <c r="AJ198" s="241"/>
      <c r="AK198" s="241"/>
      <c r="AL198" s="241"/>
      <c r="AM198" s="241"/>
      <c r="AN198" s="241"/>
      <c r="AO198" s="241" t="str">
        <f>" " &amp; TEXT(AE198,"#0.00%") &amp; " " &amp; "디자인" &amp; "(명예지님)" &amp; " " &amp; IF(P198="","",TEXT(P198,"M/D-")) &amp; IF(Q198="","",TEXT(Q198,"M/D")) &amp; " "</f>
        <v xml:space="preserve"> 0.00% 디자인(명예지님) 4/21-5/9 </v>
      </c>
      <c r="AP198" s="241"/>
      <c r="AQ198" s="241"/>
      <c r="AR198" s="241"/>
      <c r="AS198" s="241"/>
      <c r="AT198" s="241"/>
      <c r="AU198" s="241"/>
      <c r="AV198" s="241"/>
      <c r="AW198" s="241"/>
      <c r="AX198" s="241"/>
      <c r="AY198" s="241"/>
      <c r="AZ198" s="241"/>
      <c r="BA198" s="241"/>
      <c r="BB198" s="241"/>
      <c r="BC198" s="241"/>
      <c r="BD198" s="241"/>
      <c r="BE198" s="241"/>
      <c r="BF198" s="241"/>
      <c r="BG198" s="241"/>
      <c r="BH198" s="241"/>
      <c r="BI198" s="241"/>
      <c r="BJ198" s="241"/>
      <c r="BK198" s="241"/>
      <c r="BL198" s="241"/>
      <c r="BM198" s="241"/>
      <c r="BN198" s="241"/>
      <c r="BO198" s="241"/>
      <c r="BP198" s="241"/>
      <c r="BQ198" s="241"/>
      <c r="BR198" s="241"/>
      <c r="BS198" s="241"/>
      <c r="BT198" s="241"/>
      <c r="BU198" s="241"/>
      <c r="BV198" s="241"/>
      <c r="BW198" s="241"/>
      <c r="BX198" s="241"/>
      <c r="BY198" s="241"/>
      <c r="BZ198" s="241"/>
      <c r="CA198" s="241"/>
      <c r="CB198" s="241"/>
      <c r="CC198" s="241"/>
      <c r="CD198" s="241"/>
      <c r="CE198" s="241"/>
      <c r="CF198" s="241"/>
      <c r="CG198" s="241"/>
    </row>
    <row r="199" spans="1:85" ht="12" customHeight="1" outlineLevel="2">
      <c r="A199" s="227"/>
      <c r="B199" s="227"/>
      <c r="C199" s="227">
        <v>3</v>
      </c>
      <c r="D199" s="235" t="s">
        <v>2020</v>
      </c>
      <c r="E199" s="228"/>
      <c r="F199" s="228"/>
      <c r="G199" s="197" t="s">
        <v>1707</v>
      </c>
      <c r="H199" s="197"/>
      <c r="I199" s="197"/>
      <c r="J199" s="197"/>
      <c r="K199" s="197"/>
      <c r="L199" s="197"/>
      <c r="M199" s="197"/>
      <c r="N199" s="197"/>
      <c r="O199" s="197"/>
      <c r="P199" s="194">
        <v>45778</v>
      </c>
      <c r="Q199" s="194">
        <v>45793</v>
      </c>
      <c r="R199" s="257"/>
      <c r="S199" s="193">
        <v>10</v>
      </c>
      <c r="T199" s="193">
        <v>0</v>
      </c>
      <c r="U199" s="193">
        <v>10</v>
      </c>
      <c r="V199" s="193">
        <v>0</v>
      </c>
      <c r="W199" s="194"/>
      <c r="X199" s="194"/>
      <c r="Y199" s="195"/>
      <c r="Z199" s="196">
        <v>0</v>
      </c>
      <c r="AA199" s="193">
        <v>1</v>
      </c>
      <c r="AB199" s="200"/>
      <c r="AC199" s="198"/>
      <c r="AD199" s="199">
        <v>0</v>
      </c>
      <c r="AE199" s="253">
        <v>0</v>
      </c>
      <c r="AF199" s="240"/>
      <c r="AG199" s="241"/>
      <c r="AH199" s="241"/>
      <c r="AI199" s="241"/>
      <c r="AJ199" s="241"/>
      <c r="AK199" s="241"/>
      <c r="AL199" s="241"/>
      <c r="AM199" s="241"/>
      <c r="AN199" s="241"/>
      <c r="AO199" s="241"/>
      <c r="AP199" s="241" t="str">
        <f>"    " &amp; TEXT(AE199,"#0.00%") &amp; " " &amp; "퍼블리싱" &amp; " " &amp; IF(P199="","",TEXT(P199,"M/D-")) &amp; IF(Q199="","",TEXT(Q199,"M/D")) &amp; " "</f>
        <v xml:space="preserve">    0.00% 퍼블리싱 5/1-5/16 </v>
      </c>
      <c r="AQ199" s="241"/>
      <c r="AR199" s="241"/>
      <c r="AS199" s="241"/>
      <c r="AT199" s="241"/>
      <c r="AU199" s="241"/>
      <c r="AV199" s="241"/>
      <c r="AW199" s="241"/>
      <c r="AX199" s="241"/>
      <c r="AY199" s="241"/>
      <c r="AZ199" s="241"/>
      <c r="BA199" s="241"/>
      <c r="BB199" s="241"/>
      <c r="BC199" s="241"/>
      <c r="BD199" s="241"/>
      <c r="BE199" s="241"/>
      <c r="BF199" s="241"/>
      <c r="BG199" s="241"/>
      <c r="BH199" s="241"/>
      <c r="BI199" s="241"/>
      <c r="BJ199" s="241"/>
      <c r="BK199" s="241"/>
      <c r="BL199" s="241"/>
      <c r="BM199" s="241"/>
      <c r="BN199" s="241"/>
      <c r="BO199" s="241"/>
      <c r="BP199" s="241"/>
      <c r="BQ199" s="241"/>
      <c r="BR199" s="241"/>
      <c r="BS199" s="241"/>
      <c r="BT199" s="241"/>
      <c r="BU199" s="241"/>
      <c r="BV199" s="241"/>
      <c r="BW199" s="241"/>
      <c r="BX199" s="241"/>
      <c r="BY199" s="241"/>
      <c r="BZ199" s="241"/>
      <c r="CA199" s="241"/>
      <c r="CB199" s="241"/>
      <c r="CC199" s="241"/>
      <c r="CD199" s="241"/>
      <c r="CE199" s="241"/>
      <c r="CF199" s="241"/>
      <c r="CG199" s="241"/>
    </row>
    <row r="200" spans="1:85" ht="12" customHeight="1" outlineLevel="2">
      <c r="A200" s="227"/>
      <c r="B200" s="227"/>
      <c r="C200" s="227">
        <v>3</v>
      </c>
      <c r="D200" s="235" t="s">
        <v>2021</v>
      </c>
      <c r="E200" s="228"/>
      <c r="F200" s="228"/>
      <c r="G200" s="228" t="s">
        <v>1710</v>
      </c>
      <c r="H200" s="228"/>
      <c r="I200" s="228"/>
      <c r="J200" s="228"/>
      <c r="K200" s="228"/>
      <c r="L200" s="228"/>
      <c r="M200" s="228"/>
      <c r="N200" s="228"/>
      <c r="O200" s="228"/>
      <c r="P200" s="250">
        <v>45733</v>
      </c>
      <c r="Q200" s="250">
        <v>45793</v>
      </c>
      <c r="R200" s="228"/>
      <c r="S200" s="229">
        <v>21.5</v>
      </c>
      <c r="T200" s="229">
        <v>0</v>
      </c>
      <c r="U200" s="229">
        <v>43</v>
      </c>
      <c r="V200" s="229">
        <v>0</v>
      </c>
      <c r="W200" s="250"/>
      <c r="X200" s="250"/>
      <c r="Y200" s="230"/>
      <c r="Z200" s="231">
        <v>0</v>
      </c>
      <c r="AA200" s="229">
        <v>0.5</v>
      </c>
      <c r="AB200" s="228"/>
      <c r="AC200" s="191"/>
      <c r="AD200" s="234">
        <v>0</v>
      </c>
      <c r="AE200" s="253">
        <v>0</v>
      </c>
      <c r="AF200" s="240"/>
      <c r="AG200" s="241"/>
      <c r="AH200" s="241"/>
      <c r="AI200" s="241"/>
      <c r="AJ200" s="241" t="str">
        <f>" " &amp; TEXT(AE200,"#0.00%") &amp; " "</f>
        <v xml:space="preserve"> 0.00% </v>
      </c>
      <c r="AK200" s="241"/>
      <c r="AL200" s="241"/>
      <c r="AM200" s="241"/>
      <c r="AN200" s="241"/>
      <c r="AO200" s="241"/>
      <c r="AP200" s="241"/>
      <c r="AQ200" s="241"/>
      <c r="AR200" s="241" t="str">
        <f>"      " &amp; "설계 (1차)" &amp; " " &amp; IF(P200="","",TEXT(P200,"M/D-")) &amp; IF(Q200="","",TEXT(Q200,"M/D")) &amp; " "</f>
        <v xml:space="preserve">      설계 (1차) 3/17-5/16 </v>
      </c>
      <c r="AS200" s="241"/>
      <c r="AT200" s="241"/>
      <c r="AU200" s="241"/>
      <c r="AV200" s="241"/>
      <c r="AW200" s="241"/>
      <c r="AX200" s="241"/>
      <c r="AY200" s="241"/>
      <c r="AZ200" s="241"/>
      <c r="BA200" s="241"/>
      <c r="BB200" s="241"/>
      <c r="BC200" s="241"/>
      <c r="BD200" s="241"/>
      <c r="BE200" s="241"/>
      <c r="BF200" s="241"/>
      <c r="BG200" s="241"/>
      <c r="BH200" s="241"/>
      <c r="BI200" s="241"/>
      <c r="BJ200" s="241"/>
      <c r="BK200" s="241"/>
      <c r="BL200" s="241"/>
      <c r="BM200" s="241"/>
      <c r="BN200" s="241"/>
      <c r="BO200" s="241"/>
      <c r="BP200" s="241"/>
      <c r="BQ200" s="241"/>
      <c r="BR200" s="241"/>
      <c r="BS200" s="241"/>
      <c r="BT200" s="241"/>
      <c r="BU200" s="241"/>
      <c r="BV200" s="241"/>
      <c r="BW200" s="241"/>
      <c r="BX200" s="241"/>
      <c r="BY200" s="241"/>
      <c r="BZ200" s="241"/>
      <c r="CA200" s="241"/>
      <c r="CB200" s="241"/>
      <c r="CC200" s="241"/>
      <c r="CD200" s="241"/>
      <c r="CE200" s="241"/>
      <c r="CF200" s="241"/>
      <c r="CG200" s="241"/>
    </row>
    <row r="201" spans="1:85" ht="12" customHeight="1" outlineLevel="2">
      <c r="A201" s="227"/>
      <c r="B201" s="227"/>
      <c r="C201" s="227">
        <v>3</v>
      </c>
      <c r="D201" s="235" t="s">
        <v>2022</v>
      </c>
      <c r="E201" s="228"/>
      <c r="F201" s="228"/>
      <c r="G201" s="228" t="s">
        <v>1711</v>
      </c>
      <c r="H201" s="228"/>
      <c r="I201" s="228"/>
      <c r="J201" s="228"/>
      <c r="K201" s="228"/>
      <c r="L201" s="228"/>
      <c r="M201" s="228"/>
      <c r="N201" s="228"/>
      <c r="O201" s="228"/>
      <c r="P201" s="250">
        <v>45740</v>
      </c>
      <c r="Q201" s="250">
        <v>45849</v>
      </c>
      <c r="R201" s="228"/>
      <c r="S201" s="229">
        <v>77</v>
      </c>
      <c r="T201" s="229">
        <v>0</v>
      </c>
      <c r="U201" s="229">
        <v>77</v>
      </c>
      <c r="V201" s="229">
        <v>0</v>
      </c>
      <c r="W201" s="250"/>
      <c r="X201" s="250"/>
      <c r="Y201" s="230"/>
      <c r="Z201" s="231">
        <v>0</v>
      </c>
      <c r="AA201" s="229">
        <v>1</v>
      </c>
      <c r="AB201" s="228"/>
      <c r="AC201" s="191"/>
      <c r="AD201" s="234">
        <v>0</v>
      </c>
      <c r="AE201" s="253">
        <v>0</v>
      </c>
      <c r="AF201" s="240"/>
      <c r="AG201" s="241"/>
      <c r="AH201" s="241"/>
      <c r="AI201" s="241"/>
      <c r="AJ201" s="241"/>
      <c r="AK201" s="241" t="str">
        <f>" " &amp; TEXT(AE201,"#0.00%") &amp; " "</f>
        <v xml:space="preserve"> 0.00% </v>
      </c>
      <c r="AL201" s="241"/>
      <c r="AM201" s="241"/>
      <c r="AN201" s="241"/>
      <c r="AO201" s="241"/>
      <c r="AP201" s="241"/>
      <c r="AQ201" s="241"/>
      <c r="AR201" s="241"/>
      <c r="AS201" s="241"/>
      <c r="AT201" s="241"/>
      <c r="AU201" s="241"/>
      <c r="AV201" s="241"/>
      <c r="AW201" s="241"/>
      <c r="AX201" s="241"/>
      <c r="AY201" s="241"/>
      <c r="AZ201" s="241" t="str">
        <f>"      " &amp; "개발 (1차)" &amp; " " &amp; IF(P201="","",TEXT(P201,"M/D-")) &amp; IF(Q201="","",TEXT(Q201,"M/D")) &amp; " "</f>
        <v xml:space="preserve">      개발 (1차) 3/24-7/11 </v>
      </c>
      <c r="BA201" s="241"/>
      <c r="BB201" s="241"/>
      <c r="BC201" s="241"/>
      <c r="BD201" s="241"/>
      <c r="BE201" s="241"/>
      <c r="BF201" s="241"/>
      <c r="BG201" s="241"/>
      <c r="BH201" s="241"/>
      <c r="BI201" s="241"/>
      <c r="BJ201" s="241"/>
      <c r="BK201" s="241"/>
      <c r="BL201" s="241"/>
      <c r="BM201" s="241"/>
      <c r="BN201" s="241"/>
      <c r="BO201" s="241"/>
      <c r="BP201" s="241"/>
      <c r="BQ201" s="241"/>
      <c r="BR201" s="241"/>
      <c r="BS201" s="241"/>
      <c r="BT201" s="241"/>
      <c r="BU201" s="241"/>
      <c r="BV201" s="241"/>
      <c r="BW201" s="241"/>
      <c r="BX201" s="241"/>
      <c r="BY201" s="241"/>
      <c r="BZ201" s="241"/>
      <c r="CA201" s="241"/>
      <c r="CB201" s="241"/>
      <c r="CC201" s="241"/>
      <c r="CD201" s="241"/>
      <c r="CE201" s="241"/>
      <c r="CF201" s="241"/>
      <c r="CG201" s="241"/>
    </row>
    <row r="202" spans="1:85" ht="12" customHeight="1" outlineLevel="2">
      <c r="A202" s="227"/>
      <c r="B202" s="227"/>
      <c r="C202" s="227">
        <v>3</v>
      </c>
      <c r="D202" s="235" t="s">
        <v>2023</v>
      </c>
      <c r="E202" s="228"/>
      <c r="F202" s="228"/>
      <c r="G202" s="228" t="s">
        <v>1712</v>
      </c>
      <c r="H202" s="228"/>
      <c r="I202" s="228"/>
      <c r="J202" s="228"/>
      <c r="K202" s="228"/>
      <c r="L202" s="228"/>
      <c r="M202" s="228"/>
      <c r="N202" s="228"/>
      <c r="O202" s="228"/>
      <c r="P202" s="250">
        <v>45824</v>
      </c>
      <c r="Q202" s="250">
        <v>45856</v>
      </c>
      <c r="R202" s="228"/>
      <c r="S202" s="229">
        <v>7.5</v>
      </c>
      <c r="T202" s="229">
        <v>0</v>
      </c>
      <c r="U202" s="229">
        <v>25</v>
      </c>
      <c r="V202" s="229">
        <v>0</v>
      </c>
      <c r="W202" s="250"/>
      <c r="X202" s="250"/>
      <c r="Y202" s="230"/>
      <c r="Z202" s="231">
        <v>0</v>
      </c>
      <c r="AA202" s="229">
        <v>0.3</v>
      </c>
      <c r="AB202" s="228"/>
      <c r="AC202" s="191"/>
      <c r="AD202" s="234">
        <v>0</v>
      </c>
      <c r="AE202" s="253">
        <v>0</v>
      </c>
      <c r="AF202" s="240"/>
      <c r="AG202" s="241"/>
      <c r="AH202" s="241"/>
      <c r="AI202" s="241"/>
      <c r="AJ202" s="241"/>
      <c r="AK202" s="241"/>
      <c r="AL202" s="241"/>
      <c r="AM202" s="241"/>
      <c r="AN202" s="241"/>
      <c r="AO202" s="241"/>
      <c r="AP202" s="241"/>
      <c r="AQ202" s="241"/>
      <c r="AR202" s="241"/>
      <c r="AS202" s="241"/>
      <c r="AT202" s="241"/>
      <c r="AU202" s="241"/>
      <c r="AV202" s="241"/>
      <c r="AW202" s="241" t="str">
        <f>" " &amp; TEXT(AE202,"#0.00%") &amp; " "</f>
        <v xml:space="preserve"> 0.00% </v>
      </c>
      <c r="AX202" s="241"/>
      <c r="AY202" s="241"/>
      <c r="AZ202" s="241"/>
      <c r="BA202" s="241" t="str">
        <f>"      " &amp; "단위테스트 (1차)" &amp; " " &amp; IF(P202="","",TEXT(P202,"M/D-")) &amp; IF(Q202="","",TEXT(Q202,"M/D")) &amp; " "</f>
        <v xml:space="preserve">      단위테스트 (1차) 6/16-7/18 </v>
      </c>
      <c r="BB202" s="241"/>
      <c r="BC202" s="241"/>
      <c r="BD202" s="241"/>
      <c r="BE202" s="241"/>
      <c r="BF202" s="241"/>
      <c r="BG202" s="241"/>
      <c r="BH202" s="241"/>
      <c r="BI202" s="241"/>
      <c r="BJ202" s="241"/>
      <c r="BK202" s="241"/>
      <c r="BL202" s="241"/>
      <c r="BM202" s="241"/>
      <c r="BN202" s="241"/>
      <c r="BO202" s="241"/>
      <c r="BP202" s="241"/>
      <c r="BQ202" s="241"/>
      <c r="BR202" s="241"/>
      <c r="BS202" s="241"/>
      <c r="BT202" s="241"/>
      <c r="BU202" s="241"/>
      <c r="BV202" s="241"/>
      <c r="BW202" s="241"/>
      <c r="BX202" s="241"/>
      <c r="BY202" s="241"/>
      <c r="BZ202" s="241"/>
      <c r="CA202" s="241"/>
      <c r="CB202" s="241"/>
      <c r="CC202" s="241"/>
      <c r="CD202" s="241"/>
      <c r="CE202" s="241"/>
      <c r="CF202" s="241"/>
      <c r="CG202" s="241"/>
    </row>
    <row r="203" spans="1:85" ht="12" customHeight="1" outlineLevel="2">
      <c r="A203" s="227"/>
      <c r="B203" s="227"/>
      <c r="C203" s="227">
        <v>3</v>
      </c>
      <c r="D203" s="235" t="s">
        <v>2024</v>
      </c>
      <c r="E203" s="228"/>
      <c r="F203" s="228"/>
      <c r="G203" s="228" t="s">
        <v>1713</v>
      </c>
      <c r="H203" s="228"/>
      <c r="I203" s="228"/>
      <c r="J203" s="228"/>
      <c r="K203" s="228"/>
      <c r="L203" s="228"/>
      <c r="M203" s="228"/>
      <c r="N203" s="228"/>
      <c r="O203" s="228"/>
      <c r="P203" s="250">
        <v>45796</v>
      </c>
      <c r="Q203" s="250">
        <v>45821</v>
      </c>
      <c r="R203" s="228"/>
      <c r="S203" s="229">
        <v>9.5</v>
      </c>
      <c r="T203" s="229">
        <v>0</v>
      </c>
      <c r="U203" s="229">
        <v>19</v>
      </c>
      <c r="V203" s="229">
        <v>0</v>
      </c>
      <c r="W203" s="250"/>
      <c r="X203" s="250"/>
      <c r="Y203" s="230"/>
      <c r="Z203" s="231">
        <v>0</v>
      </c>
      <c r="AA203" s="229">
        <v>0.5</v>
      </c>
      <c r="AB203" s="228"/>
      <c r="AC203" s="191"/>
      <c r="AD203" s="234">
        <v>0</v>
      </c>
      <c r="AE203" s="253">
        <v>0</v>
      </c>
      <c r="AF203" s="240"/>
      <c r="AG203" s="241"/>
      <c r="AH203" s="241"/>
      <c r="AI203" s="241"/>
      <c r="AJ203" s="241"/>
      <c r="AK203" s="241"/>
      <c r="AL203" s="241"/>
      <c r="AM203" s="241"/>
      <c r="AN203" s="241"/>
      <c r="AO203" s="241"/>
      <c r="AP203" s="241"/>
      <c r="AQ203" s="241"/>
      <c r="AR203" s="241"/>
      <c r="AS203" s="241" t="str">
        <f>" " &amp; TEXT(AE203,"#0.00%") &amp; " "</f>
        <v xml:space="preserve"> 0.00% </v>
      </c>
      <c r="AT203" s="241"/>
      <c r="AU203" s="241"/>
      <c r="AV203" s="241" t="str">
        <f>"      " &amp; "설계 (2차)" &amp; " " &amp; IF(P203="","",TEXT(P203,"M/D-")) &amp; IF(Q203="","",TEXT(Q203,"M/D")) &amp; " "</f>
        <v xml:space="preserve">      설계 (2차) 5/19-6/13 </v>
      </c>
      <c r="AW203" s="241"/>
      <c r="AX203" s="241"/>
      <c r="AY203" s="241"/>
      <c r="AZ203" s="241"/>
      <c r="BA203" s="241"/>
      <c r="BB203" s="241"/>
      <c r="BC203" s="241"/>
      <c r="BD203" s="241"/>
      <c r="BE203" s="241"/>
      <c r="BF203" s="241"/>
      <c r="BG203" s="241"/>
      <c r="BH203" s="241"/>
      <c r="BI203" s="241"/>
      <c r="BJ203" s="241"/>
      <c r="BK203" s="241"/>
      <c r="BL203" s="241"/>
      <c r="BM203" s="241"/>
      <c r="BN203" s="241"/>
      <c r="BO203" s="241"/>
      <c r="BP203" s="241"/>
      <c r="BQ203" s="241"/>
      <c r="BR203" s="241"/>
      <c r="BS203" s="241"/>
      <c r="BT203" s="241"/>
      <c r="BU203" s="241"/>
      <c r="BV203" s="241"/>
      <c r="BW203" s="241"/>
      <c r="BX203" s="241"/>
      <c r="BY203" s="241"/>
      <c r="BZ203" s="241"/>
      <c r="CA203" s="241"/>
      <c r="CB203" s="241"/>
      <c r="CC203" s="241"/>
      <c r="CD203" s="241"/>
      <c r="CE203" s="241"/>
      <c r="CF203" s="241"/>
      <c r="CG203" s="241"/>
    </row>
    <row r="204" spans="1:85" ht="12" customHeight="1" outlineLevel="2">
      <c r="A204" s="227"/>
      <c r="B204" s="227"/>
      <c r="C204" s="227">
        <v>3</v>
      </c>
      <c r="D204" s="235" t="s">
        <v>2025</v>
      </c>
      <c r="E204" s="228"/>
      <c r="F204" s="228"/>
      <c r="G204" s="228" t="s">
        <v>1714</v>
      </c>
      <c r="H204" s="228"/>
      <c r="I204" s="228"/>
      <c r="J204" s="228"/>
      <c r="K204" s="228"/>
      <c r="L204" s="228"/>
      <c r="M204" s="228"/>
      <c r="N204" s="228"/>
      <c r="O204" s="228"/>
      <c r="P204" s="250">
        <v>45859</v>
      </c>
      <c r="Q204" s="250">
        <v>45898</v>
      </c>
      <c r="R204" s="228"/>
      <c r="S204" s="229">
        <v>29</v>
      </c>
      <c r="T204" s="229">
        <v>0</v>
      </c>
      <c r="U204" s="229">
        <v>29</v>
      </c>
      <c r="V204" s="229">
        <v>0</v>
      </c>
      <c r="W204" s="250"/>
      <c r="X204" s="250"/>
      <c r="Y204" s="230"/>
      <c r="Z204" s="231">
        <v>0</v>
      </c>
      <c r="AA204" s="229">
        <v>1</v>
      </c>
      <c r="AB204" s="228"/>
      <c r="AC204" s="191"/>
      <c r="AD204" s="234">
        <v>0</v>
      </c>
      <c r="AE204" s="253">
        <v>0</v>
      </c>
      <c r="AF204" s="240"/>
      <c r="AG204" s="241"/>
      <c r="AH204" s="241"/>
      <c r="AI204" s="241"/>
      <c r="AJ204" s="241"/>
      <c r="AK204" s="241"/>
      <c r="AL204" s="241"/>
      <c r="AM204" s="241"/>
      <c r="AN204" s="241"/>
      <c r="AO204" s="241"/>
      <c r="AP204" s="241"/>
      <c r="AQ204" s="241"/>
      <c r="AR204" s="241"/>
      <c r="AS204" s="241"/>
      <c r="AT204" s="241"/>
      <c r="AU204" s="241"/>
      <c r="AV204" s="241"/>
      <c r="AW204" s="241"/>
      <c r="AX204" s="241"/>
      <c r="AY204" s="241"/>
      <c r="AZ204" s="241"/>
      <c r="BA204" s="241"/>
      <c r="BB204" s="241" t="str">
        <f>" " &amp; TEXT(AE204,"#0.00%") &amp; " "</f>
        <v xml:space="preserve"> 0.00% </v>
      </c>
      <c r="BC204" s="241"/>
      <c r="BD204" s="241"/>
      <c r="BE204" s="241"/>
      <c r="BF204" s="241"/>
      <c r="BG204" s="241" t="str">
        <f>"      " &amp; "개발 (2차)" &amp; " " &amp; IF(P204="","",TEXT(P204,"M/D-")) &amp; IF(Q204="","",TEXT(Q204,"M/D")) &amp; " "</f>
        <v xml:space="preserve">      개발 (2차) 7/21-8/29 </v>
      </c>
      <c r="BH204" s="241"/>
      <c r="BI204" s="241"/>
      <c r="BJ204" s="241"/>
      <c r="BK204" s="241"/>
      <c r="BL204" s="241"/>
      <c r="BM204" s="241"/>
      <c r="BN204" s="241"/>
      <c r="BO204" s="241"/>
      <c r="BP204" s="241"/>
      <c r="BQ204" s="241"/>
      <c r="BR204" s="241"/>
      <c r="BS204" s="241"/>
      <c r="BT204" s="241"/>
      <c r="BU204" s="241"/>
      <c r="BV204" s="241"/>
      <c r="BW204" s="241"/>
      <c r="BX204" s="241"/>
      <c r="BY204" s="241"/>
      <c r="BZ204" s="241"/>
      <c r="CA204" s="241"/>
      <c r="CB204" s="241"/>
      <c r="CC204" s="241"/>
      <c r="CD204" s="241"/>
      <c r="CE204" s="241"/>
      <c r="CF204" s="241"/>
      <c r="CG204" s="241"/>
    </row>
    <row r="205" spans="1:85" ht="12" customHeight="1" outlineLevel="2">
      <c r="A205" s="227"/>
      <c r="B205" s="227"/>
      <c r="C205" s="227">
        <v>3</v>
      </c>
      <c r="D205" s="235" t="s">
        <v>2026</v>
      </c>
      <c r="E205" s="228"/>
      <c r="F205" s="228"/>
      <c r="G205" s="228" t="s">
        <v>1715</v>
      </c>
      <c r="H205" s="228"/>
      <c r="I205" s="228"/>
      <c r="J205" s="228"/>
      <c r="K205" s="228"/>
      <c r="L205" s="228"/>
      <c r="M205" s="228"/>
      <c r="N205" s="228"/>
      <c r="O205" s="228"/>
      <c r="P205" s="250">
        <v>45887</v>
      </c>
      <c r="Q205" s="250">
        <v>45898</v>
      </c>
      <c r="R205" s="228"/>
      <c r="S205" s="229">
        <v>3</v>
      </c>
      <c r="T205" s="229">
        <v>0</v>
      </c>
      <c r="U205" s="229">
        <v>10</v>
      </c>
      <c r="V205" s="229">
        <v>0</v>
      </c>
      <c r="W205" s="250"/>
      <c r="X205" s="250"/>
      <c r="Y205" s="230"/>
      <c r="Z205" s="231">
        <v>0</v>
      </c>
      <c r="AA205" s="229">
        <v>0.3</v>
      </c>
      <c r="AB205" s="228"/>
      <c r="AC205" s="191"/>
      <c r="AD205" s="234">
        <v>0</v>
      </c>
      <c r="AE205" s="253">
        <v>0</v>
      </c>
      <c r="AF205" s="240"/>
      <c r="AG205" s="241"/>
      <c r="AH205" s="241"/>
      <c r="AI205" s="241"/>
      <c r="AJ205" s="241"/>
      <c r="AK205" s="241"/>
      <c r="AL205" s="241"/>
      <c r="AM205" s="241"/>
      <c r="AN205" s="241"/>
      <c r="AO205" s="241"/>
      <c r="AP205" s="241"/>
      <c r="AQ205" s="241"/>
      <c r="AR205" s="241"/>
      <c r="AS205" s="241"/>
      <c r="AT205" s="241"/>
      <c r="AU205" s="241"/>
      <c r="AV205" s="241"/>
      <c r="AW205" s="241"/>
      <c r="AX205" s="241"/>
      <c r="AY205" s="241"/>
      <c r="AZ205" s="241"/>
      <c r="BA205" s="241"/>
      <c r="BB205" s="241"/>
      <c r="BC205" s="241"/>
      <c r="BD205" s="241"/>
      <c r="BE205" s="241"/>
      <c r="BF205" s="241" t="str">
        <f>" " &amp; TEXT(AE205,"#0.00%") &amp; " " &amp; "단위테스트 (2차)" &amp; " " &amp; IF(P205="","",TEXT(P205,"M/D-")) &amp; IF(Q205="","",TEXT(Q205,"M/D")) &amp; " "</f>
        <v xml:space="preserve"> 0.00% 단위테스트 (2차) 8/18-8/29 </v>
      </c>
      <c r="BG205" s="241"/>
      <c r="BH205" s="241"/>
      <c r="BI205" s="241"/>
      <c r="BJ205" s="241"/>
      <c r="BK205" s="241"/>
      <c r="BL205" s="241"/>
      <c r="BM205" s="241"/>
      <c r="BN205" s="241"/>
      <c r="BO205" s="241"/>
      <c r="BP205" s="241"/>
      <c r="BQ205" s="241"/>
      <c r="BR205" s="241"/>
      <c r="BS205" s="241"/>
      <c r="BT205" s="241"/>
      <c r="BU205" s="241"/>
      <c r="BV205" s="241"/>
      <c r="BW205" s="241"/>
      <c r="BX205" s="241"/>
      <c r="BY205" s="241"/>
      <c r="BZ205" s="241"/>
      <c r="CA205" s="241"/>
      <c r="CB205" s="241"/>
      <c r="CC205" s="241"/>
      <c r="CD205" s="241"/>
      <c r="CE205" s="241"/>
      <c r="CF205" s="241"/>
      <c r="CG205" s="241"/>
    </row>
    <row r="206" spans="1:85" ht="12" customHeight="1" outlineLevel="1">
      <c r="A206" s="227"/>
      <c r="B206" s="227" t="s">
        <v>1766</v>
      </c>
      <c r="C206" s="227">
        <v>2</v>
      </c>
      <c r="D206" s="235" t="s">
        <v>2027</v>
      </c>
      <c r="E206" s="228"/>
      <c r="F206" s="228" t="s">
        <v>1684</v>
      </c>
      <c r="G206" s="228"/>
      <c r="H206" s="228"/>
      <c r="I206" s="228"/>
      <c r="J206" s="228"/>
      <c r="K206" s="228"/>
      <c r="L206" s="228"/>
      <c r="M206" s="228"/>
      <c r="N206" s="228"/>
      <c r="O206" s="228"/>
      <c r="P206" s="250">
        <v>45824</v>
      </c>
      <c r="Q206" s="250">
        <v>45947</v>
      </c>
      <c r="R206" s="228"/>
      <c r="S206" s="229">
        <v>29.5</v>
      </c>
      <c r="T206" s="229">
        <v>0</v>
      </c>
      <c r="U206" s="229">
        <v>84</v>
      </c>
      <c r="V206" s="229">
        <v>0</v>
      </c>
      <c r="W206" s="250"/>
      <c r="X206" s="250"/>
      <c r="Y206" s="230">
        <v>0</v>
      </c>
      <c r="Z206" s="231">
        <v>0</v>
      </c>
      <c r="AA206" s="229"/>
      <c r="AB206" s="228"/>
      <c r="AC206" s="191"/>
      <c r="AD206" s="234">
        <v>0</v>
      </c>
      <c r="AE206" s="254">
        <v>0</v>
      </c>
      <c r="AF206" s="240"/>
      <c r="AG206" s="241"/>
      <c r="AH206" s="241"/>
      <c r="AI206" s="241"/>
      <c r="AJ206" s="241"/>
      <c r="AK206" s="241"/>
      <c r="AL206" s="241"/>
      <c r="AM206" s="241"/>
      <c r="AN206" s="241"/>
      <c r="AO206" s="241"/>
      <c r="AP206" s="241"/>
      <c r="AQ206" s="241"/>
      <c r="AR206" s="241"/>
      <c r="AS206" s="241"/>
      <c r="AT206" s="241"/>
      <c r="AU206" s="241"/>
      <c r="AV206" s="241"/>
      <c r="AW206" s="241" t="str">
        <f>" " &amp; TEXT(AE206,"#0.00%") &amp; " "</f>
        <v xml:space="preserve"> 0.00% </v>
      </c>
      <c r="AX206" s="241"/>
      <c r="AY206" s="241"/>
      <c r="AZ206" s="241"/>
      <c r="BA206" s="241"/>
      <c r="BB206" s="241"/>
      <c r="BC206" s="241"/>
      <c r="BD206" s="241"/>
      <c r="BE206" s="241"/>
      <c r="BF206" s="241"/>
      <c r="BG206" s="241"/>
      <c r="BH206" s="241"/>
      <c r="BI206" s="241"/>
      <c r="BJ206" s="241"/>
      <c r="BK206" s="241"/>
      <c r="BL206" s="241"/>
      <c r="BM206" s="241"/>
      <c r="BN206" s="241" t="str">
        <f>"      " &amp; "통합테스트" &amp; " " &amp; IF(P206="","",TEXT(P206,"M/D-")) &amp; IF(Q206="","",TEXT(Q206,"M/D")) &amp; " "</f>
        <v xml:space="preserve">      통합테스트 6/16-10/17 </v>
      </c>
      <c r="BO206" s="241"/>
      <c r="BP206" s="241"/>
      <c r="BQ206" s="241"/>
      <c r="BR206" s="241"/>
      <c r="BS206" s="241"/>
      <c r="BT206" s="241"/>
      <c r="BU206" s="241"/>
      <c r="BV206" s="241"/>
      <c r="BW206" s="241"/>
      <c r="BX206" s="241"/>
      <c r="BY206" s="241"/>
      <c r="BZ206" s="241"/>
      <c r="CA206" s="241"/>
      <c r="CB206" s="241"/>
      <c r="CC206" s="241"/>
      <c r="CD206" s="241"/>
      <c r="CE206" s="241"/>
      <c r="CF206" s="241"/>
      <c r="CG206" s="241"/>
    </row>
    <row r="207" spans="1:85" ht="12" customHeight="1" outlineLevel="2">
      <c r="A207" s="227"/>
      <c r="B207" s="227" t="s">
        <v>1766</v>
      </c>
      <c r="C207" s="227">
        <v>3</v>
      </c>
      <c r="D207" s="235" t="s">
        <v>2028</v>
      </c>
      <c r="E207" s="228"/>
      <c r="F207" s="228"/>
      <c r="G207" s="228" t="s">
        <v>1685</v>
      </c>
      <c r="H207" s="228"/>
      <c r="I207" s="228"/>
      <c r="J207" s="228"/>
      <c r="K207" s="228"/>
      <c r="L207" s="228"/>
      <c r="M207" s="228"/>
      <c r="N207" s="228"/>
      <c r="O207" s="228"/>
      <c r="P207" s="250">
        <v>45824</v>
      </c>
      <c r="Q207" s="250">
        <v>45870</v>
      </c>
      <c r="R207" s="228"/>
      <c r="S207" s="229">
        <v>10</v>
      </c>
      <c r="T207" s="229">
        <v>0</v>
      </c>
      <c r="U207" s="229">
        <v>35</v>
      </c>
      <c r="V207" s="229">
        <v>0</v>
      </c>
      <c r="W207" s="250"/>
      <c r="X207" s="250"/>
      <c r="Y207" s="230">
        <v>0</v>
      </c>
      <c r="Z207" s="231">
        <v>0</v>
      </c>
      <c r="AA207" s="229"/>
      <c r="AB207" s="228"/>
      <c r="AC207" s="191"/>
      <c r="AD207" s="234">
        <v>0</v>
      </c>
      <c r="AE207" s="254">
        <v>0</v>
      </c>
      <c r="AF207" s="240"/>
      <c r="AG207" s="241"/>
      <c r="AH207" s="241"/>
      <c r="AI207" s="241"/>
      <c r="AJ207" s="241"/>
      <c r="AK207" s="241"/>
      <c r="AL207" s="241"/>
      <c r="AM207" s="241"/>
      <c r="AN207" s="241"/>
      <c r="AO207" s="241"/>
      <c r="AP207" s="241"/>
      <c r="AQ207" s="241"/>
      <c r="AR207" s="241"/>
      <c r="AS207" s="241"/>
      <c r="AT207" s="241"/>
      <c r="AU207" s="241"/>
      <c r="AV207" s="241"/>
      <c r="AW207" s="241" t="str">
        <f>" " &amp; TEXT(AE207,"#0.00%") &amp; " "</f>
        <v xml:space="preserve"> 0.00% </v>
      </c>
      <c r="AX207" s="241"/>
      <c r="AY207" s="241"/>
      <c r="AZ207" s="241"/>
      <c r="BA207" s="241"/>
      <c r="BB207" s="241"/>
      <c r="BC207" s="241" t="str">
        <f>"      " &amp; "1차 통합테스트" &amp; " " &amp; IF(P207="","",TEXT(P207,"M/D-")) &amp; IF(Q207="","",TEXT(Q207,"M/D")) &amp; " "</f>
        <v xml:space="preserve">      1차 통합테스트 6/16-8/1 </v>
      </c>
      <c r="BD207" s="241"/>
      <c r="BE207" s="241"/>
      <c r="BF207" s="241"/>
      <c r="BG207" s="241"/>
      <c r="BH207" s="241"/>
      <c r="BI207" s="241"/>
      <c r="BJ207" s="241"/>
      <c r="BK207" s="241"/>
      <c r="BL207" s="241"/>
      <c r="BM207" s="241"/>
      <c r="BN207" s="241"/>
      <c r="BO207" s="241"/>
      <c r="BP207" s="241"/>
      <c r="BQ207" s="241"/>
      <c r="BR207" s="241"/>
      <c r="BS207" s="241"/>
      <c r="BT207" s="241"/>
      <c r="BU207" s="241"/>
      <c r="BV207" s="241"/>
      <c r="BW207" s="241"/>
      <c r="BX207" s="241"/>
      <c r="BY207" s="241"/>
      <c r="BZ207" s="241"/>
      <c r="CA207" s="241"/>
      <c r="CB207" s="241"/>
      <c r="CC207" s="241"/>
      <c r="CD207" s="241"/>
      <c r="CE207" s="241"/>
      <c r="CF207" s="241"/>
      <c r="CG207" s="241"/>
    </row>
    <row r="208" spans="1:85" ht="12" customHeight="1" outlineLevel="3">
      <c r="A208" s="227"/>
      <c r="B208" s="227"/>
      <c r="C208" s="227">
        <v>4</v>
      </c>
      <c r="D208" s="235" t="s">
        <v>2029</v>
      </c>
      <c r="E208" s="228"/>
      <c r="F208" s="228"/>
      <c r="G208" s="228"/>
      <c r="H208" s="228" t="s">
        <v>1686</v>
      </c>
      <c r="I208" s="228"/>
      <c r="J208" s="228"/>
      <c r="K208" s="228"/>
      <c r="L208" s="228"/>
      <c r="M208" s="228"/>
      <c r="N208" s="228"/>
      <c r="O208" s="228"/>
      <c r="P208" s="250">
        <v>45824</v>
      </c>
      <c r="Q208" s="250">
        <v>45856</v>
      </c>
      <c r="R208" s="228"/>
      <c r="S208" s="229">
        <v>2.5</v>
      </c>
      <c r="T208" s="229">
        <v>0</v>
      </c>
      <c r="U208" s="229">
        <v>25</v>
      </c>
      <c r="V208" s="229">
        <v>0</v>
      </c>
      <c r="W208" s="250"/>
      <c r="X208" s="250"/>
      <c r="Y208" s="230"/>
      <c r="Z208" s="231">
        <v>0</v>
      </c>
      <c r="AA208" s="229">
        <v>0.1</v>
      </c>
      <c r="AB208" s="228" t="s">
        <v>1892</v>
      </c>
      <c r="AC208" s="191" t="s">
        <v>1894</v>
      </c>
      <c r="AD208" s="234">
        <v>0</v>
      </c>
      <c r="AE208" s="253">
        <v>0</v>
      </c>
      <c r="AF208" s="240"/>
      <c r="AG208" s="241"/>
      <c r="AH208" s="241"/>
      <c r="AI208" s="241"/>
      <c r="AJ208" s="241"/>
      <c r="AK208" s="241"/>
      <c r="AL208" s="241"/>
      <c r="AM208" s="241"/>
      <c r="AN208" s="241"/>
      <c r="AO208" s="241"/>
      <c r="AP208" s="241"/>
      <c r="AQ208" s="241"/>
      <c r="AR208" s="241"/>
      <c r="AS208" s="241"/>
      <c r="AT208" s="241"/>
      <c r="AU208" s="241"/>
      <c r="AV208" s="241"/>
      <c r="AW208" s="241" t="str">
        <f>" " &amp; TEXT(AE208,"#0.00%") &amp; " "</f>
        <v xml:space="preserve"> 0.00% </v>
      </c>
      <c r="AX208" s="241"/>
      <c r="AY208" s="241"/>
      <c r="AZ208" s="241"/>
      <c r="BA208" s="241" t="str">
        <f>"      " &amp; "통합테스트 계획수립 및 환경구성" &amp; "(PL)" &amp; " " &amp; IF(P208="","",TEXT(P208,"M/D-")) &amp; IF(Q208="","",TEXT(Q208,"M/D")) &amp; " "</f>
        <v xml:space="preserve">      통합테스트 계획수립 및 환경구성(PL) 6/16-7/18 </v>
      </c>
      <c r="BB208" s="241"/>
      <c r="BC208" s="241"/>
      <c r="BD208" s="241"/>
      <c r="BE208" s="241"/>
      <c r="BF208" s="241"/>
      <c r="BG208" s="241"/>
      <c r="BH208" s="241"/>
      <c r="BI208" s="241"/>
      <c r="BJ208" s="241"/>
      <c r="BK208" s="241"/>
      <c r="BL208" s="241"/>
      <c r="BM208" s="241"/>
      <c r="BN208" s="241"/>
      <c r="BO208" s="241"/>
      <c r="BP208" s="241"/>
      <c r="BQ208" s="241"/>
      <c r="BR208" s="241"/>
      <c r="BS208" s="241"/>
      <c r="BT208" s="241"/>
      <c r="BU208" s="241"/>
      <c r="BV208" s="241"/>
      <c r="BW208" s="241"/>
      <c r="BX208" s="241"/>
      <c r="BY208" s="241"/>
      <c r="BZ208" s="241"/>
      <c r="CA208" s="241"/>
      <c r="CB208" s="241"/>
      <c r="CC208" s="241"/>
      <c r="CD208" s="241"/>
      <c r="CE208" s="241"/>
      <c r="CF208" s="241"/>
      <c r="CG208" s="241"/>
    </row>
    <row r="209" spans="1:85" ht="12" customHeight="1" outlineLevel="3">
      <c r="A209" s="227"/>
      <c r="B209" s="227"/>
      <c r="C209" s="227">
        <v>4</v>
      </c>
      <c r="D209" s="235" t="s">
        <v>2030</v>
      </c>
      <c r="E209" s="228"/>
      <c r="F209" s="228"/>
      <c r="G209" s="228"/>
      <c r="H209" s="228" t="s">
        <v>1687</v>
      </c>
      <c r="I209" s="228"/>
      <c r="J209" s="228"/>
      <c r="K209" s="228"/>
      <c r="L209" s="228"/>
      <c r="M209" s="228"/>
      <c r="N209" s="228"/>
      <c r="O209" s="228"/>
      <c r="P209" s="250">
        <v>45859</v>
      </c>
      <c r="Q209" s="250">
        <v>45863</v>
      </c>
      <c r="R209" s="228"/>
      <c r="S209" s="229">
        <v>5</v>
      </c>
      <c r="T209" s="229">
        <v>0</v>
      </c>
      <c r="U209" s="229">
        <v>5</v>
      </c>
      <c r="V209" s="229">
        <v>0</v>
      </c>
      <c r="W209" s="250"/>
      <c r="X209" s="250"/>
      <c r="Y209" s="230"/>
      <c r="Z209" s="231">
        <v>0</v>
      </c>
      <c r="AA209" s="229">
        <v>1</v>
      </c>
      <c r="AB209" s="228" t="s">
        <v>1892</v>
      </c>
      <c r="AC209" s="191" t="s">
        <v>1894</v>
      </c>
      <c r="AD209" s="234">
        <v>0</v>
      </c>
      <c r="AE209" s="253">
        <v>0</v>
      </c>
      <c r="AF209" s="240"/>
      <c r="AG209" s="241"/>
      <c r="AH209" s="241"/>
      <c r="AI209" s="241"/>
      <c r="AJ209" s="241"/>
      <c r="AK209" s="241"/>
      <c r="AL209" s="241"/>
      <c r="AM209" s="241"/>
      <c r="AN209" s="241"/>
      <c r="AO209" s="241"/>
      <c r="AP209" s="241"/>
      <c r="AQ209" s="241"/>
      <c r="AR209" s="241"/>
      <c r="AS209" s="241"/>
      <c r="AT209" s="241"/>
      <c r="AU209" s="241"/>
      <c r="AV209" s="241"/>
      <c r="AW209" s="241"/>
      <c r="AX209" s="241"/>
      <c r="AY209" s="241"/>
      <c r="AZ209" s="241"/>
      <c r="BA209" s="241"/>
      <c r="BB209" s="241" t="str">
        <f>" " &amp; TEXT(AE209,"#0.00%") &amp; " " &amp; "통합테스트 수행" &amp; "(PL)" &amp; " " &amp; IF(P209="","",TEXT(P209,"M/D-")) &amp; IF(Q209="","",TEXT(Q209,"M/D")) &amp; " "</f>
        <v xml:space="preserve"> 0.00% 통합테스트 수행(PL) 7/21-7/25 </v>
      </c>
      <c r="BC209" s="241"/>
      <c r="BD209" s="241"/>
      <c r="BE209" s="241"/>
      <c r="BF209" s="241"/>
      <c r="BG209" s="241"/>
      <c r="BH209" s="241"/>
      <c r="BI209" s="241"/>
      <c r="BJ209" s="241"/>
      <c r="BK209" s="241"/>
      <c r="BL209" s="241"/>
      <c r="BM209" s="241"/>
      <c r="BN209" s="241"/>
      <c r="BO209" s="241"/>
      <c r="BP209" s="241"/>
      <c r="BQ209" s="241"/>
      <c r="BR209" s="241"/>
      <c r="BS209" s="241"/>
      <c r="BT209" s="241"/>
      <c r="BU209" s="241"/>
      <c r="BV209" s="241"/>
      <c r="BW209" s="241"/>
      <c r="BX209" s="241"/>
      <c r="BY209" s="241"/>
      <c r="BZ209" s="241"/>
      <c r="CA209" s="241"/>
      <c r="CB209" s="241"/>
      <c r="CC209" s="241"/>
      <c r="CD209" s="241"/>
      <c r="CE209" s="241"/>
      <c r="CF209" s="241"/>
      <c r="CG209" s="241"/>
    </row>
    <row r="210" spans="1:85" ht="12" customHeight="1" outlineLevel="3">
      <c r="A210" s="227"/>
      <c r="B210" s="227"/>
      <c r="C210" s="227">
        <v>4</v>
      </c>
      <c r="D210" s="235" t="s">
        <v>2031</v>
      </c>
      <c r="E210" s="228"/>
      <c r="F210" s="228"/>
      <c r="G210" s="228"/>
      <c r="H210" s="228" t="s">
        <v>1688</v>
      </c>
      <c r="I210" s="228"/>
      <c r="J210" s="228"/>
      <c r="K210" s="228"/>
      <c r="L210" s="228"/>
      <c r="M210" s="228"/>
      <c r="N210" s="228"/>
      <c r="O210" s="228"/>
      <c r="P210" s="250">
        <v>45866</v>
      </c>
      <c r="Q210" s="250">
        <v>45870</v>
      </c>
      <c r="R210" s="228"/>
      <c r="S210" s="229">
        <v>2.5</v>
      </c>
      <c r="T210" s="229">
        <v>0</v>
      </c>
      <c r="U210" s="229">
        <v>5</v>
      </c>
      <c r="V210" s="229">
        <v>0</v>
      </c>
      <c r="W210" s="250"/>
      <c r="X210" s="250"/>
      <c r="Y210" s="230"/>
      <c r="Z210" s="231">
        <v>0</v>
      </c>
      <c r="AA210" s="229">
        <v>0.5</v>
      </c>
      <c r="AB210" s="228" t="s">
        <v>1892</v>
      </c>
      <c r="AC210" s="191" t="s">
        <v>1894</v>
      </c>
      <c r="AD210" s="234">
        <v>0</v>
      </c>
      <c r="AE210" s="253">
        <v>0</v>
      </c>
      <c r="AF210" s="240"/>
      <c r="AG210" s="241"/>
      <c r="AH210" s="241"/>
      <c r="AI210" s="241"/>
      <c r="AJ210" s="241"/>
      <c r="AK210" s="241"/>
      <c r="AL210" s="241"/>
      <c r="AM210" s="241"/>
      <c r="AN210" s="241"/>
      <c r="AO210" s="241"/>
      <c r="AP210" s="241"/>
      <c r="AQ210" s="241"/>
      <c r="AR210" s="241"/>
      <c r="AS210" s="241"/>
      <c r="AT210" s="241"/>
      <c r="AU210" s="241"/>
      <c r="AV210" s="241"/>
      <c r="AW210" s="241"/>
      <c r="AX210" s="241"/>
      <c r="AY210" s="241"/>
      <c r="AZ210" s="241"/>
      <c r="BA210" s="241"/>
      <c r="BB210" s="241"/>
      <c r="BC210" s="241" t="str">
        <f>" " &amp; TEXT(AE210,"#0.00%") &amp; " " &amp; "테스트결과 조치" &amp; "(PL)" &amp; " " &amp; IF(P210="","",TEXT(P210,"M/D-")) &amp; IF(Q210="","",TEXT(Q210,"M/D")) &amp; " "</f>
        <v xml:space="preserve"> 0.00% 테스트결과 조치(PL) 7/28-8/1 </v>
      </c>
      <c r="BD210" s="241"/>
      <c r="BE210" s="241"/>
      <c r="BF210" s="241"/>
      <c r="BG210" s="241"/>
      <c r="BH210" s="241"/>
      <c r="BI210" s="241"/>
      <c r="BJ210" s="241"/>
      <c r="BK210" s="241"/>
      <c r="BL210" s="241"/>
      <c r="BM210" s="241"/>
      <c r="BN210" s="241"/>
      <c r="BO210" s="241"/>
      <c r="BP210" s="241"/>
      <c r="BQ210" s="241"/>
      <c r="BR210" s="241"/>
      <c r="BS210" s="241"/>
      <c r="BT210" s="241"/>
      <c r="BU210" s="241"/>
      <c r="BV210" s="241"/>
      <c r="BW210" s="241"/>
      <c r="BX210" s="241"/>
      <c r="BY210" s="241"/>
      <c r="BZ210" s="241"/>
      <c r="CA210" s="241"/>
      <c r="CB210" s="241"/>
      <c r="CC210" s="241"/>
      <c r="CD210" s="241"/>
      <c r="CE210" s="241"/>
      <c r="CF210" s="241"/>
      <c r="CG210" s="241"/>
    </row>
    <row r="211" spans="1:85" ht="12" customHeight="1" outlineLevel="2">
      <c r="A211" s="227"/>
      <c r="B211" s="227" t="s">
        <v>1766</v>
      </c>
      <c r="C211" s="227">
        <v>3</v>
      </c>
      <c r="D211" s="235" t="s">
        <v>2032</v>
      </c>
      <c r="E211" s="228"/>
      <c r="F211" s="228"/>
      <c r="G211" s="228" t="s">
        <v>1689</v>
      </c>
      <c r="H211" s="228"/>
      <c r="I211" s="228"/>
      <c r="J211" s="228"/>
      <c r="K211" s="228"/>
      <c r="L211" s="228"/>
      <c r="M211" s="228"/>
      <c r="N211" s="228"/>
      <c r="O211" s="228"/>
      <c r="P211" s="250">
        <v>45873</v>
      </c>
      <c r="Q211" s="250">
        <v>45883</v>
      </c>
      <c r="R211" s="228"/>
      <c r="S211" s="229">
        <v>4.5</v>
      </c>
      <c r="T211" s="229">
        <v>0</v>
      </c>
      <c r="U211" s="229">
        <v>9</v>
      </c>
      <c r="V211" s="229">
        <v>0</v>
      </c>
      <c r="W211" s="250"/>
      <c r="X211" s="250"/>
      <c r="Y211" s="230">
        <v>0</v>
      </c>
      <c r="Z211" s="231">
        <v>0</v>
      </c>
      <c r="AA211" s="229"/>
      <c r="AB211" s="228"/>
      <c r="AC211" s="191"/>
      <c r="AD211" s="234">
        <v>0</v>
      </c>
      <c r="AE211" s="254">
        <v>0</v>
      </c>
      <c r="AF211" s="240"/>
      <c r="AG211" s="241"/>
      <c r="AH211" s="241"/>
      <c r="AI211" s="241"/>
      <c r="AJ211" s="241"/>
      <c r="AK211" s="241"/>
      <c r="AL211" s="241"/>
      <c r="AM211" s="241"/>
      <c r="AN211" s="241"/>
      <c r="AO211" s="241"/>
      <c r="AP211" s="241"/>
      <c r="AQ211" s="241"/>
      <c r="AR211" s="241"/>
      <c r="AS211" s="241"/>
      <c r="AT211" s="241"/>
      <c r="AU211" s="241"/>
      <c r="AV211" s="241"/>
      <c r="AW211" s="241"/>
      <c r="AX211" s="241"/>
      <c r="AY211" s="241"/>
      <c r="AZ211" s="241"/>
      <c r="BA211" s="241"/>
      <c r="BB211" s="241"/>
      <c r="BC211" s="241"/>
      <c r="BD211" s="241" t="str">
        <f>" " &amp; TEXT(AE211,"#0.00%") &amp; " " &amp; "2차 통합테스트" &amp; " " &amp; IF(P211="","",TEXT(P211,"M/D-")) &amp; IF(Q211="","",TEXT(Q211,"M/D")) &amp; " "</f>
        <v xml:space="preserve"> 0.00% 2차 통합테스트 8/4-8/14 </v>
      </c>
      <c r="BE211" s="241"/>
      <c r="BF211" s="241"/>
      <c r="BG211" s="241"/>
      <c r="BH211" s="241"/>
      <c r="BI211" s="241"/>
      <c r="BJ211" s="241"/>
      <c r="BK211" s="241"/>
      <c r="BL211" s="241"/>
      <c r="BM211" s="241"/>
      <c r="BN211" s="241"/>
      <c r="BO211" s="241"/>
      <c r="BP211" s="241"/>
      <c r="BQ211" s="241"/>
      <c r="BR211" s="241"/>
      <c r="BS211" s="241"/>
      <c r="BT211" s="241"/>
      <c r="BU211" s="241"/>
      <c r="BV211" s="241"/>
      <c r="BW211" s="241"/>
      <c r="BX211" s="241"/>
      <c r="BY211" s="241"/>
      <c r="BZ211" s="241"/>
      <c r="CA211" s="241"/>
      <c r="CB211" s="241"/>
      <c r="CC211" s="241"/>
      <c r="CD211" s="241"/>
      <c r="CE211" s="241"/>
      <c r="CF211" s="241"/>
      <c r="CG211" s="241"/>
    </row>
    <row r="212" spans="1:85" ht="12" customHeight="1" outlineLevel="3">
      <c r="A212" s="227"/>
      <c r="B212" s="227"/>
      <c r="C212" s="227">
        <v>4</v>
      </c>
      <c r="D212" s="235" t="s">
        <v>2033</v>
      </c>
      <c r="E212" s="228"/>
      <c r="F212" s="228"/>
      <c r="G212" s="228"/>
      <c r="H212" s="228" t="s">
        <v>1687</v>
      </c>
      <c r="I212" s="228"/>
      <c r="J212" s="228"/>
      <c r="K212" s="228"/>
      <c r="L212" s="228"/>
      <c r="M212" s="228"/>
      <c r="N212" s="228"/>
      <c r="O212" s="228"/>
      <c r="P212" s="250">
        <v>45873</v>
      </c>
      <c r="Q212" s="250">
        <v>45877</v>
      </c>
      <c r="R212" s="228"/>
      <c r="S212" s="229">
        <v>2.5</v>
      </c>
      <c r="T212" s="229">
        <v>0</v>
      </c>
      <c r="U212" s="229">
        <v>5</v>
      </c>
      <c r="V212" s="229">
        <v>0</v>
      </c>
      <c r="W212" s="250"/>
      <c r="X212" s="250"/>
      <c r="Y212" s="230"/>
      <c r="Z212" s="231">
        <v>0</v>
      </c>
      <c r="AA212" s="229">
        <v>0.5</v>
      </c>
      <c r="AB212" s="228" t="s">
        <v>1892</v>
      </c>
      <c r="AC212" s="191" t="s">
        <v>1894</v>
      </c>
      <c r="AD212" s="234">
        <v>0</v>
      </c>
      <c r="AE212" s="253">
        <v>0</v>
      </c>
      <c r="AF212" s="240"/>
      <c r="AG212" s="241"/>
      <c r="AH212" s="241"/>
      <c r="AI212" s="241"/>
      <c r="AJ212" s="241"/>
      <c r="AK212" s="241"/>
      <c r="AL212" s="241"/>
      <c r="AM212" s="241"/>
      <c r="AN212" s="241"/>
      <c r="AO212" s="241"/>
      <c r="AP212" s="241"/>
      <c r="AQ212" s="241"/>
      <c r="AR212" s="241"/>
      <c r="AS212" s="241"/>
      <c r="AT212" s="241"/>
      <c r="AU212" s="241"/>
      <c r="AV212" s="241"/>
      <c r="AW212" s="241"/>
      <c r="AX212" s="241"/>
      <c r="AY212" s="241"/>
      <c r="AZ212" s="241"/>
      <c r="BA212" s="241"/>
      <c r="BB212" s="241"/>
      <c r="BC212" s="241"/>
      <c r="BD212" s="241" t="str">
        <f>" " &amp; TEXT(AE212,"#0.00%") &amp; " " &amp; "통합테스트 수행" &amp; "(PL)" &amp; " " &amp; IF(P212="","",TEXT(P212,"M/D-")) &amp; IF(Q212="","",TEXT(Q212,"M/D")) &amp; " "</f>
        <v xml:space="preserve"> 0.00% 통합테스트 수행(PL) 8/4-8/8 </v>
      </c>
      <c r="BE212" s="241"/>
      <c r="BF212" s="241"/>
      <c r="BG212" s="241"/>
      <c r="BH212" s="241"/>
      <c r="BI212" s="241"/>
      <c r="BJ212" s="241"/>
      <c r="BK212" s="241"/>
      <c r="BL212" s="241"/>
      <c r="BM212" s="241"/>
      <c r="BN212" s="241"/>
      <c r="BO212" s="241"/>
      <c r="BP212" s="241"/>
      <c r="BQ212" s="241"/>
      <c r="BR212" s="241"/>
      <c r="BS212" s="241"/>
      <c r="BT212" s="241"/>
      <c r="BU212" s="241"/>
      <c r="BV212" s="241"/>
      <c r="BW212" s="241"/>
      <c r="BX212" s="241"/>
      <c r="BY212" s="241"/>
      <c r="BZ212" s="241"/>
      <c r="CA212" s="241"/>
      <c r="CB212" s="241"/>
      <c r="CC212" s="241"/>
      <c r="CD212" s="241"/>
      <c r="CE212" s="241"/>
      <c r="CF212" s="241"/>
      <c r="CG212" s="241"/>
    </row>
    <row r="213" spans="1:85" ht="12" customHeight="1" outlineLevel="3">
      <c r="A213" s="227"/>
      <c r="B213" s="227"/>
      <c r="C213" s="227">
        <v>4</v>
      </c>
      <c r="D213" s="235" t="s">
        <v>2034</v>
      </c>
      <c r="E213" s="228"/>
      <c r="F213" s="228"/>
      <c r="G213" s="228"/>
      <c r="H213" s="228" t="s">
        <v>1688</v>
      </c>
      <c r="I213" s="228"/>
      <c r="J213" s="228"/>
      <c r="K213" s="228"/>
      <c r="L213" s="228"/>
      <c r="M213" s="228"/>
      <c r="N213" s="228"/>
      <c r="O213" s="228"/>
      <c r="P213" s="250">
        <v>45880</v>
      </c>
      <c r="Q213" s="250">
        <v>45883</v>
      </c>
      <c r="R213" s="228"/>
      <c r="S213" s="229">
        <v>2</v>
      </c>
      <c r="T213" s="229">
        <v>0</v>
      </c>
      <c r="U213" s="229">
        <v>4</v>
      </c>
      <c r="V213" s="229">
        <v>0</v>
      </c>
      <c r="W213" s="250"/>
      <c r="X213" s="250"/>
      <c r="Y213" s="230"/>
      <c r="Z213" s="231">
        <v>0</v>
      </c>
      <c r="AA213" s="229">
        <v>0.5</v>
      </c>
      <c r="AB213" s="228" t="s">
        <v>1892</v>
      </c>
      <c r="AC213" s="191" t="s">
        <v>1894</v>
      </c>
      <c r="AD213" s="234">
        <v>0</v>
      </c>
      <c r="AE213" s="253">
        <v>0</v>
      </c>
      <c r="AF213" s="240"/>
      <c r="AG213" s="241"/>
      <c r="AH213" s="241"/>
      <c r="AI213" s="241"/>
      <c r="AJ213" s="241"/>
      <c r="AK213" s="241"/>
      <c r="AL213" s="241"/>
      <c r="AM213" s="241"/>
      <c r="AN213" s="241"/>
      <c r="AO213" s="241"/>
      <c r="AP213" s="241"/>
      <c r="AQ213" s="241"/>
      <c r="AR213" s="241"/>
      <c r="AS213" s="241"/>
      <c r="AT213" s="241"/>
      <c r="AU213" s="241"/>
      <c r="AV213" s="241"/>
      <c r="AW213" s="241"/>
      <c r="AX213" s="241"/>
      <c r="AY213" s="241"/>
      <c r="AZ213" s="241"/>
      <c r="BA213" s="241"/>
      <c r="BB213" s="241"/>
      <c r="BC213" s="241"/>
      <c r="BD213" s="241"/>
      <c r="BE213" s="241" t="str">
        <f>" " &amp; TEXT(AE213,"#0.00%") &amp; " " &amp; "테스트결과 조치" &amp; "(PL)" &amp; " " &amp; IF(P213="","",TEXT(P213,"M/D-")) &amp; IF(Q213="","",TEXT(Q213,"M/D")) &amp; " "</f>
        <v xml:space="preserve"> 0.00% 테스트결과 조치(PL) 8/11-8/14 </v>
      </c>
      <c r="BF213" s="241"/>
      <c r="BG213" s="241"/>
      <c r="BH213" s="241"/>
      <c r="BI213" s="241"/>
      <c r="BJ213" s="241"/>
      <c r="BK213" s="241"/>
      <c r="BL213" s="241"/>
      <c r="BM213" s="241"/>
      <c r="BN213" s="241"/>
      <c r="BO213" s="241"/>
      <c r="BP213" s="241"/>
      <c r="BQ213" s="241"/>
      <c r="BR213" s="241"/>
      <c r="BS213" s="241"/>
      <c r="BT213" s="241"/>
      <c r="BU213" s="241"/>
      <c r="BV213" s="241"/>
      <c r="BW213" s="241"/>
      <c r="BX213" s="241"/>
      <c r="BY213" s="241"/>
      <c r="BZ213" s="241"/>
      <c r="CA213" s="241"/>
      <c r="CB213" s="241"/>
      <c r="CC213" s="241"/>
      <c r="CD213" s="241"/>
      <c r="CE213" s="241"/>
      <c r="CF213" s="241"/>
      <c r="CG213" s="241"/>
    </row>
    <row r="214" spans="1:85" ht="12" customHeight="1" outlineLevel="2">
      <c r="A214" s="227"/>
      <c r="B214" s="227" t="s">
        <v>1766</v>
      </c>
      <c r="C214" s="227">
        <v>3</v>
      </c>
      <c r="D214" s="235" t="s">
        <v>2035</v>
      </c>
      <c r="E214" s="228"/>
      <c r="F214" s="228"/>
      <c r="G214" s="228" t="s">
        <v>1737</v>
      </c>
      <c r="H214" s="228"/>
      <c r="I214" s="228"/>
      <c r="J214" s="228"/>
      <c r="K214" s="228"/>
      <c r="L214" s="228"/>
      <c r="M214" s="228"/>
      <c r="N214" s="228"/>
      <c r="O214" s="228"/>
      <c r="P214" s="250">
        <v>45887</v>
      </c>
      <c r="Q214" s="250">
        <v>45912</v>
      </c>
      <c r="R214" s="228"/>
      <c r="S214" s="229">
        <v>8.5</v>
      </c>
      <c r="T214" s="229">
        <v>0</v>
      </c>
      <c r="U214" s="229">
        <v>20</v>
      </c>
      <c r="V214" s="229">
        <v>0</v>
      </c>
      <c r="W214" s="250"/>
      <c r="X214" s="250"/>
      <c r="Y214" s="230">
        <v>0</v>
      </c>
      <c r="Z214" s="231">
        <v>0</v>
      </c>
      <c r="AA214" s="229"/>
      <c r="AB214" s="228"/>
      <c r="AC214" s="191"/>
      <c r="AD214" s="234">
        <v>0</v>
      </c>
      <c r="AE214" s="254">
        <v>0</v>
      </c>
      <c r="AF214" s="240"/>
      <c r="AG214" s="241"/>
      <c r="AH214" s="241"/>
      <c r="AI214" s="241"/>
      <c r="AJ214" s="241"/>
      <c r="AK214" s="241"/>
      <c r="AL214" s="241"/>
      <c r="AM214" s="241"/>
      <c r="AN214" s="241"/>
      <c r="AO214" s="241"/>
      <c r="AP214" s="241"/>
      <c r="AQ214" s="241"/>
      <c r="AR214" s="241"/>
      <c r="AS214" s="241"/>
      <c r="AT214" s="241"/>
      <c r="AU214" s="241"/>
      <c r="AV214" s="241"/>
      <c r="AW214" s="241"/>
      <c r="AX214" s="241"/>
      <c r="AY214" s="241"/>
      <c r="AZ214" s="241"/>
      <c r="BA214" s="241"/>
      <c r="BB214" s="241"/>
      <c r="BC214" s="241"/>
      <c r="BD214" s="241"/>
      <c r="BE214" s="241"/>
      <c r="BF214" s="241" t="str">
        <f>" " &amp; TEXT(AE214,"#0.00%") &amp; " "</f>
        <v xml:space="preserve"> 0.00% </v>
      </c>
      <c r="BG214" s="241"/>
      <c r="BH214" s="241"/>
      <c r="BI214" s="241" t="str">
        <f>"      " &amp; "3차 통합테스트" &amp; " " &amp; IF(P214="","",TEXT(P214,"M/D-")) &amp; IF(Q214="","",TEXT(Q214,"M/D")) &amp; " "</f>
        <v xml:space="preserve">      3차 통합테스트 8/18-9/12 </v>
      </c>
      <c r="BJ214" s="241"/>
      <c r="BK214" s="241"/>
      <c r="BL214" s="241"/>
      <c r="BM214" s="241"/>
      <c r="BN214" s="241"/>
      <c r="BO214" s="241"/>
      <c r="BP214" s="241"/>
      <c r="BQ214" s="241"/>
      <c r="BR214" s="241"/>
      <c r="BS214" s="241"/>
      <c r="BT214" s="241"/>
      <c r="BU214" s="241"/>
      <c r="BV214" s="241"/>
      <c r="BW214" s="241"/>
      <c r="BX214" s="241"/>
      <c r="BY214" s="241"/>
      <c r="BZ214" s="241"/>
      <c r="CA214" s="241"/>
      <c r="CB214" s="241"/>
      <c r="CC214" s="241"/>
      <c r="CD214" s="241"/>
      <c r="CE214" s="241"/>
      <c r="CF214" s="241"/>
      <c r="CG214" s="241"/>
    </row>
    <row r="215" spans="1:85" ht="12" customHeight="1" outlineLevel="3">
      <c r="A215" s="227"/>
      <c r="B215" s="227"/>
      <c r="C215" s="227">
        <v>4</v>
      </c>
      <c r="D215" s="235" t="s">
        <v>2036</v>
      </c>
      <c r="E215" s="228"/>
      <c r="F215" s="228"/>
      <c r="G215" s="228"/>
      <c r="H215" s="228" t="s">
        <v>1686</v>
      </c>
      <c r="I215" s="228"/>
      <c r="J215" s="228"/>
      <c r="K215" s="228"/>
      <c r="L215" s="228"/>
      <c r="M215" s="228"/>
      <c r="N215" s="228"/>
      <c r="O215" s="228"/>
      <c r="P215" s="250">
        <v>45887</v>
      </c>
      <c r="Q215" s="250">
        <v>45898</v>
      </c>
      <c r="R215" s="228"/>
      <c r="S215" s="229">
        <v>1</v>
      </c>
      <c r="T215" s="229">
        <v>0</v>
      </c>
      <c r="U215" s="229">
        <v>10</v>
      </c>
      <c r="V215" s="229">
        <v>0</v>
      </c>
      <c r="W215" s="250"/>
      <c r="X215" s="250"/>
      <c r="Y215" s="230"/>
      <c r="Z215" s="231">
        <v>0</v>
      </c>
      <c r="AA215" s="229">
        <v>0.1</v>
      </c>
      <c r="AB215" s="228" t="s">
        <v>1892</v>
      </c>
      <c r="AC215" s="191" t="s">
        <v>1894</v>
      </c>
      <c r="AD215" s="234">
        <v>0</v>
      </c>
      <c r="AE215" s="253">
        <v>0</v>
      </c>
      <c r="AF215" s="240"/>
      <c r="AG215" s="241"/>
      <c r="AH215" s="241"/>
      <c r="AI215" s="241"/>
      <c r="AJ215" s="241"/>
      <c r="AK215" s="241"/>
      <c r="AL215" s="241"/>
      <c r="AM215" s="241"/>
      <c r="AN215" s="241"/>
      <c r="AO215" s="241"/>
      <c r="AP215" s="241"/>
      <c r="AQ215" s="241"/>
      <c r="AR215" s="241"/>
      <c r="AS215" s="241"/>
      <c r="AT215" s="241"/>
      <c r="AU215" s="241"/>
      <c r="AV215" s="241"/>
      <c r="AW215" s="241"/>
      <c r="AX215" s="241"/>
      <c r="AY215" s="241"/>
      <c r="AZ215" s="241"/>
      <c r="BA215" s="241"/>
      <c r="BB215" s="241"/>
      <c r="BC215" s="241"/>
      <c r="BD215" s="241"/>
      <c r="BE215" s="241"/>
      <c r="BF215" s="241" t="str">
        <f>" " &amp; TEXT(AE215,"#0.00%") &amp; " " &amp; "통합테스트 계획수립 및 환경구성" &amp; "(PL)" &amp; " " &amp; IF(P215="","",TEXT(P215,"M/D-")) &amp; IF(Q215="","",TEXT(Q215,"M/D")) &amp; " "</f>
        <v xml:space="preserve"> 0.00% 통합테스트 계획수립 및 환경구성(PL) 8/18-8/29 </v>
      </c>
      <c r="BG215" s="241"/>
      <c r="BH215" s="241"/>
      <c r="BI215" s="241"/>
      <c r="BJ215" s="241"/>
      <c r="BK215" s="241"/>
      <c r="BL215" s="241"/>
      <c r="BM215" s="241"/>
      <c r="BN215" s="241"/>
      <c r="BO215" s="241"/>
      <c r="BP215" s="241"/>
      <c r="BQ215" s="241"/>
      <c r="BR215" s="241"/>
      <c r="BS215" s="241"/>
      <c r="BT215" s="241"/>
      <c r="BU215" s="241"/>
      <c r="BV215" s="241"/>
      <c r="BW215" s="241"/>
      <c r="BX215" s="241"/>
      <c r="BY215" s="241"/>
      <c r="BZ215" s="241"/>
      <c r="CA215" s="241"/>
      <c r="CB215" s="241"/>
      <c r="CC215" s="241"/>
      <c r="CD215" s="241"/>
      <c r="CE215" s="241"/>
      <c r="CF215" s="241"/>
      <c r="CG215" s="241"/>
    </row>
    <row r="216" spans="1:85" ht="12" customHeight="1" outlineLevel="3">
      <c r="A216" s="227"/>
      <c r="B216" s="227"/>
      <c r="C216" s="227">
        <v>4</v>
      </c>
      <c r="D216" s="235" t="s">
        <v>2037</v>
      </c>
      <c r="E216" s="228"/>
      <c r="F216" s="228"/>
      <c r="G216" s="228"/>
      <c r="H216" s="228" t="s">
        <v>1687</v>
      </c>
      <c r="I216" s="228"/>
      <c r="J216" s="228"/>
      <c r="K216" s="228"/>
      <c r="L216" s="228"/>
      <c r="M216" s="228"/>
      <c r="N216" s="228"/>
      <c r="O216" s="228"/>
      <c r="P216" s="250">
        <v>45901</v>
      </c>
      <c r="Q216" s="250">
        <v>45905</v>
      </c>
      <c r="R216" s="228"/>
      <c r="S216" s="229">
        <v>5</v>
      </c>
      <c r="T216" s="229">
        <v>0</v>
      </c>
      <c r="U216" s="229">
        <v>5</v>
      </c>
      <c r="V216" s="229">
        <v>0</v>
      </c>
      <c r="W216" s="250"/>
      <c r="X216" s="250"/>
      <c r="Y216" s="230"/>
      <c r="Z216" s="231">
        <v>0</v>
      </c>
      <c r="AA216" s="229">
        <v>1</v>
      </c>
      <c r="AB216" s="228" t="s">
        <v>1892</v>
      </c>
      <c r="AC216" s="191" t="s">
        <v>1894</v>
      </c>
      <c r="AD216" s="234">
        <v>0</v>
      </c>
      <c r="AE216" s="253">
        <v>0</v>
      </c>
      <c r="AF216" s="240"/>
      <c r="AG216" s="241"/>
      <c r="AH216" s="241"/>
      <c r="AI216" s="241"/>
      <c r="AJ216" s="241"/>
      <c r="AK216" s="241"/>
      <c r="AL216" s="241"/>
      <c r="AM216" s="241"/>
      <c r="AN216" s="241"/>
      <c r="AO216" s="241"/>
      <c r="AP216" s="241"/>
      <c r="AQ216" s="241"/>
      <c r="AR216" s="241"/>
      <c r="AS216" s="241"/>
      <c r="AT216" s="241"/>
      <c r="AU216" s="241"/>
      <c r="AV216" s="241"/>
      <c r="AW216" s="241"/>
      <c r="AX216" s="241"/>
      <c r="AY216" s="241"/>
      <c r="AZ216" s="241"/>
      <c r="BA216" s="241"/>
      <c r="BB216" s="241"/>
      <c r="BC216" s="241"/>
      <c r="BD216" s="241"/>
      <c r="BE216" s="241"/>
      <c r="BF216" s="241"/>
      <c r="BG216" s="241"/>
      <c r="BH216" s="241" t="str">
        <f>" " &amp; TEXT(AE216,"#0.00%") &amp; " " &amp; "통합테스트 수행" &amp; "(PL)" &amp; " " &amp; IF(P216="","",TEXT(P216,"M/D-")) &amp; IF(Q216="","",TEXT(Q216,"M/D")) &amp; " "</f>
        <v xml:space="preserve"> 0.00% 통합테스트 수행(PL) 9/1-9/5 </v>
      </c>
      <c r="BI216" s="241"/>
      <c r="BJ216" s="241"/>
      <c r="BK216" s="241"/>
      <c r="BL216" s="241"/>
      <c r="BM216" s="241"/>
      <c r="BN216" s="241"/>
      <c r="BO216" s="241"/>
      <c r="BP216" s="241"/>
      <c r="BQ216" s="241"/>
      <c r="BR216" s="241"/>
      <c r="BS216" s="241"/>
      <c r="BT216" s="241"/>
      <c r="BU216" s="241"/>
      <c r="BV216" s="241"/>
      <c r="BW216" s="241"/>
      <c r="BX216" s="241"/>
      <c r="BY216" s="241"/>
      <c r="BZ216" s="241"/>
      <c r="CA216" s="241"/>
      <c r="CB216" s="241"/>
      <c r="CC216" s="241"/>
      <c r="CD216" s="241"/>
      <c r="CE216" s="241"/>
      <c r="CF216" s="241"/>
      <c r="CG216" s="241"/>
    </row>
    <row r="217" spans="1:85" ht="12" customHeight="1" outlineLevel="3">
      <c r="A217" s="227"/>
      <c r="B217" s="227"/>
      <c r="C217" s="227">
        <v>4</v>
      </c>
      <c r="D217" s="235" t="s">
        <v>2038</v>
      </c>
      <c r="E217" s="228"/>
      <c r="F217" s="228"/>
      <c r="G217" s="228"/>
      <c r="H217" s="228" t="s">
        <v>1688</v>
      </c>
      <c r="I217" s="228"/>
      <c r="J217" s="228"/>
      <c r="K217" s="228"/>
      <c r="L217" s="228"/>
      <c r="M217" s="228"/>
      <c r="N217" s="228"/>
      <c r="O217" s="228"/>
      <c r="P217" s="250">
        <v>45908</v>
      </c>
      <c r="Q217" s="250">
        <v>45912</v>
      </c>
      <c r="R217" s="228"/>
      <c r="S217" s="229">
        <v>2.5</v>
      </c>
      <c r="T217" s="229">
        <v>0</v>
      </c>
      <c r="U217" s="229">
        <v>5</v>
      </c>
      <c r="V217" s="229">
        <v>0</v>
      </c>
      <c r="W217" s="250"/>
      <c r="X217" s="250"/>
      <c r="Y217" s="230"/>
      <c r="Z217" s="231">
        <v>0</v>
      </c>
      <c r="AA217" s="229">
        <v>0.5</v>
      </c>
      <c r="AB217" s="228" t="s">
        <v>1892</v>
      </c>
      <c r="AC217" s="191" t="s">
        <v>1894</v>
      </c>
      <c r="AD217" s="234">
        <v>0</v>
      </c>
      <c r="AE217" s="253">
        <v>0</v>
      </c>
      <c r="AF217" s="240"/>
      <c r="AG217" s="241"/>
      <c r="AH217" s="241"/>
      <c r="AI217" s="241"/>
      <c r="AJ217" s="241"/>
      <c r="AK217" s="241"/>
      <c r="AL217" s="241"/>
      <c r="AM217" s="241"/>
      <c r="AN217" s="241"/>
      <c r="AO217" s="241"/>
      <c r="AP217" s="241"/>
      <c r="AQ217" s="241"/>
      <c r="AR217" s="241"/>
      <c r="AS217" s="241"/>
      <c r="AT217" s="241"/>
      <c r="AU217" s="241"/>
      <c r="AV217" s="241"/>
      <c r="AW217" s="241"/>
      <c r="AX217" s="241"/>
      <c r="AY217" s="241"/>
      <c r="AZ217" s="241"/>
      <c r="BA217" s="241"/>
      <c r="BB217" s="241"/>
      <c r="BC217" s="241"/>
      <c r="BD217" s="241"/>
      <c r="BE217" s="241"/>
      <c r="BF217" s="241"/>
      <c r="BG217" s="241"/>
      <c r="BH217" s="241"/>
      <c r="BI217" s="241" t="str">
        <f>" " &amp; TEXT(AE217,"#0.00%") &amp; " " &amp; "테스트결과 조치" &amp; "(PL)" &amp; " " &amp; IF(P217="","",TEXT(P217,"M/D-")) &amp; IF(Q217="","",TEXT(Q217,"M/D")) &amp; " "</f>
        <v xml:space="preserve"> 0.00% 테스트결과 조치(PL) 9/8-9/12 </v>
      </c>
      <c r="BJ217" s="241"/>
      <c r="BK217" s="241"/>
      <c r="BL217" s="241"/>
      <c r="BM217" s="241"/>
      <c r="BN217" s="241"/>
      <c r="BO217" s="241"/>
      <c r="BP217" s="241"/>
      <c r="BQ217" s="241"/>
      <c r="BR217" s="241"/>
      <c r="BS217" s="241"/>
      <c r="BT217" s="241"/>
      <c r="BU217" s="241"/>
      <c r="BV217" s="241"/>
      <c r="BW217" s="241"/>
      <c r="BX217" s="241"/>
      <c r="BY217" s="241"/>
      <c r="BZ217" s="241"/>
      <c r="CA217" s="241"/>
      <c r="CB217" s="241"/>
      <c r="CC217" s="241"/>
      <c r="CD217" s="241"/>
      <c r="CE217" s="241"/>
      <c r="CF217" s="241"/>
      <c r="CG217" s="241"/>
    </row>
    <row r="218" spans="1:85" ht="12" customHeight="1" outlineLevel="2">
      <c r="A218" s="227"/>
      <c r="B218" s="227" t="s">
        <v>1766</v>
      </c>
      <c r="C218" s="227">
        <v>3</v>
      </c>
      <c r="D218" s="235" t="s">
        <v>2039</v>
      </c>
      <c r="E218" s="228"/>
      <c r="F218" s="228"/>
      <c r="G218" s="228" t="s">
        <v>1738</v>
      </c>
      <c r="H218" s="228"/>
      <c r="I218" s="228"/>
      <c r="J218" s="228"/>
      <c r="K218" s="228"/>
      <c r="L218" s="228"/>
      <c r="M218" s="228"/>
      <c r="N218" s="228"/>
      <c r="O218" s="228"/>
      <c r="P218" s="250">
        <v>45929</v>
      </c>
      <c r="Q218" s="250">
        <v>45947</v>
      </c>
      <c r="R218" s="228"/>
      <c r="S218" s="229">
        <v>6.5</v>
      </c>
      <c r="T218" s="229">
        <v>0</v>
      </c>
      <c r="U218" s="229">
        <v>10</v>
      </c>
      <c r="V218" s="229">
        <v>0</v>
      </c>
      <c r="W218" s="250"/>
      <c r="X218" s="250"/>
      <c r="Y218" s="230">
        <v>0</v>
      </c>
      <c r="Z218" s="231">
        <v>0</v>
      </c>
      <c r="AA218" s="229"/>
      <c r="AB218" s="228"/>
      <c r="AC218" s="191"/>
      <c r="AD218" s="234">
        <v>0</v>
      </c>
      <c r="AE218" s="254">
        <v>0</v>
      </c>
      <c r="AF218" s="240"/>
      <c r="AG218" s="241"/>
      <c r="AH218" s="241"/>
      <c r="AI218" s="241"/>
      <c r="AJ218" s="241"/>
      <c r="AK218" s="241"/>
      <c r="AL218" s="241"/>
      <c r="AM218" s="241"/>
      <c r="AN218" s="241"/>
      <c r="AO218" s="241"/>
      <c r="AP218" s="241"/>
      <c r="AQ218" s="241"/>
      <c r="AR218" s="241"/>
      <c r="AS218" s="241"/>
      <c r="AT218" s="241"/>
      <c r="AU218" s="241"/>
      <c r="AV218" s="241"/>
      <c r="AW218" s="241"/>
      <c r="AX218" s="241"/>
      <c r="AY218" s="241"/>
      <c r="AZ218" s="241"/>
      <c r="BA218" s="241"/>
      <c r="BB218" s="241"/>
      <c r="BC218" s="241"/>
      <c r="BD218" s="241"/>
      <c r="BE218" s="241"/>
      <c r="BF218" s="241"/>
      <c r="BG218" s="241"/>
      <c r="BH218" s="241"/>
      <c r="BI218" s="241"/>
      <c r="BJ218" s="241"/>
      <c r="BK218" s="241"/>
      <c r="BL218" s="241" t="str">
        <f>" " &amp; TEXT(AE218,"#0.00%") &amp; " " &amp; "4차 통합테스트" &amp; " " &amp; IF(P218="","",TEXT(P218,"M/D-")) &amp; IF(Q218="","",TEXT(Q218,"M/D")) &amp; " "</f>
        <v xml:space="preserve"> 0.00% 4차 통합테스트 9/29-10/17 </v>
      </c>
      <c r="BM218" s="241"/>
      <c r="BN218" s="241"/>
      <c r="BO218" s="241"/>
      <c r="BP218" s="241"/>
      <c r="BQ218" s="241"/>
      <c r="BR218" s="241"/>
      <c r="BS218" s="241"/>
      <c r="BT218" s="241"/>
      <c r="BU218" s="241"/>
      <c r="BV218" s="241"/>
      <c r="BW218" s="241"/>
      <c r="BX218" s="241"/>
      <c r="BY218" s="241"/>
      <c r="BZ218" s="241"/>
      <c r="CA218" s="241"/>
      <c r="CB218" s="241"/>
      <c r="CC218" s="241"/>
      <c r="CD218" s="241"/>
      <c r="CE218" s="241"/>
      <c r="CF218" s="241"/>
      <c r="CG218" s="241"/>
    </row>
    <row r="219" spans="1:85" ht="12" customHeight="1" outlineLevel="3">
      <c r="A219" s="227"/>
      <c r="B219" s="227"/>
      <c r="C219" s="227">
        <v>4</v>
      </c>
      <c r="D219" s="235" t="s">
        <v>2040</v>
      </c>
      <c r="E219" s="228"/>
      <c r="F219" s="228"/>
      <c r="G219" s="228"/>
      <c r="H219" s="228" t="s">
        <v>1687</v>
      </c>
      <c r="I219" s="228"/>
      <c r="J219" s="228"/>
      <c r="K219" s="228"/>
      <c r="L219" s="228"/>
      <c r="M219" s="228"/>
      <c r="N219" s="228"/>
      <c r="O219" s="228"/>
      <c r="P219" s="250">
        <v>45929</v>
      </c>
      <c r="Q219" s="250">
        <v>45932</v>
      </c>
      <c r="R219" s="228"/>
      <c r="S219" s="229">
        <v>4</v>
      </c>
      <c r="T219" s="229">
        <v>0</v>
      </c>
      <c r="U219" s="229">
        <v>4</v>
      </c>
      <c r="V219" s="229">
        <v>0</v>
      </c>
      <c r="W219" s="250"/>
      <c r="X219" s="250"/>
      <c r="Y219" s="230"/>
      <c r="Z219" s="231">
        <v>0</v>
      </c>
      <c r="AA219" s="229">
        <v>1</v>
      </c>
      <c r="AB219" s="228" t="s">
        <v>1892</v>
      </c>
      <c r="AC219" s="191" t="s">
        <v>1894</v>
      </c>
      <c r="AD219" s="234">
        <v>0</v>
      </c>
      <c r="AE219" s="253">
        <v>0</v>
      </c>
      <c r="AF219" s="240"/>
      <c r="AG219" s="241"/>
      <c r="AH219" s="241"/>
      <c r="AI219" s="241"/>
      <c r="AJ219" s="241"/>
      <c r="AK219" s="241"/>
      <c r="AL219" s="241"/>
      <c r="AM219" s="241"/>
      <c r="AN219" s="241"/>
      <c r="AO219" s="241"/>
      <c r="AP219" s="241"/>
      <c r="AQ219" s="241"/>
      <c r="AR219" s="241"/>
      <c r="AS219" s="241"/>
      <c r="AT219" s="241"/>
      <c r="AU219" s="241"/>
      <c r="AV219" s="241"/>
      <c r="AW219" s="241"/>
      <c r="AX219" s="241"/>
      <c r="AY219" s="241"/>
      <c r="AZ219" s="241"/>
      <c r="BA219" s="241"/>
      <c r="BB219" s="241"/>
      <c r="BC219" s="241"/>
      <c r="BD219" s="241"/>
      <c r="BE219" s="241"/>
      <c r="BF219" s="241"/>
      <c r="BG219" s="241"/>
      <c r="BH219" s="241"/>
      <c r="BI219" s="241"/>
      <c r="BJ219" s="241"/>
      <c r="BK219" s="241"/>
      <c r="BL219" s="241" t="str">
        <f>" " &amp; TEXT(AE219,"#0.00%") &amp; " " &amp; "통합테스트 수행" &amp; "(PL)" &amp; " " &amp; IF(P219="","",TEXT(P219,"M/D-")) &amp; IF(Q219="","",TEXT(Q219,"M/D")) &amp; " "</f>
        <v xml:space="preserve"> 0.00% 통합테스트 수행(PL) 9/29-10/2 </v>
      </c>
      <c r="BM219" s="241"/>
      <c r="BN219" s="241"/>
      <c r="BO219" s="241"/>
      <c r="BP219" s="241"/>
      <c r="BQ219" s="241"/>
      <c r="BR219" s="241"/>
      <c r="BS219" s="241"/>
      <c r="BT219" s="241"/>
      <c r="BU219" s="241"/>
      <c r="BV219" s="241"/>
      <c r="BW219" s="241"/>
      <c r="BX219" s="241"/>
      <c r="BY219" s="241"/>
      <c r="BZ219" s="241"/>
      <c r="CA219" s="241"/>
      <c r="CB219" s="241"/>
      <c r="CC219" s="241"/>
      <c r="CD219" s="241"/>
      <c r="CE219" s="241"/>
      <c r="CF219" s="241"/>
      <c r="CG219" s="241"/>
    </row>
    <row r="220" spans="1:85" ht="12" customHeight="1" outlineLevel="3">
      <c r="A220" s="227"/>
      <c r="B220" s="227"/>
      <c r="C220" s="227">
        <v>4</v>
      </c>
      <c r="D220" s="235" t="s">
        <v>2041</v>
      </c>
      <c r="E220" s="228"/>
      <c r="F220" s="228"/>
      <c r="G220" s="228"/>
      <c r="H220" s="228" t="s">
        <v>1688</v>
      </c>
      <c r="I220" s="228"/>
      <c r="J220" s="228"/>
      <c r="K220" s="228"/>
      <c r="L220" s="228"/>
      <c r="M220" s="228"/>
      <c r="N220" s="228"/>
      <c r="O220" s="228"/>
      <c r="P220" s="250">
        <v>45943</v>
      </c>
      <c r="Q220" s="250">
        <v>45947</v>
      </c>
      <c r="R220" s="228"/>
      <c r="S220" s="229">
        <v>2.5</v>
      </c>
      <c r="T220" s="229">
        <v>0</v>
      </c>
      <c r="U220" s="229">
        <v>5</v>
      </c>
      <c r="V220" s="229">
        <v>0</v>
      </c>
      <c r="W220" s="250"/>
      <c r="X220" s="250"/>
      <c r="Y220" s="230"/>
      <c r="Z220" s="231">
        <v>0</v>
      </c>
      <c r="AA220" s="229">
        <v>0.5</v>
      </c>
      <c r="AB220" s="228" t="s">
        <v>1892</v>
      </c>
      <c r="AC220" s="191" t="s">
        <v>1894</v>
      </c>
      <c r="AD220" s="234">
        <v>0</v>
      </c>
      <c r="AE220" s="253">
        <v>0</v>
      </c>
      <c r="AF220" s="240"/>
      <c r="AG220" s="241"/>
      <c r="AH220" s="241"/>
      <c r="AI220" s="241"/>
      <c r="AJ220" s="241"/>
      <c r="AK220" s="241"/>
      <c r="AL220" s="241"/>
      <c r="AM220" s="241"/>
      <c r="AN220" s="241"/>
      <c r="AO220" s="241"/>
      <c r="AP220" s="241"/>
      <c r="AQ220" s="241"/>
      <c r="AR220" s="241"/>
      <c r="AS220" s="241"/>
      <c r="AT220" s="241"/>
      <c r="AU220" s="241"/>
      <c r="AV220" s="241"/>
      <c r="AW220" s="241"/>
      <c r="AX220" s="241"/>
      <c r="AY220" s="241"/>
      <c r="AZ220" s="241"/>
      <c r="BA220" s="241"/>
      <c r="BB220" s="241"/>
      <c r="BC220" s="241"/>
      <c r="BD220" s="241"/>
      <c r="BE220" s="241"/>
      <c r="BF220" s="241"/>
      <c r="BG220" s="241"/>
      <c r="BH220" s="241"/>
      <c r="BI220" s="241"/>
      <c r="BJ220" s="241"/>
      <c r="BK220" s="241"/>
      <c r="BL220" s="241"/>
      <c r="BM220" s="241"/>
      <c r="BN220" s="241" t="str">
        <f>" " &amp; TEXT(AE220,"#0.00%") &amp; " " &amp; "테스트결과 조치" &amp; "(PL)" &amp; " " &amp; IF(P220="","",TEXT(P220,"M/D-")) &amp; IF(Q220="","",TEXT(Q220,"M/D")) &amp; " "</f>
        <v xml:space="preserve"> 0.00% 테스트결과 조치(PL) 10/13-10/17 </v>
      </c>
      <c r="BO220" s="241"/>
      <c r="BP220" s="241"/>
      <c r="BQ220" s="241"/>
      <c r="BR220" s="241"/>
      <c r="BS220" s="241"/>
      <c r="BT220" s="241"/>
      <c r="BU220" s="241"/>
      <c r="BV220" s="241"/>
      <c r="BW220" s="241"/>
      <c r="BX220" s="241"/>
      <c r="BY220" s="241"/>
      <c r="BZ220" s="241"/>
      <c r="CA220" s="241"/>
      <c r="CB220" s="241"/>
      <c r="CC220" s="241"/>
      <c r="CD220" s="241"/>
      <c r="CE220" s="241"/>
      <c r="CF220" s="241"/>
      <c r="CG220" s="241"/>
    </row>
    <row r="221" spans="1:85" ht="12" customHeight="1" outlineLevel="1">
      <c r="A221" s="227"/>
      <c r="B221" s="227" t="s">
        <v>1766</v>
      </c>
      <c r="C221" s="227">
        <v>2</v>
      </c>
      <c r="D221" s="235" t="s">
        <v>2042</v>
      </c>
      <c r="E221" s="228"/>
      <c r="F221" s="228" t="s">
        <v>1877</v>
      </c>
      <c r="G221" s="228"/>
      <c r="H221" s="228"/>
      <c r="I221" s="228"/>
      <c r="J221" s="228"/>
      <c r="K221" s="228"/>
      <c r="L221" s="228"/>
      <c r="M221" s="228"/>
      <c r="N221" s="228"/>
      <c r="O221" s="228"/>
      <c r="P221" s="250">
        <v>45824</v>
      </c>
      <c r="Q221" s="250">
        <v>45922</v>
      </c>
      <c r="R221" s="228"/>
      <c r="S221" s="229">
        <v>9.6</v>
      </c>
      <c r="T221" s="229">
        <v>0</v>
      </c>
      <c r="U221" s="229">
        <v>70</v>
      </c>
      <c r="V221" s="229">
        <v>0</v>
      </c>
      <c r="W221" s="250"/>
      <c r="X221" s="250"/>
      <c r="Y221" s="230">
        <v>0</v>
      </c>
      <c r="Z221" s="231">
        <v>0</v>
      </c>
      <c r="AA221" s="229"/>
      <c r="AB221" s="228"/>
      <c r="AC221" s="191"/>
      <c r="AD221" s="234">
        <v>0</v>
      </c>
      <c r="AE221" s="254">
        <v>0</v>
      </c>
      <c r="AF221" s="240"/>
      <c r="AG221" s="241"/>
      <c r="AH221" s="241"/>
      <c r="AI221" s="241"/>
      <c r="AJ221" s="241"/>
      <c r="AK221" s="241"/>
      <c r="AL221" s="241"/>
      <c r="AM221" s="241"/>
      <c r="AN221" s="241"/>
      <c r="AO221" s="241"/>
      <c r="AP221" s="241"/>
      <c r="AQ221" s="241"/>
      <c r="AR221" s="241"/>
      <c r="AS221" s="241"/>
      <c r="AT221" s="241"/>
      <c r="AU221" s="241"/>
      <c r="AV221" s="241"/>
      <c r="AW221" s="241" t="str">
        <f>" " &amp; TEXT(AE221,"#0.00%") &amp; " "</f>
        <v xml:space="preserve"> 0.00% </v>
      </c>
      <c r="AX221" s="241"/>
      <c r="AY221" s="241"/>
      <c r="AZ221" s="241"/>
      <c r="BA221" s="241"/>
      <c r="BB221" s="241"/>
      <c r="BC221" s="241"/>
      <c r="BD221" s="241"/>
      <c r="BE221" s="241"/>
      <c r="BF221" s="241"/>
      <c r="BG221" s="241"/>
      <c r="BH221" s="241"/>
      <c r="BI221" s="241"/>
      <c r="BJ221" s="241"/>
      <c r="BK221" s="241" t="str">
        <f>"  " &amp; "3자테스트" &amp; " " &amp; IF(P221="","",TEXT(P221,"M/D-")) &amp; IF(Q221="","",TEXT(Q221,"M/D")) &amp; " "</f>
        <v xml:space="preserve">  3자테스트 6/16-9/22 </v>
      </c>
      <c r="BL221" s="241"/>
      <c r="BM221" s="241"/>
      <c r="BN221" s="241"/>
      <c r="BO221" s="241"/>
      <c r="BP221" s="241"/>
      <c r="BQ221" s="241"/>
      <c r="BR221" s="241"/>
      <c r="BS221" s="241"/>
      <c r="BT221" s="241"/>
      <c r="BU221" s="241"/>
      <c r="BV221" s="241"/>
      <c r="BW221" s="241"/>
      <c r="BX221" s="241"/>
      <c r="BY221" s="241"/>
      <c r="BZ221" s="241"/>
      <c r="CA221" s="241"/>
      <c r="CB221" s="241"/>
      <c r="CC221" s="241"/>
      <c r="CD221" s="241"/>
      <c r="CE221" s="241"/>
      <c r="CF221" s="241"/>
      <c r="CG221" s="241"/>
    </row>
    <row r="222" spans="1:85" ht="12" customHeight="1" outlineLevel="2">
      <c r="A222" s="227"/>
      <c r="B222" s="227" t="s">
        <v>1766</v>
      </c>
      <c r="C222" s="227">
        <v>3</v>
      </c>
      <c r="D222" s="235" t="s">
        <v>2043</v>
      </c>
      <c r="E222" s="228"/>
      <c r="F222" s="228"/>
      <c r="G222" s="228" t="s">
        <v>1878</v>
      </c>
      <c r="H222" s="228"/>
      <c r="I222" s="228"/>
      <c r="J222" s="228"/>
      <c r="K222" s="228"/>
      <c r="L222" s="228"/>
      <c r="M222" s="228"/>
      <c r="N222" s="228"/>
      <c r="O222" s="228"/>
      <c r="P222" s="250">
        <v>45824</v>
      </c>
      <c r="Q222" s="250">
        <v>45849</v>
      </c>
      <c r="R222" s="228"/>
      <c r="S222" s="229">
        <v>2.5</v>
      </c>
      <c r="T222" s="229">
        <v>0</v>
      </c>
      <c r="U222" s="229">
        <v>20</v>
      </c>
      <c r="V222" s="229">
        <v>0</v>
      </c>
      <c r="W222" s="250"/>
      <c r="X222" s="250"/>
      <c r="Y222" s="230">
        <v>0</v>
      </c>
      <c r="Z222" s="231">
        <v>0</v>
      </c>
      <c r="AA222" s="229"/>
      <c r="AB222" s="228"/>
      <c r="AC222" s="191"/>
      <c r="AD222" s="234">
        <v>0</v>
      </c>
      <c r="AE222" s="254">
        <v>0</v>
      </c>
      <c r="AF222" s="240"/>
      <c r="AG222" s="241"/>
      <c r="AH222" s="241"/>
      <c r="AI222" s="241"/>
      <c r="AJ222" s="241"/>
      <c r="AK222" s="241"/>
      <c r="AL222" s="241"/>
      <c r="AM222" s="241"/>
      <c r="AN222" s="241"/>
      <c r="AO222" s="241"/>
      <c r="AP222" s="241"/>
      <c r="AQ222" s="241"/>
      <c r="AR222" s="241"/>
      <c r="AS222" s="241"/>
      <c r="AT222" s="241"/>
      <c r="AU222" s="241"/>
      <c r="AV222" s="241"/>
      <c r="AW222" s="241" t="str">
        <f>" " &amp; TEXT(AE222,"#0.00%") &amp; " "</f>
        <v xml:space="preserve"> 0.00% </v>
      </c>
      <c r="AX222" s="241"/>
      <c r="AY222" s="241"/>
      <c r="AZ222" s="241" t="str">
        <f>"      " &amp; "1차 3자테스트" &amp; " " &amp; IF(P222="","",TEXT(P222,"M/D-")) &amp; IF(Q222="","",TEXT(Q222,"M/D")) &amp; " "</f>
        <v xml:space="preserve">      1차 3자테스트 6/16-7/11 </v>
      </c>
      <c r="BA222" s="241"/>
      <c r="BB222" s="241"/>
      <c r="BC222" s="241"/>
      <c r="BD222" s="241"/>
      <c r="BE222" s="241"/>
      <c r="BF222" s="241"/>
      <c r="BG222" s="241"/>
      <c r="BH222" s="241"/>
      <c r="BI222" s="241"/>
      <c r="BJ222" s="241"/>
      <c r="BK222" s="241"/>
      <c r="BL222" s="241"/>
      <c r="BM222" s="241"/>
      <c r="BN222" s="241"/>
      <c r="BO222" s="241"/>
      <c r="BP222" s="241"/>
      <c r="BQ222" s="241"/>
      <c r="BR222" s="241"/>
      <c r="BS222" s="241"/>
      <c r="BT222" s="241"/>
      <c r="BU222" s="241"/>
      <c r="BV222" s="241"/>
      <c r="BW222" s="241"/>
      <c r="BX222" s="241"/>
      <c r="BY222" s="241"/>
      <c r="BZ222" s="241"/>
      <c r="CA222" s="241"/>
      <c r="CB222" s="241"/>
      <c r="CC222" s="241"/>
      <c r="CD222" s="241"/>
      <c r="CE222" s="241"/>
      <c r="CF222" s="241"/>
      <c r="CG222" s="241"/>
    </row>
    <row r="223" spans="1:85" ht="12" customHeight="1" outlineLevel="3">
      <c r="A223" s="227"/>
      <c r="B223" s="227"/>
      <c r="C223" s="227">
        <v>4</v>
      </c>
      <c r="D223" s="235" t="s">
        <v>2044</v>
      </c>
      <c r="E223" s="228"/>
      <c r="F223" s="228"/>
      <c r="G223" s="228"/>
      <c r="H223" s="228" t="s">
        <v>1879</v>
      </c>
      <c r="I223" s="228"/>
      <c r="J223" s="228"/>
      <c r="K223" s="228"/>
      <c r="L223" s="228"/>
      <c r="M223" s="228"/>
      <c r="N223" s="228"/>
      <c r="O223" s="228"/>
      <c r="P223" s="250">
        <v>45824</v>
      </c>
      <c r="Q223" s="250">
        <v>45828</v>
      </c>
      <c r="R223" s="228"/>
      <c r="S223" s="229">
        <v>0.5</v>
      </c>
      <c r="T223" s="229">
        <v>0</v>
      </c>
      <c r="U223" s="229">
        <v>5</v>
      </c>
      <c r="V223" s="229">
        <v>0</v>
      </c>
      <c r="W223" s="250"/>
      <c r="X223" s="250"/>
      <c r="Y223" s="230"/>
      <c r="Z223" s="231">
        <v>0</v>
      </c>
      <c r="AA223" s="229">
        <v>0.1</v>
      </c>
      <c r="AB223" s="228" t="s">
        <v>1892</v>
      </c>
      <c r="AC223" s="191" t="s">
        <v>1896</v>
      </c>
      <c r="AD223" s="234">
        <v>0</v>
      </c>
      <c r="AE223" s="253">
        <v>0</v>
      </c>
      <c r="AF223" s="240"/>
      <c r="AG223" s="241"/>
      <c r="AH223" s="241"/>
      <c r="AI223" s="241"/>
      <c r="AJ223" s="241"/>
      <c r="AK223" s="241"/>
      <c r="AL223" s="241"/>
      <c r="AM223" s="241"/>
      <c r="AN223" s="241"/>
      <c r="AO223" s="241"/>
      <c r="AP223" s="241"/>
      <c r="AQ223" s="241"/>
      <c r="AR223" s="241"/>
      <c r="AS223" s="241"/>
      <c r="AT223" s="241"/>
      <c r="AU223" s="241"/>
      <c r="AV223" s="241"/>
      <c r="AW223" s="241" t="str">
        <f>" " &amp; TEXT(AE223,"#0.00%") &amp; " " &amp; "3자테스트 계획수립 및 준비 " &amp; "(PL)" &amp; " " &amp; IF(P223="","",TEXT(P223,"M/D-")) &amp; IF(Q223="","",TEXT(Q223,"M/D")) &amp; " "</f>
        <v xml:space="preserve"> 0.00% 3자테스트 계획수립 및 준비 (PL) 6/16-6/20 </v>
      </c>
      <c r="AX223" s="241"/>
      <c r="AY223" s="241"/>
      <c r="AZ223" s="241"/>
      <c r="BA223" s="241"/>
      <c r="BB223" s="241"/>
      <c r="BC223" s="241"/>
      <c r="BD223" s="241"/>
      <c r="BE223" s="241"/>
      <c r="BF223" s="241"/>
      <c r="BG223" s="241"/>
      <c r="BH223" s="241"/>
      <c r="BI223" s="241"/>
      <c r="BJ223" s="241"/>
      <c r="BK223" s="241"/>
      <c r="BL223" s="241"/>
      <c r="BM223" s="241"/>
      <c r="BN223" s="241"/>
      <c r="BO223" s="241"/>
      <c r="BP223" s="241"/>
      <c r="BQ223" s="241"/>
      <c r="BR223" s="241"/>
      <c r="BS223" s="241"/>
      <c r="BT223" s="241"/>
      <c r="BU223" s="241"/>
      <c r="BV223" s="241"/>
      <c r="BW223" s="241"/>
      <c r="BX223" s="241"/>
      <c r="BY223" s="241"/>
      <c r="BZ223" s="241"/>
      <c r="CA223" s="241"/>
      <c r="CB223" s="241"/>
      <c r="CC223" s="241"/>
      <c r="CD223" s="241"/>
      <c r="CE223" s="241"/>
      <c r="CF223" s="241"/>
      <c r="CG223" s="241"/>
    </row>
    <row r="224" spans="1:85" ht="12" customHeight="1" outlineLevel="3">
      <c r="A224" s="227"/>
      <c r="B224" s="227"/>
      <c r="C224" s="227">
        <v>4</v>
      </c>
      <c r="D224" s="235" t="s">
        <v>2045</v>
      </c>
      <c r="E224" s="228"/>
      <c r="F224" s="228"/>
      <c r="G224" s="228"/>
      <c r="H224" s="228" t="s">
        <v>1880</v>
      </c>
      <c r="I224" s="228"/>
      <c r="J224" s="228"/>
      <c r="K224" s="228"/>
      <c r="L224" s="228"/>
      <c r="M224" s="228"/>
      <c r="N224" s="228"/>
      <c r="O224" s="228"/>
      <c r="P224" s="250">
        <v>45831</v>
      </c>
      <c r="Q224" s="250">
        <v>45849</v>
      </c>
      <c r="R224" s="228"/>
      <c r="S224" s="229">
        <v>1.5</v>
      </c>
      <c r="T224" s="229">
        <v>0</v>
      </c>
      <c r="U224" s="229">
        <v>15</v>
      </c>
      <c r="V224" s="229">
        <v>0</v>
      </c>
      <c r="W224" s="250"/>
      <c r="X224" s="250"/>
      <c r="Y224" s="230"/>
      <c r="Z224" s="231">
        <v>0</v>
      </c>
      <c r="AA224" s="229">
        <v>0.1</v>
      </c>
      <c r="AB224" s="228" t="s">
        <v>1895</v>
      </c>
      <c r="AC224" s="191" t="s">
        <v>1896</v>
      </c>
      <c r="AD224" s="234">
        <v>0</v>
      </c>
      <c r="AE224" s="253">
        <v>0</v>
      </c>
      <c r="AF224" s="240"/>
      <c r="AG224" s="241"/>
      <c r="AH224" s="241"/>
      <c r="AI224" s="241"/>
      <c r="AJ224" s="241"/>
      <c r="AK224" s="241"/>
      <c r="AL224" s="241"/>
      <c r="AM224" s="241"/>
      <c r="AN224" s="241"/>
      <c r="AO224" s="241"/>
      <c r="AP224" s="241"/>
      <c r="AQ224" s="241"/>
      <c r="AR224" s="241"/>
      <c r="AS224" s="241"/>
      <c r="AT224" s="241"/>
      <c r="AU224" s="241"/>
      <c r="AV224" s="241"/>
      <c r="AW224" s="241"/>
      <c r="AX224" s="241" t="str">
        <f>" " &amp; TEXT(AE224,"#0.00%") &amp; " " &amp; "3자테스트 수행" &amp; "(3자테스터)" &amp; " " &amp; IF(P224="","",TEXT(P224,"M/D-")) &amp; IF(Q224="","",TEXT(Q224,"M/D")) &amp; " "</f>
        <v xml:space="preserve"> 0.00% 3자테스트 수행(3자테스터) 6/23-7/11 </v>
      </c>
      <c r="AY224" s="241"/>
      <c r="AZ224" s="241"/>
      <c r="BA224" s="241"/>
      <c r="BB224" s="241"/>
      <c r="BC224" s="241"/>
      <c r="BD224" s="241"/>
      <c r="BE224" s="241"/>
      <c r="BF224" s="241"/>
      <c r="BG224" s="241"/>
      <c r="BH224" s="241"/>
      <c r="BI224" s="241"/>
      <c r="BJ224" s="241"/>
      <c r="BK224" s="241"/>
      <c r="BL224" s="241"/>
      <c r="BM224" s="241"/>
      <c r="BN224" s="241"/>
      <c r="BO224" s="241"/>
      <c r="BP224" s="241"/>
      <c r="BQ224" s="241"/>
      <c r="BR224" s="241"/>
      <c r="BS224" s="241"/>
      <c r="BT224" s="241"/>
      <c r="BU224" s="241"/>
      <c r="BV224" s="241"/>
      <c r="BW224" s="241"/>
      <c r="BX224" s="241"/>
      <c r="BY224" s="241"/>
      <c r="BZ224" s="241"/>
      <c r="CA224" s="241"/>
      <c r="CB224" s="241"/>
      <c r="CC224" s="241"/>
      <c r="CD224" s="241"/>
      <c r="CE224" s="241"/>
      <c r="CF224" s="241"/>
      <c r="CG224" s="241"/>
    </row>
    <row r="225" spans="1:85" ht="12" customHeight="1" outlineLevel="3">
      <c r="A225" s="227"/>
      <c r="B225" s="227"/>
      <c r="C225" s="227">
        <v>4</v>
      </c>
      <c r="D225" s="235" t="s">
        <v>2046</v>
      </c>
      <c r="E225" s="228"/>
      <c r="F225" s="228"/>
      <c r="G225" s="228"/>
      <c r="H225" s="228" t="s">
        <v>1673</v>
      </c>
      <c r="I225" s="228"/>
      <c r="J225" s="228"/>
      <c r="K225" s="228"/>
      <c r="L225" s="228"/>
      <c r="M225" s="228"/>
      <c r="N225" s="228"/>
      <c r="O225" s="228"/>
      <c r="P225" s="250">
        <v>45845</v>
      </c>
      <c r="Q225" s="250">
        <v>45849</v>
      </c>
      <c r="R225" s="228"/>
      <c r="S225" s="229">
        <v>0.5</v>
      </c>
      <c r="T225" s="229">
        <v>0</v>
      </c>
      <c r="U225" s="229">
        <v>5</v>
      </c>
      <c r="V225" s="229">
        <v>0</v>
      </c>
      <c r="W225" s="250"/>
      <c r="X225" s="250"/>
      <c r="Y225" s="230"/>
      <c r="Z225" s="231">
        <v>0</v>
      </c>
      <c r="AA225" s="229">
        <v>0.1</v>
      </c>
      <c r="AB225" s="228" t="s">
        <v>1892</v>
      </c>
      <c r="AC225" s="191" t="s">
        <v>1896</v>
      </c>
      <c r="AD225" s="234">
        <v>0</v>
      </c>
      <c r="AE225" s="253">
        <v>0</v>
      </c>
      <c r="AF225" s="240"/>
      <c r="AG225" s="241"/>
      <c r="AH225" s="241"/>
      <c r="AI225" s="241"/>
      <c r="AJ225" s="241"/>
      <c r="AK225" s="241"/>
      <c r="AL225" s="241"/>
      <c r="AM225" s="241"/>
      <c r="AN225" s="241"/>
      <c r="AO225" s="241"/>
      <c r="AP225" s="241"/>
      <c r="AQ225" s="241"/>
      <c r="AR225" s="241"/>
      <c r="AS225" s="241"/>
      <c r="AT225" s="241"/>
      <c r="AU225" s="241"/>
      <c r="AV225" s="241"/>
      <c r="AW225" s="241"/>
      <c r="AX225" s="241"/>
      <c r="AY225" s="241"/>
      <c r="AZ225" s="241" t="str">
        <f>" " &amp; TEXT(AE225,"#0.00%") &amp; " " &amp; "수행결과 조치" &amp; "(PL)" &amp; " " &amp; IF(P225="","",TEXT(P225,"M/D-")) &amp; IF(Q225="","",TEXT(Q225,"M/D")) &amp; " "</f>
        <v xml:space="preserve"> 0.00% 수행결과 조치(PL) 7/7-7/11 </v>
      </c>
      <c r="BA225" s="241"/>
      <c r="BB225" s="241"/>
      <c r="BC225" s="241"/>
      <c r="BD225" s="241"/>
      <c r="BE225" s="241"/>
      <c r="BF225" s="241"/>
      <c r="BG225" s="241"/>
      <c r="BH225" s="241"/>
      <c r="BI225" s="241"/>
      <c r="BJ225" s="241"/>
      <c r="BK225" s="241"/>
      <c r="BL225" s="241"/>
      <c r="BM225" s="241"/>
      <c r="BN225" s="241"/>
      <c r="BO225" s="241"/>
      <c r="BP225" s="241"/>
      <c r="BQ225" s="241"/>
      <c r="BR225" s="241"/>
      <c r="BS225" s="241"/>
      <c r="BT225" s="241"/>
      <c r="BU225" s="241"/>
      <c r="BV225" s="241"/>
      <c r="BW225" s="241"/>
      <c r="BX225" s="241"/>
      <c r="BY225" s="241"/>
      <c r="BZ225" s="241"/>
      <c r="CA225" s="241"/>
      <c r="CB225" s="241"/>
      <c r="CC225" s="241"/>
      <c r="CD225" s="241"/>
      <c r="CE225" s="241"/>
      <c r="CF225" s="241"/>
      <c r="CG225" s="241"/>
    </row>
    <row r="226" spans="1:85" ht="12" customHeight="1" outlineLevel="2">
      <c r="A226" s="227"/>
      <c r="B226" s="227" t="s">
        <v>1766</v>
      </c>
      <c r="C226" s="227">
        <v>3</v>
      </c>
      <c r="D226" s="235" t="s">
        <v>2047</v>
      </c>
      <c r="E226" s="228"/>
      <c r="F226" s="228"/>
      <c r="G226" s="228" t="s">
        <v>1881</v>
      </c>
      <c r="H226" s="228"/>
      <c r="I226" s="228"/>
      <c r="J226" s="228"/>
      <c r="K226" s="228"/>
      <c r="L226" s="228"/>
      <c r="M226" s="228"/>
      <c r="N226" s="228"/>
      <c r="O226" s="228"/>
      <c r="P226" s="250">
        <v>45852</v>
      </c>
      <c r="Q226" s="250">
        <v>45877</v>
      </c>
      <c r="R226" s="228"/>
      <c r="S226" s="229">
        <v>2.5</v>
      </c>
      <c r="T226" s="229">
        <v>0</v>
      </c>
      <c r="U226" s="229">
        <v>20</v>
      </c>
      <c r="V226" s="229">
        <v>0</v>
      </c>
      <c r="W226" s="250"/>
      <c r="X226" s="250"/>
      <c r="Y226" s="230">
        <v>0</v>
      </c>
      <c r="Z226" s="231">
        <v>0</v>
      </c>
      <c r="AA226" s="229"/>
      <c r="AB226" s="228"/>
      <c r="AC226" s="191"/>
      <c r="AD226" s="234">
        <v>0</v>
      </c>
      <c r="AE226" s="254">
        <v>0</v>
      </c>
      <c r="AF226" s="240"/>
      <c r="AG226" s="241"/>
      <c r="AH226" s="241"/>
      <c r="AI226" s="241"/>
      <c r="AJ226" s="241"/>
      <c r="AK226" s="241"/>
      <c r="AL226" s="241"/>
      <c r="AM226" s="241"/>
      <c r="AN226" s="241"/>
      <c r="AO226" s="241"/>
      <c r="AP226" s="241"/>
      <c r="AQ226" s="241"/>
      <c r="AR226" s="241"/>
      <c r="AS226" s="241"/>
      <c r="AT226" s="241"/>
      <c r="AU226" s="241"/>
      <c r="AV226" s="241"/>
      <c r="AW226" s="241"/>
      <c r="AX226" s="241"/>
      <c r="AY226" s="241"/>
      <c r="AZ226" s="241"/>
      <c r="BA226" s="241" t="str">
        <f>" " &amp; TEXT(AE226,"#0.00%") &amp; " "</f>
        <v xml:space="preserve"> 0.00% </v>
      </c>
      <c r="BB226" s="241"/>
      <c r="BC226" s="241"/>
      <c r="BD226" s="241" t="str">
        <f>"      " &amp; "2차 3자테스트" &amp; " " &amp; IF(P226="","",TEXT(P226,"M/D-")) &amp; IF(Q226="","",TEXT(Q226,"M/D")) &amp; " "</f>
        <v xml:space="preserve">      2차 3자테스트 7/14-8/8 </v>
      </c>
      <c r="BE226" s="241"/>
      <c r="BF226" s="241"/>
      <c r="BG226" s="241"/>
      <c r="BH226" s="241"/>
      <c r="BI226" s="241"/>
      <c r="BJ226" s="241"/>
      <c r="BK226" s="241"/>
      <c r="BL226" s="241"/>
      <c r="BM226" s="241"/>
      <c r="BN226" s="241"/>
      <c r="BO226" s="241"/>
      <c r="BP226" s="241"/>
      <c r="BQ226" s="241"/>
      <c r="BR226" s="241"/>
      <c r="BS226" s="241"/>
      <c r="BT226" s="241"/>
      <c r="BU226" s="241"/>
      <c r="BV226" s="241"/>
      <c r="BW226" s="241"/>
      <c r="BX226" s="241"/>
      <c r="BY226" s="241"/>
      <c r="BZ226" s="241"/>
      <c r="CA226" s="241"/>
      <c r="CB226" s="241"/>
      <c r="CC226" s="241"/>
      <c r="CD226" s="241"/>
      <c r="CE226" s="241"/>
      <c r="CF226" s="241"/>
      <c r="CG226" s="241"/>
    </row>
    <row r="227" spans="1:85" ht="12" customHeight="1" outlineLevel="3">
      <c r="A227" s="227"/>
      <c r="B227" s="227"/>
      <c r="C227" s="227">
        <v>4</v>
      </c>
      <c r="D227" s="235" t="s">
        <v>2048</v>
      </c>
      <c r="E227" s="228"/>
      <c r="F227" s="228"/>
      <c r="G227" s="228"/>
      <c r="H227" s="228" t="s">
        <v>1880</v>
      </c>
      <c r="I227" s="228"/>
      <c r="J227" s="228"/>
      <c r="K227" s="228"/>
      <c r="L227" s="228"/>
      <c r="M227" s="228"/>
      <c r="N227" s="228"/>
      <c r="O227" s="228"/>
      <c r="P227" s="250">
        <v>45852</v>
      </c>
      <c r="Q227" s="250">
        <v>45877</v>
      </c>
      <c r="R227" s="228"/>
      <c r="S227" s="229">
        <v>2</v>
      </c>
      <c r="T227" s="229">
        <v>0</v>
      </c>
      <c r="U227" s="229">
        <v>20</v>
      </c>
      <c r="V227" s="229">
        <v>0</v>
      </c>
      <c r="W227" s="250"/>
      <c r="X227" s="250"/>
      <c r="Y227" s="230"/>
      <c r="Z227" s="231">
        <v>0</v>
      </c>
      <c r="AA227" s="229">
        <v>0.1</v>
      </c>
      <c r="AB227" s="228" t="s">
        <v>1895</v>
      </c>
      <c r="AC227" s="191" t="s">
        <v>1896</v>
      </c>
      <c r="AD227" s="234">
        <v>0</v>
      </c>
      <c r="AE227" s="253">
        <v>0</v>
      </c>
      <c r="AF227" s="240"/>
      <c r="AG227" s="241"/>
      <c r="AH227" s="241"/>
      <c r="AI227" s="241"/>
      <c r="AJ227" s="241"/>
      <c r="AK227" s="241"/>
      <c r="AL227" s="241"/>
      <c r="AM227" s="241"/>
      <c r="AN227" s="241"/>
      <c r="AO227" s="241"/>
      <c r="AP227" s="241"/>
      <c r="AQ227" s="241"/>
      <c r="AR227" s="241"/>
      <c r="AS227" s="241"/>
      <c r="AT227" s="241"/>
      <c r="AU227" s="241"/>
      <c r="AV227" s="241"/>
      <c r="AW227" s="241"/>
      <c r="AX227" s="241"/>
      <c r="AY227" s="241"/>
      <c r="AZ227" s="241"/>
      <c r="BA227" s="241" t="str">
        <f>" " &amp; TEXT(AE227,"#0.00%") &amp; " "</f>
        <v xml:space="preserve"> 0.00% </v>
      </c>
      <c r="BB227" s="241"/>
      <c r="BC227" s="241"/>
      <c r="BD227" s="241" t="str">
        <f>"      " &amp; "3자테스트 수행" &amp; "(3자테스터)" &amp; " " &amp; IF(P227="","",TEXT(P227,"M/D-")) &amp; IF(Q227="","",TEXT(Q227,"M/D")) &amp; " "</f>
        <v xml:space="preserve">      3자테스트 수행(3자테스터) 7/14-8/8 </v>
      </c>
      <c r="BE227" s="241"/>
      <c r="BF227" s="241"/>
      <c r="BG227" s="241"/>
      <c r="BH227" s="241"/>
      <c r="BI227" s="241"/>
      <c r="BJ227" s="241"/>
      <c r="BK227" s="241"/>
      <c r="BL227" s="241"/>
      <c r="BM227" s="241"/>
      <c r="BN227" s="241"/>
      <c r="BO227" s="241"/>
      <c r="BP227" s="241"/>
      <c r="BQ227" s="241"/>
      <c r="BR227" s="241"/>
      <c r="BS227" s="241"/>
      <c r="BT227" s="241"/>
      <c r="BU227" s="241"/>
      <c r="BV227" s="241"/>
      <c r="BW227" s="241"/>
      <c r="BX227" s="241"/>
      <c r="BY227" s="241"/>
      <c r="BZ227" s="241"/>
      <c r="CA227" s="241"/>
      <c r="CB227" s="241"/>
      <c r="CC227" s="241"/>
      <c r="CD227" s="241"/>
      <c r="CE227" s="241"/>
      <c r="CF227" s="241"/>
      <c r="CG227" s="241"/>
    </row>
    <row r="228" spans="1:85" ht="12" customHeight="1" outlineLevel="3">
      <c r="A228" s="227"/>
      <c r="B228" s="227"/>
      <c r="C228" s="227">
        <v>4</v>
      </c>
      <c r="D228" s="235" t="s">
        <v>2049</v>
      </c>
      <c r="E228" s="228"/>
      <c r="F228" s="228"/>
      <c r="G228" s="228"/>
      <c r="H228" s="228" t="s">
        <v>1673</v>
      </c>
      <c r="I228" s="228"/>
      <c r="J228" s="228"/>
      <c r="K228" s="228"/>
      <c r="L228" s="228"/>
      <c r="M228" s="228"/>
      <c r="N228" s="228"/>
      <c r="O228" s="228"/>
      <c r="P228" s="250">
        <v>45873</v>
      </c>
      <c r="Q228" s="250">
        <v>45877</v>
      </c>
      <c r="R228" s="228"/>
      <c r="S228" s="229">
        <v>0.5</v>
      </c>
      <c r="T228" s="229">
        <v>0</v>
      </c>
      <c r="U228" s="229">
        <v>5</v>
      </c>
      <c r="V228" s="229">
        <v>0</v>
      </c>
      <c r="W228" s="250"/>
      <c r="X228" s="250"/>
      <c r="Y228" s="230"/>
      <c r="Z228" s="231">
        <v>0</v>
      </c>
      <c r="AA228" s="229">
        <v>0.1</v>
      </c>
      <c r="AB228" s="228" t="s">
        <v>1892</v>
      </c>
      <c r="AC228" s="191" t="s">
        <v>1896</v>
      </c>
      <c r="AD228" s="234">
        <v>0</v>
      </c>
      <c r="AE228" s="253">
        <v>0</v>
      </c>
      <c r="AF228" s="240"/>
      <c r="AG228" s="241"/>
      <c r="AH228" s="241"/>
      <c r="AI228" s="241"/>
      <c r="AJ228" s="241"/>
      <c r="AK228" s="241"/>
      <c r="AL228" s="241"/>
      <c r="AM228" s="241"/>
      <c r="AN228" s="241"/>
      <c r="AO228" s="241"/>
      <c r="AP228" s="241"/>
      <c r="AQ228" s="241"/>
      <c r="AR228" s="241"/>
      <c r="AS228" s="241"/>
      <c r="AT228" s="241"/>
      <c r="AU228" s="241"/>
      <c r="AV228" s="241"/>
      <c r="AW228" s="241"/>
      <c r="AX228" s="241"/>
      <c r="AY228" s="241"/>
      <c r="AZ228" s="241"/>
      <c r="BA228" s="241"/>
      <c r="BB228" s="241"/>
      <c r="BC228" s="241"/>
      <c r="BD228" s="241" t="str">
        <f>" " &amp; TEXT(AE228,"#0.00%") &amp; " " &amp; "수행결과 조치" &amp; "(PL)" &amp; " " &amp; IF(P228="","",TEXT(P228,"M/D-")) &amp; IF(Q228="","",TEXT(Q228,"M/D")) &amp; " "</f>
        <v xml:space="preserve"> 0.00% 수행결과 조치(PL) 8/4-8/8 </v>
      </c>
      <c r="BE228" s="241"/>
      <c r="BF228" s="241"/>
      <c r="BG228" s="241"/>
      <c r="BH228" s="241"/>
      <c r="BI228" s="241"/>
      <c r="BJ228" s="241"/>
      <c r="BK228" s="241"/>
      <c r="BL228" s="241"/>
      <c r="BM228" s="241"/>
      <c r="BN228" s="241"/>
      <c r="BO228" s="241"/>
      <c r="BP228" s="241"/>
      <c r="BQ228" s="241"/>
      <c r="BR228" s="241"/>
      <c r="BS228" s="241"/>
      <c r="BT228" s="241"/>
      <c r="BU228" s="241"/>
      <c r="BV228" s="241"/>
      <c r="BW228" s="241"/>
      <c r="BX228" s="241"/>
      <c r="BY228" s="241"/>
      <c r="BZ228" s="241"/>
      <c r="CA228" s="241"/>
      <c r="CB228" s="241"/>
      <c r="CC228" s="241"/>
      <c r="CD228" s="241"/>
      <c r="CE228" s="241"/>
      <c r="CF228" s="241"/>
      <c r="CG228" s="241"/>
    </row>
    <row r="229" spans="1:85" ht="12" customHeight="1" outlineLevel="2">
      <c r="A229" s="227"/>
      <c r="B229" s="227" t="s">
        <v>1766</v>
      </c>
      <c r="C229" s="227">
        <v>3</v>
      </c>
      <c r="D229" s="235" t="s">
        <v>2050</v>
      </c>
      <c r="E229" s="228"/>
      <c r="F229" s="228"/>
      <c r="G229" s="228" t="s">
        <v>1882</v>
      </c>
      <c r="H229" s="228"/>
      <c r="I229" s="228"/>
      <c r="J229" s="228"/>
      <c r="K229" s="228"/>
      <c r="L229" s="228"/>
      <c r="M229" s="228"/>
      <c r="N229" s="228"/>
      <c r="O229" s="228"/>
      <c r="P229" s="250">
        <v>45880</v>
      </c>
      <c r="Q229" s="250">
        <v>45922</v>
      </c>
      <c r="R229" s="228"/>
      <c r="S229" s="229">
        <v>4.5999999999999996</v>
      </c>
      <c r="T229" s="229">
        <v>0</v>
      </c>
      <c r="U229" s="229">
        <v>30</v>
      </c>
      <c r="V229" s="229">
        <v>0</v>
      </c>
      <c r="W229" s="250"/>
      <c r="X229" s="250"/>
      <c r="Y229" s="230">
        <v>0</v>
      </c>
      <c r="Z229" s="231">
        <v>0</v>
      </c>
      <c r="AA229" s="229"/>
      <c r="AB229" s="228"/>
      <c r="AC229" s="191"/>
      <c r="AD229" s="234">
        <v>0</v>
      </c>
      <c r="AE229" s="254">
        <v>0</v>
      </c>
      <c r="AF229" s="240"/>
      <c r="AG229" s="241"/>
      <c r="AH229" s="241"/>
      <c r="AI229" s="241"/>
      <c r="AJ229" s="241"/>
      <c r="AK229" s="241"/>
      <c r="AL229" s="241"/>
      <c r="AM229" s="241"/>
      <c r="AN229" s="241"/>
      <c r="AO229" s="241"/>
      <c r="AP229" s="241"/>
      <c r="AQ229" s="241"/>
      <c r="AR229" s="241"/>
      <c r="AS229" s="241"/>
      <c r="AT229" s="241"/>
      <c r="AU229" s="241"/>
      <c r="AV229" s="241"/>
      <c r="AW229" s="241"/>
      <c r="AX229" s="241"/>
      <c r="AY229" s="241"/>
      <c r="AZ229" s="241"/>
      <c r="BA229" s="241"/>
      <c r="BB229" s="241"/>
      <c r="BC229" s="241"/>
      <c r="BD229" s="241"/>
      <c r="BE229" s="241" t="str">
        <f>" " &amp; TEXT(AE229,"#0.00%") &amp; " "</f>
        <v xml:space="preserve"> 0.00% </v>
      </c>
      <c r="BF229" s="241"/>
      <c r="BG229" s="241"/>
      <c r="BH229" s="241"/>
      <c r="BI229" s="241"/>
      <c r="BJ229" s="241"/>
      <c r="BK229" s="241" t="str">
        <f>"  " &amp; "3차 3자테스트" &amp; " " &amp; IF(P229="","",TEXT(P229,"M/D-")) &amp; IF(Q229="","",TEXT(Q229,"M/D")) &amp; " "</f>
        <v xml:space="preserve">  3차 3자테스트 8/11-9/22 </v>
      </c>
      <c r="BL229" s="241"/>
      <c r="BM229" s="241"/>
      <c r="BN229" s="241"/>
      <c r="BO229" s="241"/>
      <c r="BP229" s="241"/>
      <c r="BQ229" s="241"/>
      <c r="BR229" s="241"/>
      <c r="BS229" s="241"/>
      <c r="BT229" s="241"/>
      <c r="BU229" s="241"/>
      <c r="BV229" s="241"/>
      <c r="BW229" s="241"/>
      <c r="BX229" s="241"/>
      <c r="BY229" s="241"/>
      <c r="BZ229" s="241"/>
      <c r="CA229" s="241"/>
      <c r="CB229" s="241"/>
      <c r="CC229" s="241"/>
      <c r="CD229" s="241"/>
      <c r="CE229" s="241"/>
      <c r="CF229" s="241"/>
      <c r="CG229" s="241"/>
    </row>
    <row r="230" spans="1:85" ht="12" customHeight="1" outlineLevel="3">
      <c r="A230" s="227"/>
      <c r="B230" s="227"/>
      <c r="C230" s="227">
        <v>4</v>
      </c>
      <c r="D230" s="235" t="s">
        <v>2051</v>
      </c>
      <c r="E230" s="228"/>
      <c r="F230" s="228"/>
      <c r="G230" s="228"/>
      <c r="H230" s="228" t="s">
        <v>1880</v>
      </c>
      <c r="I230" s="228"/>
      <c r="J230" s="228"/>
      <c r="K230" s="228"/>
      <c r="L230" s="228"/>
      <c r="M230" s="228"/>
      <c r="N230" s="228"/>
      <c r="O230" s="228"/>
      <c r="P230" s="250">
        <v>45880</v>
      </c>
      <c r="Q230" s="250">
        <v>45922</v>
      </c>
      <c r="R230" s="228"/>
      <c r="S230" s="229">
        <v>3</v>
      </c>
      <c r="T230" s="229">
        <v>0</v>
      </c>
      <c r="U230" s="229">
        <v>30</v>
      </c>
      <c r="V230" s="229">
        <v>0</v>
      </c>
      <c r="W230" s="250"/>
      <c r="X230" s="250"/>
      <c r="Y230" s="230"/>
      <c r="Z230" s="231">
        <v>0</v>
      </c>
      <c r="AA230" s="229">
        <v>0.1</v>
      </c>
      <c r="AB230" s="228" t="s">
        <v>1895</v>
      </c>
      <c r="AC230" s="191" t="s">
        <v>1896</v>
      </c>
      <c r="AD230" s="234">
        <v>0</v>
      </c>
      <c r="AE230" s="253">
        <v>0</v>
      </c>
      <c r="AF230" s="240"/>
      <c r="AG230" s="241"/>
      <c r="AH230" s="241"/>
      <c r="AI230" s="241"/>
      <c r="AJ230" s="241"/>
      <c r="AK230" s="241"/>
      <c r="AL230" s="241"/>
      <c r="AM230" s="241"/>
      <c r="AN230" s="241"/>
      <c r="AO230" s="241"/>
      <c r="AP230" s="241"/>
      <c r="AQ230" s="241"/>
      <c r="AR230" s="241"/>
      <c r="AS230" s="241"/>
      <c r="AT230" s="241"/>
      <c r="AU230" s="241"/>
      <c r="AV230" s="241"/>
      <c r="AW230" s="241"/>
      <c r="AX230" s="241"/>
      <c r="AY230" s="241"/>
      <c r="AZ230" s="241"/>
      <c r="BA230" s="241"/>
      <c r="BB230" s="241"/>
      <c r="BC230" s="241"/>
      <c r="BD230" s="241"/>
      <c r="BE230" s="241" t="str">
        <f>" " &amp; TEXT(AE230,"#0.00%") &amp; " "</f>
        <v xml:space="preserve"> 0.00% </v>
      </c>
      <c r="BF230" s="241"/>
      <c r="BG230" s="241"/>
      <c r="BH230" s="241"/>
      <c r="BI230" s="241"/>
      <c r="BJ230" s="241"/>
      <c r="BK230" s="241" t="str">
        <f>"  " &amp; "3자테스트 수행" &amp; "(3자테스터)" &amp; " " &amp; IF(P230="","",TEXT(P230,"M/D-")) &amp; IF(Q230="","",TEXT(Q230,"M/D")) &amp; " "</f>
        <v xml:space="preserve">  3자테스트 수행(3자테스터) 8/11-9/22 </v>
      </c>
      <c r="BL230" s="241"/>
      <c r="BM230" s="241"/>
      <c r="BN230" s="241"/>
      <c r="BO230" s="241"/>
      <c r="BP230" s="241"/>
      <c r="BQ230" s="241"/>
      <c r="BR230" s="241"/>
      <c r="BS230" s="241"/>
      <c r="BT230" s="241"/>
      <c r="BU230" s="241"/>
      <c r="BV230" s="241"/>
      <c r="BW230" s="241"/>
      <c r="BX230" s="241"/>
      <c r="BY230" s="241"/>
      <c r="BZ230" s="241"/>
      <c r="CA230" s="241"/>
      <c r="CB230" s="241"/>
      <c r="CC230" s="241"/>
      <c r="CD230" s="241"/>
      <c r="CE230" s="241"/>
      <c r="CF230" s="241"/>
      <c r="CG230" s="241"/>
    </row>
    <row r="231" spans="1:85" ht="12" customHeight="1" outlineLevel="3">
      <c r="A231" s="227"/>
      <c r="B231" s="227"/>
      <c r="C231" s="227">
        <v>4</v>
      </c>
      <c r="D231" s="235" t="s">
        <v>2052</v>
      </c>
      <c r="E231" s="228"/>
      <c r="F231" s="228"/>
      <c r="G231" s="228"/>
      <c r="H231" s="228" t="s">
        <v>1673</v>
      </c>
      <c r="I231" s="228"/>
      <c r="J231" s="228"/>
      <c r="K231" s="228"/>
      <c r="L231" s="228"/>
      <c r="M231" s="228"/>
      <c r="N231" s="228"/>
      <c r="O231" s="228"/>
      <c r="P231" s="250">
        <v>45901</v>
      </c>
      <c r="Q231" s="250">
        <v>45922</v>
      </c>
      <c r="R231" s="228"/>
      <c r="S231" s="229">
        <v>1.6</v>
      </c>
      <c r="T231" s="229">
        <v>0</v>
      </c>
      <c r="U231" s="229">
        <v>16</v>
      </c>
      <c r="V231" s="229">
        <v>0</v>
      </c>
      <c r="W231" s="250"/>
      <c r="X231" s="250"/>
      <c r="Y231" s="230"/>
      <c r="Z231" s="231">
        <v>0</v>
      </c>
      <c r="AA231" s="229">
        <v>0.1</v>
      </c>
      <c r="AB231" s="228" t="s">
        <v>1892</v>
      </c>
      <c r="AC231" s="191" t="s">
        <v>1896</v>
      </c>
      <c r="AD231" s="234">
        <v>0</v>
      </c>
      <c r="AE231" s="253">
        <v>0</v>
      </c>
      <c r="AF231" s="240"/>
      <c r="AG231" s="241"/>
      <c r="AH231" s="241"/>
      <c r="AI231" s="241"/>
      <c r="AJ231" s="241"/>
      <c r="AK231" s="241"/>
      <c r="AL231" s="241"/>
      <c r="AM231" s="241"/>
      <c r="AN231" s="241"/>
      <c r="AO231" s="241"/>
      <c r="AP231" s="241"/>
      <c r="AQ231" s="241"/>
      <c r="AR231" s="241"/>
      <c r="AS231" s="241"/>
      <c r="AT231" s="241"/>
      <c r="AU231" s="241"/>
      <c r="AV231" s="241"/>
      <c r="AW231" s="241"/>
      <c r="AX231" s="241"/>
      <c r="AY231" s="241"/>
      <c r="AZ231" s="241"/>
      <c r="BA231" s="241"/>
      <c r="BB231" s="241"/>
      <c r="BC231" s="241"/>
      <c r="BD231" s="241"/>
      <c r="BE231" s="241"/>
      <c r="BF231" s="241"/>
      <c r="BG231" s="241"/>
      <c r="BH231" s="241" t="str">
        <f>" " &amp; TEXT(AE231,"#0.00%") &amp; " "</f>
        <v xml:space="preserve"> 0.00% </v>
      </c>
      <c r="BI231" s="241"/>
      <c r="BJ231" s="241"/>
      <c r="BK231" s="241" t="str">
        <f>"  " &amp; "수행결과 조치" &amp; "(PL)" &amp; " " &amp; IF(P231="","",TEXT(P231,"M/D-")) &amp; IF(Q231="","",TEXT(Q231,"M/D")) &amp; " "</f>
        <v xml:space="preserve">  수행결과 조치(PL) 9/1-9/22 </v>
      </c>
      <c r="BL231" s="241"/>
      <c r="BM231" s="241"/>
      <c r="BN231" s="241"/>
      <c r="BO231" s="241"/>
      <c r="BP231" s="241"/>
      <c r="BQ231" s="241"/>
      <c r="BR231" s="241"/>
      <c r="BS231" s="241"/>
      <c r="BT231" s="241"/>
      <c r="BU231" s="241"/>
      <c r="BV231" s="241"/>
      <c r="BW231" s="241"/>
      <c r="BX231" s="241"/>
      <c r="BY231" s="241"/>
      <c r="BZ231" s="241"/>
      <c r="CA231" s="241"/>
      <c r="CB231" s="241"/>
      <c r="CC231" s="241"/>
      <c r="CD231" s="241"/>
      <c r="CE231" s="241"/>
      <c r="CF231" s="241"/>
      <c r="CG231" s="241"/>
    </row>
    <row r="232" spans="1:85" ht="12" customHeight="1" outlineLevel="1">
      <c r="A232" s="227"/>
      <c r="B232" s="227" t="s">
        <v>1766</v>
      </c>
      <c r="C232" s="227">
        <v>2</v>
      </c>
      <c r="D232" s="235" t="s">
        <v>2053</v>
      </c>
      <c r="E232" s="228"/>
      <c r="F232" s="228" t="s">
        <v>1875</v>
      </c>
      <c r="G232" s="228"/>
      <c r="H232" s="228"/>
      <c r="I232" s="228"/>
      <c r="J232" s="228"/>
      <c r="K232" s="228"/>
      <c r="L232" s="228"/>
      <c r="M232" s="228"/>
      <c r="N232" s="228"/>
      <c r="O232" s="228"/>
      <c r="P232" s="250">
        <v>45859</v>
      </c>
      <c r="Q232" s="250">
        <v>45926</v>
      </c>
      <c r="R232" s="228"/>
      <c r="S232" s="229">
        <v>16</v>
      </c>
      <c r="T232" s="229">
        <v>0</v>
      </c>
      <c r="U232" s="229">
        <v>49</v>
      </c>
      <c r="V232" s="229">
        <v>0</v>
      </c>
      <c r="W232" s="250"/>
      <c r="X232" s="250"/>
      <c r="Y232" s="230">
        <v>0</v>
      </c>
      <c r="Z232" s="231">
        <v>0</v>
      </c>
      <c r="AA232" s="229"/>
      <c r="AB232" s="228"/>
      <c r="AC232" s="191"/>
      <c r="AD232" s="234">
        <v>0</v>
      </c>
      <c r="AE232" s="254">
        <v>0</v>
      </c>
      <c r="AF232" s="240"/>
      <c r="AG232" s="241"/>
      <c r="AH232" s="241"/>
      <c r="AI232" s="241"/>
      <c r="AJ232" s="241"/>
      <c r="AK232" s="241"/>
      <c r="AL232" s="241"/>
      <c r="AM232" s="241"/>
      <c r="AN232" s="241"/>
      <c r="AO232" s="241"/>
      <c r="AP232" s="241"/>
      <c r="AQ232" s="241"/>
      <c r="AR232" s="241"/>
      <c r="AS232" s="241"/>
      <c r="AT232" s="241"/>
      <c r="AU232" s="241"/>
      <c r="AV232" s="241"/>
      <c r="AW232" s="241"/>
      <c r="AX232" s="241"/>
      <c r="AY232" s="241"/>
      <c r="AZ232" s="241"/>
      <c r="BA232" s="241"/>
      <c r="BB232" s="241" t="str">
        <f>" " &amp; TEXT(AE232,"#0.00%") &amp; " "</f>
        <v xml:space="preserve"> 0.00% </v>
      </c>
      <c r="BC232" s="241"/>
      <c r="BD232" s="241"/>
      <c r="BE232" s="241"/>
      <c r="BF232" s="241"/>
      <c r="BG232" s="241"/>
      <c r="BH232" s="241"/>
      <c r="BI232" s="241"/>
      <c r="BJ232" s="241"/>
      <c r="BK232" s="241" t="str">
        <f>"      " &amp; "성능테스트" &amp; " " &amp; IF(P232="","",TEXT(P232,"M/D-")) &amp; IF(Q232="","",TEXT(Q232,"M/D")) &amp; " "</f>
        <v xml:space="preserve">      성능테스트 7/21-9/26 </v>
      </c>
      <c r="BL232" s="241"/>
      <c r="BM232" s="241"/>
      <c r="BN232" s="241"/>
      <c r="BO232" s="241"/>
      <c r="BP232" s="241"/>
      <c r="BQ232" s="241"/>
      <c r="BR232" s="241"/>
      <c r="BS232" s="241"/>
      <c r="BT232" s="241"/>
      <c r="BU232" s="241"/>
      <c r="BV232" s="241"/>
      <c r="BW232" s="241"/>
      <c r="BX232" s="241"/>
      <c r="BY232" s="241"/>
      <c r="BZ232" s="241"/>
      <c r="CA232" s="241"/>
      <c r="CB232" s="241"/>
      <c r="CC232" s="241"/>
      <c r="CD232" s="241"/>
      <c r="CE232" s="241"/>
      <c r="CF232" s="241"/>
      <c r="CG232" s="241"/>
    </row>
    <row r="233" spans="1:85" ht="12" customHeight="1" outlineLevel="2">
      <c r="A233" s="227"/>
      <c r="B233" s="227" t="s">
        <v>1766</v>
      </c>
      <c r="C233" s="227">
        <v>3</v>
      </c>
      <c r="D233" s="235" t="s">
        <v>2054</v>
      </c>
      <c r="E233" s="228"/>
      <c r="F233" s="228"/>
      <c r="G233" s="228" t="s">
        <v>1876</v>
      </c>
      <c r="H233" s="228"/>
      <c r="I233" s="228"/>
      <c r="J233" s="228"/>
      <c r="K233" s="228"/>
      <c r="L233" s="228"/>
      <c r="M233" s="228"/>
      <c r="N233" s="228"/>
      <c r="O233" s="228"/>
      <c r="P233" s="250">
        <v>45859</v>
      </c>
      <c r="Q233" s="250">
        <v>45877</v>
      </c>
      <c r="R233" s="228"/>
      <c r="S233" s="229">
        <v>7</v>
      </c>
      <c r="T233" s="229">
        <v>0</v>
      </c>
      <c r="U233" s="229">
        <v>15</v>
      </c>
      <c r="V233" s="229">
        <v>0</v>
      </c>
      <c r="W233" s="250"/>
      <c r="X233" s="250"/>
      <c r="Y233" s="230">
        <v>0</v>
      </c>
      <c r="Z233" s="231">
        <v>0</v>
      </c>
      <c r="AA233" s="229"/>
      <c r="AB233" s="228"/>
      <c r="AC233" s="191"/>
      <c r="AD233" s="234">
        <v>0</v>
      </c>
      <c r="AE233" s="254">
        <v>0</v>
      </c>
      <c r="AF233" s="240"/>
      <c r="AG233" s="241"/>
      <c r="AH233" s="241"/>
      <c r="AI233" s="241"/>
      <c r="AJ233" s="241"/>
      <c r="AK233" s="241"/>
      <c r="AL233" s="241"/>
      <c r="AM233" s="241"/>
      <c r="AN233" s="241"/>
      <c r="AO233" s="241"/>
      <c r="AP233" s="241"/>
      <c r="AQ233" s="241"/>
      <c r="AR233" s="241"/>
      <c r="AS233" s="241"/>
      <c r="AT233" s="241"/>
      <c r="AU233" s="241"/>
      <c r="AV233" s="241"/>
      <c r="AW233" s="241"/>
      <c r="AX233" s="241"/>
      <c r="AY233" s="241"/>
      <c r="AZ233" s="241"/>
      <c r="BA233" s="241"/>
      <c r="BB233" s="241" t="str">
        <f>" " &amp; TEXT(AE233,"#0.00%") &amp; " " &amp; "1차 성능테스트" &amp; " " &amp; IF(P233="","",TEXT(P233,"M/D-")) &amp; IF(Q233="","",TEXT(Q233,"M/D")) &amp; " "</f>
        <v xml:space="preserve"> 0.00% 1차 성능테스트 7/21-8/8 </v>
      </c>
      <c r="BC233" s="241"/>
      <c r="BD233" s="241"/>
      <c r="BE233" s="241"/>
      <c r="BF233" s="241"/>
      <c r="BG233" s="241"/>
      <c r="BH233" s="241"/>
      <c r="BI233" s="241"/>
      <c r="BJ233" s="241"/>
      <c r="BK233" s="241"/>
      <c r="BL233" s="241"/>
      <c r="BM233" s="241"/>
      <c r="BN233" s="241"/>
      <c r="BO233" s="241"/>
      <c r="BP233" s="241"/>
      <c r="BQ233" s="241"/>
      <c r="BR233" s="241"/>
      <c r="BS233" s="241"/>
      <c r="BT233" s="241"/>
      <c r="BU233" s="241"/>
      <c r="BV233" s="241"/>
      <c r="BW233" s="241"/>
      <c r="BX233" s="241"/>
      <c r="BY233" s="241"/>
      <c r="BZ233" s="241"/>
      <c r="CA233" s="241"/>
      <c r="CB233" s="241"/>
      <c r="CC233" s="241"/>
      <c r="CD233" s="241"/>
      <c r="CE233" s="241"/>
      <c r="CF233" s="241"/>
      <c r="CG233" s="241"/>
    </row>
    <row r="234" spans="1:85" ht="12" customHeight="1" outlineLevel="3">
      <c r="A234" s="227"/>
      <c r="B234" s="227"/>
      <c r="C234" s="227">
        <v>4</v>
      </c>
      <c r="D234" s="235" t="s">
        <v>2055</v>
      </c>
      <c r="E234" s="228"/>
      <c r="F234" s="228"/>
      <c r="G234" s="228"/>
      <c r="H234" s="228" t="s">
        <v>1690</v>
      </c>
      <c r="I234" s="228"/>
      <c r="J234" s="228"/>
      <c r="K234" s="228"/>
      <c r="L234" s="228"/>
      <c r="M234" s="228"/>
      <c r="N234" s="228"/>
      <c r="O234" s="228"/>
      <c r="P234" s="250">
        <v>45859</v>
      </c>
      <c r="Q234" s="250">
        <v>45863</v>
      </c>
      <c r="R234" s="228"/>
      <c r="S234" s="229">
        <v>0.5</v>
      </c>
      <c r="T234" s="229">
        <v>0</v>
      </c>
      <c r="U234" s="229">
        <v>5</v>
      </c>
      <c r="V234" s="229">
        <v>0</v>
      </c>
      <c r="W234" s="250"/>
      <c r="X234" s="250"/>
      <c r="Y234" s="230"/>
      <c r="Z234" s="231">
        <v>0</v>
      </c>
      <c r="AA234" s="229">
        <v>0.1</v>
      </c>
      <c r="AB234" s="228" t="s">
        <v>1892</v>
      </c>
      <c r="AC234" s="191" t="s">
        <v>1897</v>
      </c>
      <c r="AD234" s="234">
        <v>0</v>
      </c>
      <c r="AE234" s="253">
        <v>0</v>
      </c>
      <c r="AF234" s="240"/>
      <c r="AG234" s="241"/>
      <c r="AH234" s="241"/>
      <c r="AI234" s="241"/>
      <c r="AJ234" s="241"/>
      <c r="AK234" s="241"/>
      <c r="AL234" s="241"/>
      <c r="AM234" s="241"/>
      <c r="AN234" s="241"/>
      <c r="AO234" s="241"/>
      <c r="AP234" s="241"/>
      <c r="AQ234" s="241"/>
      <c r="AR234" s="241"/>
      <c r="AS234" s="241"/>
      <c r="AT234" s="241"/>
      <c r="AU234" s="241"/>
      <c r="AV234" s="241"/>
      <c r="AW234" s="241"/>
      <c r="AX234" s="241"/>
      <c r="AY234" s="241"/>
      <c r="AZ234" s="241"/>
      <c r="BA234" s="241"/>
      <c r="BB234" s="241" t="str">
        <f>" " &amp; TEXT(AE234,"#0.00%") &amp; " " &amp; "성능테스트 계획수립 및 준비 " &amp; "(PL)" &amp; " " &amp; IF(P234="","",TEXT(P234,"M/D-")) &amp; IF(Q234="","",TEXT(Q234,"M/D")) &amp; " "</f>
        <v xml:space="preserve"> 0.00% 성능테스트 계획수립 및 준비 (PL) 7/21-7/25 </v>
      </c>
      <c r="BC234" s="241"/>
      <c r="BD234" s="241"/>
      <c r="BE234" s="241"/>
      <c r="BF234" s="241"/>
      <c r="BG234" s="241"/>
      <c r="BH234" s="241"/>
      <c r="BI234" s="241"/>
      <c r="BJ234" s="241"/>
      <c r="BK234" s="241"/>
      <c r="BL234" s="241"/>
      <c r="BM234" s="241"/>
      <c r="BN234" s="241"/>
      <c r="BO234" s="241"/>
      <c r="BP234" s="241"/>
      <c r="BQ234" s="241"/>
      <c r="BR234" s="241"/>
      <c r="BS234" s="241"/>
      <c r="BT234" s="241"/>
      <c r="BU234" s="241"/>
      <c r="BV234" s="241"/>
      <c r="BW234" s="241"/>
      <c r="BX234" s="241"/>
      <c r="BY234" s="241"/>
      <c r="BZ234" s="241"/>
      <c r="CA234" s="241"/>
      <c r="CB234" s="241"/>
      <c r="CC234" s="241"/>
      <c r="CD234" s="241"/>
      <c r="CE234" s="241"/>
      <c r="CF234" s="241"/>
      <c r="CG234" s="241"/>
    </row>
    <row r="235" spans="1:85" ht="12" customHeight="1" outlineLevel="3">
      <c r="A235" s="227"/>
      <c r="B235" s="227"/>
      <c r="C235" s="227">
        <v>4</v>
      </c>
      <c r="D235" s="235" t="s">
        <v>2056</v>
      </c>
      <c r="E235" s="228"/>
      <c r="F235" s="228"/>
      <c r="G235" s="228"/>
      <c r="H235" s="228" t="s">
        <v>1672</v>
      </c>
      <c r="I235" s="228"/>
      <c r="J235" s="228"/>
      <c r="K235" s="228"/>
      <c r="L235" s="228"/>
      <c r="M235" s="228"/>
      <c r="N235" s="228"/>
      <c r="O235" s="228"/>
      <c r="P235" s="250">
        <v>45866</v>
      </c>
      <c r="Q235" s="250">
        <v>45869</v>
      </c>
      <c r="R235" s="228"/>
      <c r="S235" s="229">
        <v>4</v>
      </c>
      <c r="T235" s="229">
        <v>0</v>
      </c>
      <c r="U235" s="229">
        <v>4</v>
      </c>
      <c r="V235" s="229">
        <v>0</v>
      </c>
      <c r="W235" s="250"/>
      <c r="X235" s="250"/>
      <c r="Y235" s="230"/>
      <c r="Z235" s="231">
        <v>0</v>
      </c>
      <c r="AA235" s="229">
        <v>1</v>
      </c>
      <c r="AB235" s="228" t="s">
        <v>1899</v>
      </c>
      <c r="AC235" s="191" t="s">
        <v>1898</v>
      </c>
      <c r="AD235" s="234">
        <v>0</v>
      </c>
      <c r="AE235" s="253">
        <v>0</v>
      </c>
      <c r="AF235" s="240"/>
      <c r="AG235" s="241"/>
      <c r="AH235" s="241"/>
      <c r="AI235" s="241"/>
      <c r="AJ235" s="241"/>
      <c r="AK235" s="241"/>
      <c r="AL235" s="241"/>
      <c r="AM235" s="241"/>
      <c r="AN235" s="241"/>
      <c r="AO235" s="241"/>
      <c r="AP235" s="241"/>
      <c r="AQ235" s="241"/>
      <c r="AR235" s="241"/>
      <c r="AS235" s="241"/>
      <c r="AT235" s="241"/>
      <c r="AU235" s="241"/>
      <c r="AV235" s="241"/>
      <c r="AW235" s="241"/>
      <c r="AX235" s="241"/>
      <c r="AY235" s="241"/>
      <c r="AZ235" s="241"/>
      <c r="BA235" s="241"/>
      <c r="BB235" s="241"/>
      <c r="BC235" s="241" t="str">
        <f>" " &amp; TEXT(AE235,"#0.00%") &amp; " " &amp; "성능테스트 수행" &amp; "(성능테스터)" &amp; " " &amp; IF(P235="","",TEXT(P235,"M/D-")) &amp; IF(Q235="","",TEXT(Q235,"M/D")) &amp; " "</f>
        <v xml:space="preserve"> 0.00% 성능테스트 수행(성능테스터) 7/28-7/31 </v>
      </c>
      <c r="BD235" s="241"/>
      <c r="BE235" s="241"/>
      <c r="BF235" s="241"/>
      <c r="BG235" s="241"/>
      <c r="BH235" s="241"/>
      <c r="BI235" s="241"/>
      <c r="BJ235" s="241"/>
      <c r="BK235" s="241"/>
      <c r="BL235" s="241"/>
      <c r="BM235" s="241"/>
      <c r="BN235" s="241"/>
      <c r="BO235" s="241"/>
      <c r="BP235" s="241"/>
      <c r="BQ235" s="241"/>
      <c r="BR235" s="241"/>
      <c r="BS235" s="241"/>
      <c r="BT235" s="241"/>
      <c r="BU235" s="241"/>
      <c r="BV235" s="241"/>
      <c r="BW235" s="241"/>
      <c r="BX235" s="241"/>
      <c r="BY235" s="241"/>
      <c r="BZ235" s="241"/>
      <c r="CA235" s="241"/>
      <c r="CB235" s="241"/>
      <c r="CC235" s="241"/>
      <c r="CD235" s="241"/>
      <c r="CE235" s="241"/>
      <c r="CF235" s="241"/>
      <c r="CG235" s="241"/>
    </row>
    <row r="236" spans="1:85" ht="12" customHeight="1" outlineLevel="3">
      <c r="A236" s="227"/>
      <c r="B236" s="227"/>
      <c r="C236" s="227">
        <v>4</v>
      </c>
      <c r="D236" s="235" t="s">
        <v>2057</v>
      </c>
      <c r="E236" s="228"/>
      <c r="F236" s="228"/>
      <c r="G236" s="228"/>
      <c r="H236" s="228" t="s">
        <v>1673</v>
      </c>
      <c r="I236" s="228"/>
      <c r="J236" s="228"/>
      <c r="K236" s="228"/>
      <c r="L236" s="228"/>
      <c r="M236" s="228"/>
      <c r="N236" s="228"/>
      <c r="O236" s="228"/>
      <c r="P236" s="250">
        <v>45873</v>
      </c>
      <c r="Q236" s="250">
        <v>45877</v>
      </c>
      <c r="R236" s="228"/>
      <c r="S236" s="229">
        <v>2.5</v>
      </c>
      <c r="T236" s="229">
        <v>0</v>
      </c>
      <c r="U236" s="229">
        <v>5</v>
      </c>
      <c r="V236" s="229">
        <v>0</v>
      </c>
      <c r="W236" s="250"/>
      <c r="X236" s="250"/>
      <c r="Y236" s="230"/>
      <c r="Z236" s="231">
        <v>0</v>
      </c>
      <c r="AA236" s="229">
        <v>0.5</v>
      </c>
      <c r="AB236" s="228" t="s">
        <v>1892</v>
      </c>
      <c r="AC236" s="191" t="s">
        <v>1898</v>
      </c>
      <c r="AD236" s="234">
        <v>0</v>
      </c>
      <c r="AE236" s="253">
        <v>0</v>
      </c>
      <c r="AF236" s="240"/>
      <c r="AG236" s="241"/>
      <c r="AH236" s="241"/>
      <c r="AI236" s="241"/>
      <c r="AJ236" s="241"/>
      <c r="AK236" s="241"/>
      <c r="AL236" s="241"/>
      <c r="AM236" s="241"/>
      <c r="AN236" s="241"/>
      <c r="AO236" s="241"/>
      <c r="AP236" s="241"/>
      <c r="AQ236" s="241"/>
      <c r="AR236" s="241"/>
      <c r="AS236" s="241"/>
      <c r="AT236" s="241"/>
      <c r="AU236" s="241"/>
      <c r="AV236" s="241"/>
      <c r="AW236" s="241"/>
      <c r="AX236" s="241"/>
      <c r="AY236" s="241"/>
      <c r="AZ236" s="241"/>
      <c r="BA236" s="241"/>
      <c r="BB236" s="241"/>
      <c r="BC236" s="241"/>
      <c r="BD236" s="241" t="str">
        <f>" " &amp; TEXT(AE236,"#0.00%") &amp; " " &amp; "수행결과 조치" &amp; "(PL)" &amp; " " &amp; IF(P236="","",TEXT(P236,"M/D-")) &amp; IF(Q236="","",TEXT(Q236,"M/D")) &amp; " "</f>
        <v xml:space="preserve"> 0.00% 수행결과 조치(PL) 8/4-8/8 </v>
      </c>
      <c r="BE236" s="241"/>
      <c r="BF236" s="241"/>
      <c r="BG236" s="241"/>
      <c r="BH236" s="241"/>
      <c r="BI236" s="241"/>
      <c r="BJ236" s="241"/>
      <c r="BK236" s="241"/>
      <c r="BL236" s="241"/>
      <c r="BM236" s="241"/>
      <c r="BN236" s="241"/>
      <c r="BO236" s="241"/>
      <c r="BP236" s="241"/>
      <c r="BQ236" s="241"/>
      <c r="BR236" s="241"/>
      <c r="BS236" s="241"/>
      <c r="BT236" s="241"/>
      <c r="BU236" s="241"/>
      <c r="BV236" s="241"/>
      <c r="BW236" s="241"/>
      <c r="BX236" s="241"/>
      <c r="BY236" s="241"/>
      <c r="BZ236" s="241"/>
      <c r="CA236" s="241"/>
      <c r="CB236" s="241"/>
      <c r="CC236" s="241"/>
      <c r="CD236" s="241"/>
      <c r="CE236" s="241"/>
      <c r="CF236" s="241"/>
      <c r="CG236" s="241"/>
    </row>
    <row r="237" spans="1:85" ht="12" customHeight="1" outlineLevel="2">
      <c r="A237" s="227"/>
      <c r="B237" s="227" t="s">
        <v>1766</v>
      </c>
      <c r="C237" s="227">
        <v>3</v>
      </c>
      <c r="D237" s="235" t="s">
        <v>2058</v>
      </c>
      <c r="E237" s="228"/>
      <c r="F237" s="228"/>
      <c r="G237" s="228" t="s">
        <v>1874</v>
      </c>
      <c r="H237" s="228"/>
      <c r="I237" s="228"/>
      <c r="J237" s="228"/>
      <c r="K237" s="228"/>
      <c r="L237" s="228"/>
      <c r="M237" s="228"/>
      <c r="N237" s="228"/>
      <c r="O237" s="228"/>
      <c r="P237" s="250">
        <v>45870</v>
      </c>
      <c r="Q237" s="250">
        <v>45926</v>
      </c>
      <c r="R237" s="228"/>
      <c r="S237" s="229">
        <v>9</v>
      </c>
      <c r="T237" s="229">
        <v>0</v>
      </c>
      <c r="U237" s="229">
        <v>40</v>
      </c>
      <c r="V237" s="229">
        <v>0</v>
      </c>
      <c r="W237" s="250"/>
      <c r="X237" s="250"/>
      <c r="Y237" s="230">
        <v>0</v>
      </c>
      <c r="Z237" s="231">
        <v>0</v>
      </c>
      <c r="AA237" s="229"/>
      <c r="AB237" s="228"/>
      <c r="AC237" s="191"/>
      <c r="AD237" s="234">
        <v>0</v>
      </c>
      <c r="AE237" s="254">
        <v>0</v>
      </c>
      <c r="AF237" s="240"/>
      <c r="AG237" s="241"/>
      <c r="AH237" s="241"/>
      <c r="AI237" s="241"/>
      <c r="AJ237" s="241"/>
      <c r="AK237" s="241"/>
      <c r="AL237" s="241"/>
      <c r="AM237" s="241"/>
      <c r="AN237" s="241"/>
      <c r="AO237" s="241"/>
      <c r="AP237" s="241"/>
      <c r="AQ237" s="241"/>
      <c r="AR237" s="241"/>
      <c r="AS237" s="241"/>
      <c r="AT237" s="241"/>
      <c r="AU237" s="241"/>
      <c r="AV237" s="241"/>
      <c r="AW237" s="241"/>
      <c r="AX237" s="241"/>
      <c r="AY237" s="241"/>
      <c r="AZ237" s="241"/>
      <c r="BA237" s="241"/>
      <c r="BB237" s="241"/>
      <c r="BC237" s="241" t="str">
        <f>"     " &amp; TEXT(AE237,"#0.00%") &amp; " "</f>
        <v xml:space="preserve">     0.00% </v>
      </c>
      <c r="BD237" s="241"/>
      <c r="BE237" s="241"/>
      <c r="BF237" s="241"/>
      <c r="BG237" s="241"/>
      <c r="BH237" s="241"/>
      <c r="BI237" s="241"/>
      <c r="BJ237" s="241"/>
      <c r="BK237" s="241" t="str">
        <f>"      " &amp; "2차 성능테스트" &amp; " " &amp; IF(P237="","",TEXT(P237,"M/D-")) &amp; IF(Q237="","",TEXT(Q237,"M/D")) &amp; " "</f>
        <v xml:space="preserve">      2차 성능테스트 8/1-9/26 </v>
      </c>
      <c r="BL237" s="241"/>
      <c r="BM237" s="241"/>
      <c r="BN237" s="241"/>
      <c r="BO237" s="241"/>
      <c r="BP237" s="241"/>
      <c r="BQ237" s="241"/>
      <c r="BR237" s="241"/>
      <c r="BS237" s="241"/>
      <c r="BT237" s="241"/>
      <c r="BU237" s="241"/>
      <c r="BV237" s="241"/>
      <c r="BW237" s="241"/>
      <c r="BX237" s="241"/>
      <c r="BY237" s="241"/>
      <c r="BZ237" s="241"/>
      <c r="CA237" s="241"/>
      <c r="CB237" s="241"/>
      <c r="CC237" s="241"/>
      <c r="CD237" s="241"/>
      <c r="CE237" s="241"/>
      <c r="CF237" s="241"/>
      <c r="CG237" s="241"/>
    </row>
    <row r="238" spans="1:85" ht="12" customHeight="1" outlineLevel="3">
      <c r="A238" s="227"/>
      <c r="B238" s="227"/>
      <c r="C238" s="227">
        <v>4</v>
      </c>
      <c r="D238" s="235" t="s">
        <v>2059</v>
      </c>
      <c r="E238" s="228"/>
      <c r="F238" s="228"/>
      <c r="G238" s="228"/>
      <c r="H238" s="228" t="s">
        <v>1690</v>
      </c>
      <c r="I238" s="228"/>
      <c r="J238" s="228"/>
      <c r="K238" s="228"/>
      <c r="L238" s="228"/>
      <c r="M238" s="228"/>
      <c r="N238" s="228"/>
      <c r="O238" s="228"/>
      <c r="P238" s="250">
        <v>45870</v>
      </c>
      <c r="Q238" s="250">
        <v>45891</v>
      </c>
      <c r="R238" s="228"/>
      <c r="S238" s="229">
        <v>1.5</v>
      </c>
      <c r="T238" s="229">
        <v>0</v>
      </c>
      <c r="U238" s="229">
        <v>15</v>
      </c>
      <c r="V238" s="229">
        <v>0</v>
      </c>
      <c r="W238" s="250"/>
      <c r="X238" s="250"/>
      <c r="Y238" s="230"/>
      <c r="Z238" s="231">
        <v>0</v>
      </c>
      <c r="AA238" s="229">
        <v>0.1</v>
      </c>
      <c r="AB238" s="228" t="s">
        <v>1892</v>
      </c>
      <c r="AC238" s="191" t="s">
        <v>1897</v>
      </c>
      <c r="AD238" s="234">
        <v>0</v>
      </c>
      <c r="AE238" s="253">
        <v>0</v>
      </c>
      <c r="AF238" s="240"/>
      <c r="AG238" s="241"/>
      <c r="AH238" s="241"/>
      <c r="AI238" s="241"/>
      <c r="AJ238" s="241"/>
      <c r="AK238" s="241"/>
      <c r="AL238" s="241"/>
      <c r="AM238" s="241"/>
      <c r="AN238" s="241"/>
      <c r="AO238" s="241"/>
      <c r="AP238" s="241"/>
      <c r="AQ238" s="241"/>
      <c r="AR238" s="241"/>
      <c r="AS238" s="241"/>
      <c r="AT238" s="241"/>
      <c r="AU238" s="241"/>
      <c r="AV238" s="241"/>
      <c r="AW238" s="241"/>
      <c r="AX238" s="241"/>
      <c r="AY238" s="241"/>
      <c r="AZ238" s="241"/>
      <c r="BA238" s="241"/>
      <c r="BB238" s="241"/>
      <c r="BC238" s="241" t="str">
        <f>"     " &amp; TEXT(AE238,"#0.00%") &amp; " " &amp; "성능테스트 계획수립 및 준비 " &amp; "(PL)" &amp; " " &amp; IF(P238="","",TEXT(P238,"M/D-")) &amp; IF(Q238="","",TEXT(Q238,"M/D")) &amp; " "</f>
        <v xml:space="preserve">     0.00% 성능테스트 계획수립 및 준비 (PL) 8/1-8/22 </v>
      </c>
      <c r="BD238" s="241"/>
      <c r="BE238" s="241"/>
      <c r="BF238" s="241"/>
      <c r="BG238" s="241"/>
      <c r="BH238" s="241"/>
      <c r="BI238" s="241"/>
      <c r="BJ238" s="241"/>
      <c r="BK238" s="241"/>
      <c r="BL238" s="241"/>
      <c r="BM238" s="241"/>
      <c r="BN238" s="241"/>
      <c r="BO238" s="241"/>
      <c r="BP238" s="241"/>
      <c r="BQ238" s="241"/>
      <c r="BR238" s="241"/>
      <c r="BS238" s="241"/>
      <c r="BT238" s="241"/>
      <c r="BU238" s="241"/>
      <c r="BV238" s="241"/>
      <c r="BW238" s="241"/>
      <c r="BX238" s="241"/>
      <c r="BY238" s="241"/>
      <c r="BZ238" s="241"/>
      <c r="CA238" s="241"/>
      <c r="CB238" s="241"/>
      <c r="CC238" s="241"/>
      <c r="CD238" s="241"/>
      <c r="CE238" s="241"/>
      <c r="CF238" s="241"/>
      <c r="CG238" s="241"/>
    </row>
    <row r="239" spans="1:85" ht="12" customHeight="1" outlineLevel="3">
      <c r="A239" s="227"/>
      <c r="B239" s="227"/>
      <c r="C239" s="227">
        <v>4</v>
      </c>
      <c r="D239" s="235" t="s">
        <v>2060</v>
      </c>
      <c r="E239" s="228"/>
      <c r="F239" s="228"/>
      <c r="G239" s="228"/>
      <c r="H239" s="228" t="s">
        <v>1672</v>
      </c>
      <c r="I239" s="228"/>
      <c r="J239" s="228"/>
      <c r="K239" s="228"/>
      <c r="L239" s="228"/>
      <c r="M239" s="228"/>
      <c r="N239" s="228"/>
      <c r="O239" s="228"/>
      <c r="P239" s="250">
        <v>45915</v>
      </c>
      <c r="Q239" s="250">
        <v>45919</v>
      </c>
      <c r="R239" s="228"/>
      <c r="S239" s="229">
        <v>5</v>
      </c>
      <c r="T239" s="229">
        <v>0</v>
      </c>
      <c r="U239" s="229">
        <v>5</v>
      </c>
      <c r="V239" s="229">
        <v>0</v>
      </c>
      <c r="W239" s="250"/>
      <c r="X239" s="250"/>
      <c r="Y239" s="230"/>
      <c r="Z239" s="231">
        <v>0</v>
      </c>
      <c r="AA239" s="229">
        <v>1</v>
      </c>
      <c r="AB239" s="228" t="s">
        <v>1899</v>
      </c>
      <c r="AC239" s="191" t="s">
        <v>1898</v>
      </c>
      <c r="AD239" s="234">
        <v>0</v>
      </c>
      <c r="AE239" s="253">
        <v>0</v>
      </c>
      <c r="AF239" s="240"/>
      <c r="AG239" s="241"/>
      <c r="AH239" s="241"/>
      <c r="AI239" s="241"/>
      <c r="AJ239" s="241"/>
      <c r="AK239" s="241"/>
      <c r="AL239" s="241"/>
      <c r="AM239" s="241"/>
      <c r="AN239" s="241"/>
      <c r="AO239" s="241"/>
      <c r="AP239" s="241"/>
      <c r="AQ239" s="241"/>
      <c r="AR239" s="241"/>
      <c r="AS239" s="241"/>
      <c r="AT239" s="241"/>
      <c r="AU239" s="241"/>
      <c r="AV239" s="241"/>
      <c r="AW239" s="241"/>
      <c r="AX239" s="241"/>
      <c r="AY239" s="241"/>
      <c r="AZ239" s="241"/>
      <c r="BA239" s="241"/>
      <c r="BB239" s="241"/>
      <c r="BC239" s="241"/>
      <c r="BD239" s="241"/>
      <c r="BE239" s="241"/>
      <c r="BF239" s="241"/>
      <c r="BG239" s="241"/>
      <c r="BH239" s="241"/>
      <c r="BI239" s="241"/>
      <c r="BJ239" s="241" t="str">
        <f>" " &amp; TEXT(AE239,"#0.00%") &amp; " " &amp; "성능테스트 수행" &amp; "(성능테스터)" &amp; " " &amp; IF(P239="","",TEXT(P239,"M/D-")) &amp; IF(Q239="","",TEXT(Q239,"M/D")) &amp; " "</f>
        <v xml:space="preserve"> 0.00% 성능테스트 수행(성능테스터) 9/15-9/19 </v>
      </c>
      <c r="BK239" s="241"/>
      <c r="BL239" s="241"/>
      <c r="BM239" s="241"/>
      <c r="BN239" s="241"/>
      <c r="BO239" s="241"/>
      <c r="BP239" s="241"/>
      <c r="BQ239" s="241"/>
      <c r="BR239" s="241"/>
      <c r="BS239" s="241"/>
      <c r="BT239" s="241"/>
      <c r="BU239" s="241"/>
      <c r="BV239" s="241"/>
      <c r="BW239" s="241"/>
      <c r="BX239" s="241"/>
      <c r="BY239" s="241"/>
      <c r="BZ239" s="241"/>
      <c r="CA239" s="241"/>
      <c r="CB239" s="241"/>
      <c r="CC239" s="241"/>
      <c r="CD239" s="241"/>
      <c r="CE239" s="241"/>
      <c r="CF239" s="241"/>
      <c r="CG239" s="241"/>
    </row>
    <row r="240" spans="1:85" ht="12" customHeight="1" outlineLevel="3">
      <c r="A240" s="227"/>
      <c r="B240" s="227"/>
      <c r="C240" s="227">
        <v>4</v>
      </c>
      <c r="D240" s="235" t="s">
        <v>2061</v>
      </c>
      <c r="E240" s="228"/>
      <c r="F240" s="228"/>
      <c r="G240" s="228"/>
      <c r="H240" s="228" t="s">
        <v>1673</v>
      </c>
      <c r="I240" s="228"/>
      <c r="J240" s="228"/>
      <c r="K240" s="228"/>
      <c r="L240" s="228"/>
      <c r="M240" s="228"/>
      <c r="N240" s="228"/>
      <c r="O240" s="228"/>
      <c r="P240" s="250">
        <v>45922</v>
      </c>
      <c r="Q240" s="250">
        <v>45926</v>
      </c>
      <c r="R240" s="228"/>
      <c r="S240" s="229">
        <v>2.5</v>
      </c>
      <c r="T240" s="229">
        <v>0</v>
      </c>
      <c r="U240" s="229">
        <v>5</v>
      </c>
      <c r="V240" s="229">
        <v>0</v>
      </c>
      <c r="W240" s="250"/>
      <c r="X240" s="250"/>
      <c r="Y240" s="230"/>
      <c r="Z240" s="231">
        <v>0</v>
      </c>
      <c r="AA240" s="229">
        <v>0.5</v>
      </c>
      <c r="AB240" s="228" t="s">
        <v>1892</v>
      </c>
      <c r="AC240" s="191" t="s">
        <v>1898</v>
      </c>
      <c r="AD240" s="234">
        <v>0</v>
      </c>
      <c r="AE240" s="253">
        <v>0</v>
      </c>
      <c r="AF240" s="240"/>
      <c r="AG240" s="241"/>
      <c r="AH240" s="241"/>
      <c r="AI240" s="241"/>
      <c r="AJ240" s="241"/>
      <c r="AK240" s="241"/>
      <c r="AL240" s="241"/>
      <c r="AM240" s="241"/>
      <c r="AN240" s="241"/>
      <c r="AO240" s="241"/>
      <c r="AP240" s="241"/>
      <c r="AQ240" s="241"/>
      <c r="AR240" s="241"/>
      <c r="AS240" s="241"/>
      <c r="AT240" s="241"/>
      <c r="AU240" s="241"/>
      <c r="AV240" s="241"/>
      <c r="AW240" s="241"/>
      <c r="AX240" s="241"/>
      <c r="AY240" s="241"/>
      <c r="AZ240" s="241"/>
      <c r="BA240" s="241"/>
      <c r="BB240" s="241"/>
      <c r="BC240" s="241"/>
      <c r="BD240" s="241"/>
      <c r="BE240" s="241"/>
      <c r="BF240" s="241"/>
      <c r="BG240" s="241"/>
      <c r="BH240" s="241"/>
      <c r="BI240" s="241"/>
      <c r="BJ240" s="241"/>
      <c r="BK240" s="241" t="str">
        <f>" " &amp; TEXT(AE240,"#0.00%") &amp; " " &amp; "수행결과 조치" &amp; "(PL)" &amp; " " &amp; IF(P240="","",TEXT(P240,"M/D-")) &amp; IF(Q240="","",TEXT(Q240,"M/D")) &amp; " "</f>
        <v xml:space="preserve"> 0.00% 수행결과 조치(PL) 9/22-9/26 </v>
      </c>
      <c r="BL240" s="241"/>
      <c r="BM240" s="241"/>
      <c r="BN240" s="241"/>
      <c r="BO240" s="241"/>
      <c r="BP240" s="241"/>
      <c r="BQ240" s="241"/>
      <c r="BR240" s="241"/>
      <c r="BS240" s="241"/>
      <c r="BT240" s="241"/>
      <c r="BU240" s="241"/>
      <c r="BV240" s="241"/>
      <c r="BW240" s="241"/>
      <c r="BX240" s="241"/>
      <c r="BY240" s="241"/>
      <c r="BZ240" s="241"/>
      <c r="CA240" s="241"/>
      <c r="CB240" s="241"/>
      <c r="CC240" s="241"/>
      <c r="CD240" s="241"/>
      <c r="CE240" s="241"/>
      <c r="CF240" s="241"/>
      <c r="CG240" s="241"/>
    </row>
    <row r="241" spans="1:85" ht="12" customHeight="1" outlineLevel="1">
      <c r="A241" s="227"/>
      <c r="B241" s="227" t="s">
        <v>1766</v>
      </c>
      <c r="C241" s="227">
        <v>2</v>
      </c>
      <c r="D241" s="235" t="s">
        <v>2062</v>
      </c>
      <c r="E241" s="228"/>
      <c r="F241" s="228" t="s">
        <v>1680</v>
      </c>
      <c r="G241" s="228"/>
      <c r="H241" s="228"/>
      <c r="I241" s="228"/>
      <c r="J241" s="228"/>
      <c r="K241" s="228"/>
      <c r="L241" s="228"/>
      <c r="M241" s="228"/>
      <c r="N241" s="228"/>
      <c r="O241" s="228"/>
      <c r="P241" s="250">
        <v>45870</v>
      </c>
      <c r="Q241" s="250">
        <v>46020</v>
      </c>
      <c r="R241" s="228"/>
      <c r="S241" s="229">
        <v>95.5</v>
      </c>
      <c r="T241" s="229">
        <v>0</v>
      </c>
      <c r="U241" s="229">
        <v>100</v>
      </c>
      <c r="V241" s="229">
        <v>0</v>
      </c>
      <c r="W241" s="250"/>
      <c r="X241" s="250"/>
      <c r="Y241" s="230">
        <v>0</v>
      </c>
      <c r="Z241" s="231">
        <v>0</v>
      </c>
      <c r="AA241" s="229"/>
      <c r="AB241" s="228"/>
      <c r="AC241" s="191"/>
      <c r="AD241" s="234">
        <v>0</v>
      </c>
      <c r="AE241" s="254">
        <v>0</v>
      </c>
      <c r="AF241" s="240"/>
      <c r="AG241" s="241"/>
      <c r="AH241" s="241"/>
      <c r="AI241" s="241"/>
      <c r="AJ241" s="241"/>
      <c r="AK241" s="241"/>
      <c r="AL241" s="241"/>
      <c r="AM241" s="241"/>
      <c r="AN241" s="241"/>
      <c r="AO241" s="241"/>
      <c r="AP241" s="241"/>
      <c r="AQ241" s="241"/>
      <c r="AR241" s="241"/>
      <c r="AS241" s="241"/>
      <c r="AT241" s="241"/>
      <c r="AU241" s="241"/>
      <c r="AV241" s="241"/>
      <c r="AW241" s="241"/>
      <c r="AX241" s="241"/>
      <c r="AY241" s="241"/>
      <c r="AZ241" s="241"/>
      <c r="BA241" s="241"/>
      <c r="BB241" s="241"/>
      <c r="BC241" s="241" t="str">
        <f>"     " &amp; TEXT(AE241,"#0.00%") &amp; " "</f>
        <v xml:space="preserve">     0.00% </v>
      </c>
      <c r="BD241" s="241"/>
      <c r="BE241" s="241"/>
      <c r="BF241" s="241"/>
      <c r="BG241" s="241"/>
      <c r="BH241" s="241"/>
      <c r="BI241" s="241"/>
      <c r="BJ241" s="241"/>
      <c r="BK241" s="241"/>
      <c r="BL241" s="241"/>
      <c r="BM241" s="241"/>
      <c r="BN241" s="241"/>
      <c r="BO241" s="241"/>
      <c r="BP241" s="241"/>
      <c r="BQ241" s="241"/>
      <c r="BR241" s="241"/>
      <c r="BS241" s="241"/>
      <c r="BT241" s="241"/>
      <c r="BU241" s="241"/>
      <c r="BV241" s="241"/>
      <c r="BW241" s="241"/>
      <c r="BX241" s="241"/>
      <c r="BY241" s="241" t="str">
        <f>"  " &amp; "데이터 전환" &amp; " " &amp; IF(P241="","",TEXT(P241,"M/D-")) &amp; IF(Q241="","",TEXT(Q241,"M/D")) &amp; " "</f>
        <v xml:space="preserve">  데이터 전환 8/1-12/29 </v>
      </c>
      <c r="BZ241" s="241"/>
      <c r="CA241" s="241"/>
      <c r="CB241" s="241"/>
      <c r="CC241" s="241"/>
      <c r="CD241" s="241"/>
      <c r="CE241" s="241"/>
      <c r="CF241" s="241"/>
      <c r="CG241" s="241"/>
    </row>
    <row r="242" spans="1:85" ht="12" customHeight="1" outlineLevel="2">
      <c r="A242" s="227"/>
      <c r="B242" s="227"/>
      <c r="C242" s="227">
        <v>3</v>
      </c>
      <c r="D242" s="235" t="s">
        <v>2063</v>
      </c>
      <c r="E242" s="228"/>
      <c r="F242" s="228"/>
      <c r="G242" s="228" t="s">
        <v>1681</v>
      </c>
      <c r="H242" s="228"/>
      <c r="I242" s="228"/>
      <c r="J242" s="228"/>
      <c r="K242" s="228"/>
      <c r="L242" s="228"/>
      <c r="M242" s="228"/>
      <c r="N242" s="228"/>
      <c r="O242" s="228"/>
      <c r="P242" s="250">
        <v>45870</v>
      </c>
      <c r="Q242" s="250">
        <v>46010</v>
      </c>
      <c r="R242" s="228"/>
      <c r="S242" s="229">
        <v>9.5</v>
      </c>
      <c r="T242" s="229">
        <v>0</v>
      </c>
      <c r="U242" s="229">
        <v>95</v>
      </c>
      <c r="V242" s="229">
        <v>0</v>
      </c>
      <c r="W242" s="250"/>
      <c r="X242" s="250"/>
      <c r="Y242" s="230"/>
      <c r="Z242" s="231">
        <v>0</v>
      </c>
      <c r="AA242" s="229">
        <v>0.1</v>
      </c>
      <c r="AB242" s="228" t="s">
        <v>1892</v>
      </c>
      <c r="AC242" s="191" t="s">
        <v>1900</v>
      </c>
      <c r="AD242" s="234">
        <v>0</v>
      </c>
      <c r="AE242" s="253">
        <v>0</v>
      </c>
      <c r="AF242" s="240"/>
      <c r="AG242" s="241"/>
      <c r="AH242" s="241"/>
      <c r="AI242" s="241"/>
      <c r="AJ242" s="241"/>
      <c r="AK242" s="241"/>
      <c r="AL242" s="241"/>
      <c r="AM242" s="241"/>
      <c r="AN242" s="241"/>
      <c r="AO242" s="241"/>
      <c r="AP242" s="241"/>
      <c r="AQ242" s="241"/>
      <c r="AR242" s="241"/>
      <c r="AS242" s="241"/>
      <c r="AT242" s="241"/>
      <c r="AU242" s="241"/>
      <c r="AV242" s="241"/>
      <c r="AW242" s="241"/>
      <c r="AX242" s="241"/>
      <c r="AY242" s="241"/>
      <c r="AZ242" s="241"/>
      <c r="BA242" s="241"/>
      <c r="BB242" s="241"/>
      <c r="BC242" s="241" t="str">
        <f>"     " &amp; TEXT(AE242,"#0.00%") &amp; " "</f>
        <v xml:space="preserve">     0.00% </v>
      </c>
      <c r="BD242" s="241"/>
      <c r="BE242" s="241"/>
      <c r="BF242" s="241"/>
      <c r="BG242" s="241"/>
      <c r="BH242" s="241"/>
      <c r="BI242" s="241"/>
      <c r="BJ242" s="241"/>
      <c r="BK242" s="241"/>
      <c r="BL242" s="241"/>
      <c r="BM242" s="241"/>
      <c r="BN242" s="241"/>
      <c r="BO242" s="241"/>
      <c r="BP242" s="241"/>
      <c r="BQ242" s="241"/>
      <c r="BR242" s="241"/>
      <c r="BS242" s="241"/>
      <c r="BT242" s="241"/>
      <c r="BU242" s="241"/>
      <c r="BV242" s="241"/>
      <c r="BW242" s="241" t="str">
        <f>"      " &amp; "전환 계획 수립 " &amp; "(PL)" &amp; " " &amp; IF(P242="","",TEXT(P242,"M/D-")) &amp; IF(Q242="","",TEXT(Q242,"M/D")) &amp; " "</f>
        <v xml:space="preserve">      전환 계획 수립 (PL) 8/1-12/19 </v>
      </c>
      <c r="BX242" s="241"/>
      <c r="BY242" s="241"/>
      <c r="BZ242" s="241"/>
      <c r="CA242" s="241"/>
      <c r="CB242" s="241"/>
      <c r="CC242" s="241"/>
      <c r="CD242" s="241"/>
      <c r="CE242" s="241"/>
      <c r="CF242" s="241"/>
      <c r="CG242" s="241"/>
    </row>
    <row r="243" spans="1:85" ht="12" customHeight="1" outlineLevel="2">
      <c r="A243" s="227"/>
      <c r="B243" s="227"/>
      <c r="C243" s="227">
        <v>3</v>
      </c>
      <c r="D243" s="235" t="s">
        <v>2064</v>
      </c>
      <c r="E243" s="228"/>
      <c r="F243" s="228"/>
      <c r="G243" s="228" t="s">
        <v>1682</v>
      </c>
      <c r="H243" s="228"/>
      <c r="I243" s="228"/>
      <c r="J243" s="228"/>
      <c r="K243" s="228"/>
      <c r="L243" s="228"/>
      <c r="M243" s="228"/>
      <c r="N243" s="228"/>
      <c r="O243" s="228"/>
      <c r="P243" s="250">
        <v>45870</v>
      </c>
      <c r="Q243" s="250">
        <v>45883</v>
      </c>
      <c r="R243" s="228"/>
      <c r="S243" s="229">
        <v>3</v>
      </c>
      <c r="T243" s="229">
        <v>0</v>
      </c>
      <c r="U243" s="229">
        <v>10</v>
      </c>
      <c r="V243" s="229">
        <v>0</v>
      </c>
      <c r="W243" s="250"/>
      <c r="X243" s="250"/>
      <c r="Y243" s="230"/>
      <c r="Z243" s="231">
        <v>0</v>
      </c>
      <c r="AA243" s="229">
        <v>0.3</v>
      </c>
      <c r="AB243" s="228" t="s">
        <v>1892</v>
      </c>
      <c r="AC243" s="191" t="s">
        <v>1900</v>
      </c>
      <c r="AD243" s="234">
        <v>0</v>
      </c>
      <c r="AE243" s="253">
        <v>0</v>
      </c>
      <c r="AF243" s="240"/>
      <c r="AG243" s="241"/>
      <c r="AH243" s="241"/>
      <c r="AI243" s="241"/>
      <c r="AJ243" s="241"/>
      <c r="AK243" s="241"/>
      <c r="AL243" s="241"/>
      <c r="AM243" s="241"/>
      <c r="AN243" s="241"/>
      <c r="AO243" s="241"/>
      <c r="AP243" s="241"/>
      <c r="AQ243" s="241"/>
      <c r="AR243" s="241"/>
      <c r="AS243" s="241"/>
      <c r="AT243" s="241"/>
      <c r="AU243" s="241"/>
      <c r="AV243" s="241"/>
      <c r="AW243" s="241"/>
      <c r="AX243" s="241"/>
      <c r="AY243" s="241"/>
      <c r="AZ243" s="241"/>
      <c r="BA243" s="241"/>
      <c r="BB243" s="241"/>
      <c r="BC243" s="241" t="str">
        <f>"     " &amp; TEXT(AE243,"#0.00%") &amp; " " &amp; "전환 분석 " &amp; "(PL)" &amp; " " &amp; IF(P243="","",TEXT(P243,"M/D-")) &amp; IF(Q243="","",TEXT(Q243,"M/D")) &amp; " "</f>
        <v xml:space="preserve">     0.00% 전환 분석 (PL) 8/1-8/14 </v>
      </c>
      <c r="BD243" s="241"/>
      <c r="BE243" s="241"/>
      <c r="BF243" s="241"/>
      <c r="BG243" s="241"/>
      <c r="BH243" s="241"/>
      <c r="BI243" s="241"/>
      <c r="BJ243" s="241"/>
      <c r="BK243" s="241"/>
      <c r="BL243" s="241"/>
      <c r="BM243" s="241"/>
      <c r="BN243" s="241"/>
      <c r="BO243" s="241"/>
      <c r="BP243" s="241"/>
      <c r="BQ243" s="241"/>
      <c r="BR243" s="241"/>
      <c r="BS243" s="241"/>
      <c r="BT243" s="241"/>
      <c r="BU243" s="241"/>
      <c r="BV243" s="241"/>
      <c r="BW243" s="241"/>
      <c r="BX243" s="241"/>
      <c r="BY243" s="241"/>
      <c r="BZ243" s="241"/>
      <c r="CA243" s="241"/>
      <c r="CB243" s="241"/>
      <c r="CC243" s="241"/>
      <c r="CD243" s="241"/>
      <c r="CE243" s="241"/>
      <c r="CF243" s="241"/>
      <c r="CG243" s="241"/>
    </row>
    <row r="244" spans="1:85" ht="12" customHeight="1" outlineLevel="2">
      <c r="A244" s="227"/>
      <c r="B244" s="227"/>
      <c r="C244" s="227">
        <v>3</v>
      </c>
      <c r="D244" s="235" t="s">
        <v>2065</v>
      </c>
      <c r="E244" s="228"/>
      <c r="F244" s="228"/>
      <c r="G244" s="228" t="s">
        <v>1683</v>
      </c>
      <c r="H244" s="228"/>
      <c r="I244" s="228"/>
      <c r="J244" s="228"/>
      <c r="K244" s="228"/>
      <c r="L244" s="228"/>
      <c r="M244" s="228"/>
      <c r="N244" s="228"/>
      <c r="O244" s="228"/>
      <c r="P244" s="250">
        <v>45887</v>
      </c>
      <c r="Q244" s="250">
        <v>45898</v>
      </c>
      <c r="R244" s="228"/>
      <c r="S244" s="229">
        <v>3</v>
      </c>
      <c r="T244" s="229">
        <v>0</v>
      </c>
      <c r="U244" s="229">
        <v>10</v>
      </c>
      <c r="V244" s="229">
        <v>0</v>
      </c>
      <c r="W244" s="250"/>
      <c r="X244" s="250"/>
      <c r="Y244" s="230"/>
      <c r="Z244" s="231">
        <v>0</v>
      </c>
      <c r="AA244" s="229">
        <v>0.3</v>
      </c>
      <c r="AB244" s="228" t="s">
        <v>1892</v>
      </c>
      <c r="AC244" s="191" t="s">
        <v>1901</v>
      </c>
      <c r="AD244" s="234">
        <v>0</v>
      </c>
      <c r="AE244" s="253">
        <v>0</v>
      </c>
      <c r="AF244" s="240"/>
      <c r="AG244" s="241"/>
      <c r="AH244" s="241"/>
      <c r="AI244" s="241"/>
      <c r="AJ244" s="241"/>
      <c r="AK244" s="241"/>
      <c r="AL244" s="241"/>
      <c r="AM244" s="241"/>
      <c r="AN244" s="241"/>
      <c r="AO244" s="241"/>
      <c r="AP244" s="241"/>
      <c r="AQ244" s="241"/>
      <c r="AR244" s="241"/>
      <c r="AS244" s="241"/>
      <c r="AT244" s="241"/>
      <c r="AU244" s="241"/>
      <c r="AV244" s="241"/>
      <c r="AW244" s="241"/>
      <c r="AX244" s="241"/>
      <c r="AY244" s="241"/>
      <c r="AZ244" s="241"/>
      <c r="BA244" s="241"/>
      <c r="BB244" s="241"/>
      <c r="BC244" s="241"/>
      <c r="BD244" s="241"/>
      <c r="BE244" s="241"/>
      <c r="BF244" s="241" t="str">
        <f>" " &amp; TEXT(AE244,"#0.00%") &amp; " " &amp; "개발 전환" &amp; "(PL)" &amp; " " &amp; IF(P244="","",TEXT(P244,"M/D-")) &amp; IF(Q244="","",TEXT(Q244,"M/D")) &amp; " "</f>
        <v xml:space="preserve"> 0.00% 개발 전환(PL) 8/18-8/29 </v>
      </c>
      <c r="BG244" s="241"/>
      <c r="BH244" s="241"/>
      <c r="BI244" s="241"/>
      <c r="BJ244" s="241"/>
      <c r="BK244" s="241"/>
      <c r="BL244" s="241"/>
      <c r="BM244" s="241"/>
      <c r="BN244" s="241"/>
      <c r="BO244" s="241"/>
      <c r="BP244" s="241"/>
      <c r="BQ244" s="241"/>
      <c r="BR244" s="241"/>
      <c r="BS244" s="241"/>
      <c r="BT244" s="241"/>
      <c r="BU244" s="241"/>
      <c r="BV244" s="241"/>
      <c r="BW244" s="241"/>
      <c r="BX244" s="241"/>
      <c r="BY244" s="241"/>
      <c r="BZ244" s="241"/>
      <c r="CA244" s="241"/>
      <c r="CB244" s="241"/>
      <c r="CC244" s="241"/>
      <c r="CD244" s="241"/>
      <c r="CE244" s="241"/>
      <c r="CF244" s="241"/>
      <c r="CG244" s="241"/>
    </row>
    <row r="245" spans="1:85" ht="12" customHeight="1" outlineLevel="2">
      <c r="A245" s="227"/>
      <c r="B245" s="227"/>
      <c r="C245" s="227">
        <v>3</v>
      </c>
      <c r="D245" s="235" t="s">
        <v>2066</v>
      </c>
      <c r="E245" s="228"/>
      <c r="F245" s="228"/>
      <c r="G245" s="228" t="s">
        <v>1742</v>
      </c>
      <c r="H245" s="228"/>
      <c r="I245" s="228"/>
      <c r="J245" s="228"/>
      <c r="K245" s="228"/>
      <c r="L245" s="228"/>
      <c r="M245" s="228"/>
      <c r="N245" s="228"/>
      <c r="O245" s="228"/>
      <c r="P245" s="250">
        <v>45901</v>
      </c>
      <c r="Q245" s="250">
        <v>46020</v>
      </c>
      <c r="R245" s="228"/>
      <c r="S245" s="229">
        <v>80</v>
      </c>
      <c r="T245" s="229">
        <v>0</v>
      </c>
      <c r="U245" s="229">
        <v>80</v>
      </c>
      <c r="V245" s="229">
        <v>0</v>
      </c>
      <c r="W245" s="250"/>
      <c r="X245" s="250"/>
      <c r="Y245" s="230"/>
      <c r="Z245" s="231">
        <v>0</v>
      </c>
      <c r="AA245" s="229">
        <v>1</v>
      </c>
      <c r="AB245" s="228" t="s">
        <v>1892</v>
      </c>
      <c r="AC245" s="191" t="s">
        <v>1901</v>
      </c>
      <c r="AD245" s="234">
        <v>0</v>
      </c>
      <c r="AE245" s="253">
        <v>0</v>
      </c>
      <c r="AF245" s="240"/>
      <c r="AG245" s="241"/>
      <c r="AH245" s="241"/>
      <c r="AI245" s="241"/>
      <c r="AJ245" s="241"/>
      <c r="AK245" s="241"/>
      <c r="AL245" s="241"/>
      <c r="AM245" s="241"/>
      <c r="AN245" s="241"/>
      <c r="AO245" s="241"/>
      <c r="AP245" s="241"/>
      <c r="AQ245" s="241"/>
      <c r="AR245" s="241"/>
      <c r="AS245" s="241"/>
      <c r="AT245" s="241"/>
      <c r="AU245" s="241"/>
      <c r="AV245" s="241"/>
      <c r="AW245" s="241"/>
      <c r="AX245" s="241"/>
      <c r="AY245" s="241"/>
      <c r="AZ245" s="241"/>
      <c r="BA245" s="241"/>
      <c r="BB245" s="241"/>
      <c r="BC245" s="241"/>
      <c r="BD245" s="241"/>
      <c r="BE245" s="241"/>
      <c r="BF245" s="241"/>
      <c r="BG245" s="241"/>
      <c r="BH245" s="241" t="str">
        <f>" " &amp; TEXT(AE245,"#0.00%") &amp; " "</f>
        <v xml:space="preserve"> 0.00% </v>
      </c>
      <c r="BI245" s="241"/>
      <c r="BJ245" s="241"/>
      <c r="BK245" s="241"/>
      <c r="BL245" s="241"/>
      <c r="BM245" s="241"/>
      <c r="BN245" s="241"/>
      <c r="BO245" s="241"/>
      <c r="BP245" s="241"/>
      <c r="BQ245" s="241"/>
      <c r="BR245" s="241"/>
      <c r="BS245" s="241"/>
      <c r="BT245" s="241"/>
      <c r="BU245" s="241"/>
      <c r="BV245" s="241"/>
      <c r="BW245" s="241"/>
      <c r="BX245" s="241"/>
      <c r="BY245" s="241" t="str">
        <f>"  " &amp; "운영 전환" &amp; "(PL)" &amp; " " &amp; IF(P245="","",TEXT(P245,"M/D-")) &amp; IF(Q245="","",TEXT(Q245,"M/D")) &amp; " "</f>
        <v xml:space="preserve">  운영 전환(PL) 9/1-12/29 </v>
      </c>
      <c r="BZ245" s="241"/>
      <c r="CA245" s="241"/>
      <c r="CB245" s="241"/>
      <c r="CC245" s="241"/>
      <c r="CD245" s="241"/>
      <c r="CE245" s="241"/>
      <c r="CF245" s="241"/>
      <c r="CG245" s="241"/>
    </row>
    <row r="246" spans="1:85" ht="12" customHeight="1">
      <c r="A246" s="227"/>
      <c r="B246" s="227" t="s">
        <v>1766</v>
      </c>
      <c r="C246" s="227">
        <v>1</v>
      </c>
      <c r="D246" s="235" t="s">
        <v>1544</v>
      </c>
      <c r="E246" s="228" t="s">
        <v>1691</v>
      </c>
      <c r="F246" s="228"/>
      <c r="G246" s="228"/>
      <c r="H246" s="228"/>
      <c r="I246" s="228"/>
      <c r="J246" s="228"/>
      <c r="K246" s="228"/>
      <c r="L246" s="228"/>
      <c r="M246" s="228"/>
      <c r="N246" s="228"/>
      <c r="O246" s="228"/>
      <c r="P246" s="250">
        <v>45870</v>
      </c>
      <c r="Q246" s="250">
        <v>46069</v>
      </c>
      <c r="R246" s="228"/>
      <c r="S246" s="229">
        <v>212.3</v>
      </c>
      <c r="T246" s="229">
        <v>0</v>
      </c>
      <c r="U246" s="229">
        <v>133</v>
      </c>
      <c r="V246" s="229">
        <v>0</v>
      </c>
      <c r="W246" s="250"/>
      <c r="X246" s="250"/>
      <c r="Y246" s="230">
        <v>0</v>
      </c>
      <c r="Z246" s="231">
        <v>0</v>
      </c>
      <c r="AA246" s="229"/>
      <c r="AB246" s="228"/>
      <c r="AC246" s="191"/>
      <c r="AD246" s="234">
        <v>0</v>
      </c>
      <c r="AE246" s="254">
        <v>0</v>
      </c>
      <c r="AF246" s="240"/>
      <c r="AG246" s="241"/>
      <c r="AH246" s="241"/>
      <c r="AI246" s="241"/>
      <c r="AJ246" s="241"/>
      <c r="AK246" s="241"/>
      <c r="AL246" s="241"/>
      <c r="AM246" s="241"/>
      <c r="AN246" s="241"/>
      <c r="AO246" s="241"/>
      <c r="AP246" s="241"/>
      <c r="AQ246" s="241"/>
      <c r="AR246" s="241"/>
      <c r="AS246" s="241"/>
      <c r="AT246" s="241"/>
      <c r="AU246" s="241"/>
      <c r="AV246" s="241"/>
      <c r="AW246" s="241"/>
      <c r="AX246" s="241"/>
      <c r="AY246" s="241"/>
      <c r="AZ246" s="241"/>
      <c r="BA246" s="241"/>
      <c r="BB246" s="241"/>
      <c r="BC246" s="241" t="str">
        <f>"     " &amp; TEXT(AE246,"#0.00%") &amp; " "</f>
        <v xml:space="preserve">     0.00% </v>
      </c>
      <c r="BD246" s="241"/>
      <c r="BE246" s="241"/>
      <c r="BF246" s="241"/>
      <c r="BG246" s="241"/>
      <c r="BH246" s="241"/>
      <c r="BI246" s="241"/>
      <c r="BJ246" s="241"/>
      <c r="BK246" s="241"/>
      <c r="BL246" s="241"/>
      <c r="BM246" s="241"/>
      <c r="BN246" s="241"/>
      <c r="BO246" s="241"/>
      <c r="BP246" s="241"/>
      <c r="BQ246" s="241"/>
      <c r="BR246" s="241"/>
      <c r="BS246" s="241"/>
      <c r="BT246" s="241"/>
      <c r="BU246" s="241"/>
      <c r="BV246" s="241"/>
      <c r="BW246" s="241"/>
      <c r="BX246" s="241"/>
      <c r="BY246" s="241"/>
      <c r="BZ246" s="241"/>
      <c r="CA246" s="241"/>
      <c r="CB246" s="241"/>
      <c r="CC246" s="241"/>
      <c r="CD246" s="241"/>
      <c r="CE246" s="241"/>
      <c r="CF246" s="241" t="str">
        <f>"  " &amp; "오픈 및 안정화" &amp; " " &amp; IF(P246="","",TEXT(P246,"M/D-")) &amp; IF(Q246="","",TEXT(Q246,"M/D")) &amp; " "</f>
        <v xml:space="preserve">  오픈 및 안정화 8/1-2/16 </v>
      </c>
      <c r="CG246" s="241"/>
    </row>
    <row r="247" spans="1:85" ht="12" customHeight="1" outlineLevel="1">
      <c r="A247" s="227"/>
      <c r="B247" s="227" t="s">
        <v>1766</v>
      </c>
      <c r="C247" s="227">
        <v>2</v>
      </c>
      <c r="D247" s="235" t="s">
        <v>1871</v>
      </c>
      <c r="E247" s="228"/>
      <c r="F247" s="228" t="s">
        <v>1739</v>
      </c>
      <c r="G247" s="228"/>
      <c r="H247" s="228"/>
      <c r="I247" s="228"/>
      <c r="J247" s="228"/>
      <c r="K247" s="228"/>
      <c r="L247" s="228"/>
      <c r="M247" s="228"/>
      <c r="N247" s="228"/>
      <c r="O247" s="228"/>
      <c r="P247" s="250">
        <v>45870</v>
      </c>
      <c r="Q247" s="250">
        <v>45930</v>
      </c>
      <c r="R247" s="228"/>
      <c r="S247" s="229">
        <v>23.5</v>
      </c>
      <c r="T247" s="229">
        <v>0</v>
      </c>
      <c r="U247" s="229">
        <v>42</v>
      </c>
      <c r="V247" s="229">
        <v>0</v>
      </c>
      <c r="W247" s="250"/>
      <c r="X247" s="250"/>
      <c r="Y247" s="230">
        <v>0</v>
      </c>
      <c r="Z247" s="231">
        <v>0</v>
      </c>
      <c r="AA247" s="229"/>
      <c r="AB247" s="228"/>
      <c r="AC247" s="191"/>
      <c r="AD247" s="234">
        <v>0</v>
      </c>
      <c r="AE247" s="254">
        <v>0</v>
      </c>
      <c r="AF247" s="240"/>
      <c r="AG247" s="241"/>
      <c r="AH247" s="241"/>
      <c r="AI247" s="241"/>
      <c r="AJ247" s="241"/>
      <c r="AK247" s="241"/>
      <c r="AL247" s="241"/>
      <c r="AM247" s="241"/>
      <c r="AN247" s="241"/>
      <c r="AO247" s="241"/>
      <c r="AP247" s="241"/>
      <c r="AQ247" s="241"/>
      <c r="AR247" s="241"/>
      <c r="AS247" s="241"/>
      <c r="AT247" s="241"/>
      <c r="AU247" s="241"/>
      <c r="AV247" s="241"/>
      <c r="AW247" s="241"/>
      <c r="AX247" s="241"/>
      <c r="AY247" s="241"/>
      <c r="AZ247" s="241"/>
      <c r="BA247" s="241"/>
      <c r="BB247" s="241"/>
      <c r="BC247" s="241" t="str">
        <f>"     " &amp; TEXT(AE247,"#0.00%") &amp; " "</f>
        <v xml:space="preserve">     0.00% </v>
      </c>
      <c r="BD247" s="241"/>
      <c r="BE247" s="241"/>
      <c r="BF247" s="241"/>
      <c r="BG247" s="241"/>
      <c r="BH247" s="241"/>
      <c r="BI247" s="241"/>
      <c r="BJ247" s="241"/>
      <c r="BK247" s="241"/>
      <c r="BL247" s="241" t="str">
        <f>"   " &amp; "1차 오픈" &amp; " " &amp; IF(P247="","",TEXT(P247,"M/D-")) &amp; IF(Q247="","",TEXT(Q247,"M/D")) &amp; " "</f>
        <v xml:space="preserve">   1차 오픈 8/1-9/30 </v>
      </c>
      <c r="BM247" s="241"/>
      <c r="BN247" s="241"/>
      <c r="BO247" s="241"/>
      <c r="BP247" s="241"/>
      <c r="BQ247" s="241"/>
      <c r="BR247" s="241"/>
      <c r="BS247" s="241"/>
      <c r="BT247" s="241"/>
      <c r="BU247" s="241"/>
      <c r="BV247" s="241"/>
      <c r="BW247" s="241"/>
      <c r="BX247" s="241"/>
      <c r="BY247" s="241"/>
      <c r="BZ247" s="241"/>
      <c r="CA247" s="241"/>
      <c r="CB247" s="241"/>
      <c r="CC247" s="241"/>
      <c r="CD247" s="241"/>
      <c r="CE247" s="241"/>
      <c r="CF247" s="241"/>
      <c r="CG247" s="241"/>
    </row>
    <row r="248" spans="1:85" ht="12" customHeight="1" outlineLevel="2">
      <c r="A248" s="227"/>
      <c r="B248" s="227"/>
      <c r="C248" s="227">
        <v>3</v>
      </c>
      <c r="D248" s="235" t="s">
        <v>2067</v>
      </c>
      <c r="E248" s="228"/>
      <c r="F248" s="228"/>
      <c r="G248" s="228" t="s">
        <v>1692</v>
      </c>
      <c r="H248" s="228"/>
      <c r="I248" s="228"/>
      <c r="J248" s="228"/>
      <c r="K248" s="228"/>
      <c r="L248" s="228"/>
      <c r="M248" s="228"/>
      <c r="N248" s="228"/>
      <c r="O248" s="228"/>
      <c r="P248" s="250">
        <v>45870</v>
      </c>
      <c r="Q248" s="250">
        <v>45891</v>
      </c>
      <c r="R248" s="228"/>
      <c r="S248" s="229">
        <v>1.5</v>
      </c>
      <c r="T248" s="229">
        <v>0</v>
      </c>
      <c r="U248" s="229">
        <v>15</v>
      </c>
      <c r="V248" s="229">
        <v>0</v>
      </c>
      <c r="W248" s="250"/>
      <c r="X248" s="250"/>
      <c r="Y248" s="230"/>
      <c r="Z248" s="231">
        <v>0</v>
      </c>
      <c r="AA248" s="229">
        <v>0.1</v>
      </c>
      <c r="AB248" s="228" t="s">
        <v>1892</v>
      </c>
      <c r="AC248" s="191" t="s">
        <v>1888</v>
      </c>
      <c r="AD248" s="234">
        <v>0</v>
      </c>
      <c r="AE248" s="253">
        <v>0</v>
      </c>
      <c r="AF248" s="240"/>
      <c r="AG248" s="241"/>
      <c r="AH248" s="241"/>
      <c r="AI248" s="241"/>
      <c r="AJ248" s="241"/>
      <c r="AK248" s="241"/>
      <c r="AL248" s="241"/>
      <c r="AM248" s="241"/>
      <c r="AN248" s="241"/>
      <c r="AO248" s="241"/>
      <c r="AP248" s="241"/>
      <c r="AQ248" s="241"/>
      <c r="AR248" s="241"/>
      <c r="AS248" s="241"/>
      <c r="AT248" s="241"/>
      <c r="AU248" s="241"/>
      <c r="AV248" s="241"/>
      <c r="AW248" s="241"/>
      <c r="AX248" s="241"/>
      <c r="AY248" s="241"/>
      <c r="AZ248" s="241"/>
      <c r="BA248" s="241"/>
      <c r="BB248" s="241"/>
      <c r="BC248" s="241" t="str">
        <f>"     " &amp; TEXT(AE248,"#0.00%") &amp; " " &amp; "오픈계획 수립 및 환경 구성" &amp; "(PL)" &amp; " " &amp; IF(P248="","",TEXT(P248,"M/D-")) &amp; IF(Q248="","",TEXT(Q248,"M/D")) &amp; " "</f>
        <v xml:space="preserve">     0.00% 오픈계획 수립 및 환경 구성(PL) 8/1-8/22 </v>
      </c>
      <c r="BD248" s="241"/>
      <c r="BE248" s="241"/>
      <c r="BF248" s="241"/>
      <c r="BG248" s="241"/>
      <c r="BH248" s="241"/>
      <c r="BI248" s="241"/>
      <c r="BJ248" s="241"/>
      <c r="BK248" s="241"/>
      <c r="BL248" s="241"/>
      <c r="BM248" s="241"/>
      <c r="BN248" s="241"/>
      <c r="BO248" s="241"/>
      <c r="BP248" s="241"/>
      <c r="BQ248" s="241"/>
      <c r="BR248" s="241"/>
      <c r="BS248" s="241"/>
      <c r="BT248" s="241"/>
      <c r="BU248" s="241"/>
      <c r="BV248" s="241"/>
      <c r="BW248" s="241"/>
      <c r="BX248" s="241"/>
      <c r="BY248" s="241"/>
      <c r="BZ248" s="241"/>
      <c r="CA248" s="241"/>
      <c r="CB248" s="241"/>
      <c r="CC248" s="241"/>
      <c r="CD248" s="241"/>
      <c r="CE248" s="241"/>
      <c r="CF248" s="241"/>
      <c r="CG248" s="241"/>
    </row>
    <row r="249" spans="1:85" ht="12" customHeight="1" outlineLevel="2">
      <c r="A249" s="227"/>
      <c r="B249" s="227"/>
      <c r="C249" s="227">
        <v>3</v>
      </c>
      <c r="D249" s="235" t="s">
        <v>2068</v>
      </c>
      <c r="E249" s="228"/>
      <c r="F249" s="228"/>
      <c r="G249" s="228" t="s">
        <v>1693</v>
      </c>
      <c r="H249" s="228"/>
      <c r="I249" s="228"/>
      <c r="J249" s="228"/>
      <c r="K249" s="228"/>
      <c r="L249" s="228"/>
      <c r="M249" s="228"/>
      <c r="N249" s="228"/>
      <c r="O249" s="228"/>
      <c r="P249" s="250">
        <v>45901</v>
      </c>
      <c r="Q249" s="250">
        <v>45930</v>
      </c>
      <c r="R249" s="228"/>
      <c r="S249" s="229">
        <v>22</v>
      </c>
      <c r="T249" s="229">
        <v>0</v>
      </c>
      <c r="U249" s="229">
        <v>22</v>
      </c>
      <c r="V249" s="229">
        <v>0</v>
      </c>
      <c r="W249" s="250"/>
      <c r="X249" s="250"/>
      <c r="Y249" s="230"/>
      <c r="Z249" s="231">
        <v>0</v>
      </c>
      <c r="AA249" s="229">
        <v>1</v>
      </c>
      <c r="AB249" s="228" t="s">
        <v>1892</v>
      </c>
      <c r="AC249" s="191" t="s">
        <v>1888</v>
      </c>
      <c r="AD249" s="234">
        <v>0</v>
      </c>
      <c r="AE249" s="253">
        <v>0</v>
      </c>
      <c r="AF249" s="240"/>
      <c r="AG249" s="241"/>
      <c r="AH249" s="241"/>
      <c r="AI249" s="241"/>
      <c r="AJ249" s="241"/>
      <c r="AK249" s="241"/>
      <c r="AL249" s="241"/>
      <c r="AM249" s="241"/>
      <c r="AN249" s="241"/>
      <c r="AO249" s="241"/>
      <c r="AP249" s="241"/>
      <c r="AQ249" s="241"/>
      <c r="AR249" s="241"/>
      <c r="AS249" s="241"/>
      <c r="AT249" s="241"/>
      <c r="AU249" s="241"/>
      <c r="AV249" s="241"/>
      <c r="AW249" s="241"/>
      <c r="AX249" s="241"/>
      <c r="AY249" s="241"/>
      <c r="AZ249" s="241"/>
      <c r="BA249" s="241"/>
      <c r="BB249" s="241"/>
      <c r="BC249" s="241"/>
      <c r="BD249" s="241"/>
      <c r="BE249" s="241"/>
      <c r="BF249" s="241"/>
      <c r="BG249" s="241"/>
      <c r="BH249" s="241" t="str">
        <f>" " &amp; TEXT(AE249,"#0.00%") &amp; " "</f>
        <v xml:space="preserve"> 0.00% </v>
      </c>
      <c r="BI249" s="241"/>
      <c r="BJ249" s="241"/>
      <c r="BK249" s="241"/>
      <c r="BL249" s="241" t="str">
        <f>"   " &amp; "오픈 실시" &amp; "(PL)" &amp; " " &amp; IF(P249="","",TEXT(P249,"M/D-")) &amp; IF(Q249="","",TEXT(Q249,"M/D")) &amp; " "</f>
        <v xml:space="preserve">   오픈 실시(PL) 9/1-9/30 </v>
      </c>
      <c r="BM249" s="241"/>
      <c r="BN249" s="241"/>
      <c r="BO249" s="241"/>
      <c r="BP249" s="241"/>
      <c r="BQ249" s="241"/>
      <c r="BR249" s="241"/>
      <c r="BS249" s="241"/>
      <c r="BT249" s="241"/>
      <c r="BU249" s="241"/>
      <c r="BV249" s="241"/>
      <c r="BW249" s="241"/>
      <c r="BX249" s="241"/>
      <c r="BY249" s="241"/>
      <c r="BZ249" s="241"/>
      <c r="CA249" s="241"/>
      <c r="CB249" s="241"/>
      <c r="CC249" s="241"/>
      <c r="CD249" s="241"/>
      <c r="CE249" s="241"/>
      <c r="CF249" s="241"/>
      <c r="CG249" s="241"/>
    </row>
    <row r="250" spans="1:85" ht="12" customHeight="1" outlineLevel="1">
      <c r="A250" s="227"/>
      <c r="B250" s="227" t="s">
        <v>1766</v>
      </c>
      <c r="C250" s="227">
        <v>2</v>
      </c>
      <c r="D250" s="235" t="s">
        <v>1872</v>
      </c>
      <c r="E250" s="228"/>
      <c r="F250" s="228" t="s">
        <v>1740</v>
      </c>
      <c r="G250" s="228"/>
      <c r="H250" s="228"/>
      <c r="I250" s="228"/>
      <c r="J250" s="228"/>
      <c r="K250" s="228"/>
      <c r="L250" s="228"/>
      <c r="M250" s="228"/>
      <c r="N250" s="228"/>
      <c r="O250" s="228"/>
      <c r="P250" s="250">
        <v>45931</v>
      </c>
      <c r="Q250" s="250">
        <v>46017</v>
      </c>
      <c r="R250" s="228"/>
      <c r="S250" s="229">
        <v>40.799999999999997</v>
      </c>
      <c r="T250" s="229">
        <v>0</v>
      </c>
      <c r="U250" s="229">
        <v>57</v>
      </c>
      <c r="V250" s="229">
        <v>0</v>
      </c>
      <c r="W250" s="250"/>
      <c r="X250" s="250"/>
      <c r="Y250" s="230">
        <v>0</v>
      </c>
      <c r="Z250" s="231">
        <v>0</v>
      </c>
      <c r="AA250" s="229"/>
      <c r="AB250" s="228"/>
      <c r="AC250" s="191"/>
      <c r="AD250" s="234">
        <v>0</v>
      </c>
      <c r="AE250" s="254">
        <v>0</v>
      </c>
      <c r="AF250" s="240"/>
      <c r="AG250" s="241"/>
      <c r="AH250" s="241"/>
      <c r="AI250" s="241"/>
      <c r="AJ250" s="241"/>
      <c r="AK250" s="241"/>
      <c r="AL250" s="241"/>
      <c r="AM250" s="241"/>
      <c r="AN250" s="241"/>
      <c r="AO250" s="241"/>
      <c r="AP250" s="241"/>
      <c r="AQ250" s="241"/>
      <c r="AR250" s="241"/>
      <c r="AS250" s="241"/>
      <c r="AT250" s="241"/>
      <c r="AU250" s="241"/>
      <c r="AV250" s="241"/>
      <c r="AW250" s="241"/>
      <c r="AX250" s="241"/>
      <c r="AY250" s="241"/>
      <c r="AZ250" s="241"/>
      <c r="BA250" s="241"/>
      <c r="BB250" s="241"/>
      <c r="BC250" s="241"/>
      <c r="BD250" s="241"/>
      <c r="BE250" s="241"/>
      <c r="BF250" s="241"/>
      <c r="BG250" s="241"/>
      <c r="BH250" s="241"/>
      <c r="BI250" s="241"/>
      <c r="BJ250" s="241"/>
      <c r="BK250" s="241"/>
      <c r="BL250" s="241" t="str">
        <f>"   " &amp; TEXT(AE250,"#0.00%") &amp; " "</f>
        <v xml:space="preserve">   0.00% </v>
      </c>
      <c r="BM250" s="241"/>
      <c r="BN250" s="241"/>
      <c r="BO250" s="241"/>
      <c r="BP250" s="241"/>
      <c r="BQ250" s="241"/>
      <c r="BR250" s="241"/>
      <c r="BS250" s="241"/>
      <c r="BT250" s="241"/>
      <c r="BU250" s="241"/>
      <c r="BV250" s="241"/>
      <c r="BW250" s="241"/>
      <c r="BX250" s="241" t="str">
        <f>"      " &amp; "2차 오픈" &amp; " " &amp; IF(P250="","",TEXT(P250,"M/D-")) &amp; IF(Q250="","",TEXT(Q250,"M/D")) &amp; " "</f>
        <v xml:space="preserve">      2차 오픈 10/1-12/26 </v>
      </c>
      <c r="BY250" s="241"/>
      <c r="BZ250" s="241"/>
      <c r="CA250" s="241"/>
      <c r="CB250" s="241"/>
      <c r="CC250" s="241"/>
      <c r="CD250" s="241"/>
      <c r="CE250" s="241"/>
      <c r="CF250" s="241"/>
      <c r="CG250" s="241"/>
    </row>
    <row r="251" spans="1:85" ht="12" customHeight="1" outlineLevel="2">
      <c r="A251" s="227"/>
      <c r="B251" s="227"/>
      <c r="C251" s="227">
        <v>3</v>
      </c>
      <c r="D251" s="235" t="s">
        <v>2069</v>
      </c>
      <c r="E251" s="228"/>
      <c r="F251" s="228"/>
      <c r="G251" s="228" t="s">
        <v>1692</v>
      </c>
      <c r="H251" s="228"/>
      <c r="I251" s="228"/>
      <c r="J251" s="228"/>
      <c r="K251" s="228"/>
      <c r="L251" s="228"/>
      <c r="M251" s="228"/>
      <c r="N251" s="228"/>
      <c r="O251" s="228"/>
      <c r="P251" s="250">
        <v>45931</v>
      </c>
      <c r="Q251" s="250">
        <v>45961</v>
      </c>
      <c r="R251" s="228"/>
      <c r="S251" s="229">
        <v>1.8</v>
      </c>
      <c r="T251" s="229">
        <v>0</v>
      </c>
      <c r="U251" s="229">
        <v>18</v>
      </c>
      <c r="V251" s="229">
        <v>0</v>
      </c>
      <c r="W251" s="250"/>
      <c r="X251" s="250"/>
      <c r="Y251" s="230"/>
      <c r="Z251" s="231">
        <v>0</v>
      </c>
      <c r="AA251" s="229">
        <v>0.1</v>
      </c>
      <c r="AB251" s="228" t="s">
        <v>1892</v>
      </c>
      <c r="AC251" s="191" t="s">
        <v>1888</v>
      </c>
      <c r="AD251" s="234">
        <v>0</v>
      </c>
      <c r="AE251" s="253">
        <v>0</v>
      </c>
      <c r="AF251" s="240"/>
      <c r="AG251" s="241"/>
      <c r="AH251" s="241"/>
      <c r="AI251" s="241"/>
      <c r="AJ251" s="241"/>
      <c r="AK251" s="241"/>
      <c r="AL251" s="241"/>
      <c r="AM251" s="241"/>
      <c r="AN251" s="241"/>
      <c r="AO251" s="241"/>
      <c r="AP251" s="241"/>
      <c r="AQ251" s="241"/>
      <c r="AR251" s="241"/>
      <c r="AS251" s="241"/>
      <c r="AT251" s="241"/>
      <c r="AU251" s="241"/>
      <c r="AV251" s="241"/>
      <c r="AW251" s="241"/>
      <c r="AX251" s="241"/>
      <c r="AY251" s="241"/>
      <c r="AZ251" s="241"/>
      <c r="BA251" s="241"/>
      <c r="BB251" s="241"/>
      <c r="BC251" s="241"/>
      <c r="BD251" s="241"/>
      <c r="BE251" s="241"/>
      <c r="BF251" s="241"/>
      <c r="BG251" s="241"/>
      <c r="BH251" s="241"/>
      <c r="BI251" s="241"/>
      <c r="BJ251" s="241"/>
      <c r="BK251" s="241"/>
      <c r="BL251" s="241" t="str">
        <f>"   " &amp; TEXT(AE251,"#0.00%") &amp; " "</f>
        <v xml:space="preserve">   0.00% </v>
      </c>
      <c r="BM251" s="241"/>
      <c r="BN251" s="241"/>
      <c r="BO251" s="241"/>
      <c r="BP251" s="241" t="str">
        <f>"      " &amp; "오픈계획 수립 및 환경 구성" &amp; "(PL)" &amp; " " &amp; IF(P251="","",TEXT(P251,"M/D-")) &amp; IF(Q251="","",TEXT(Q251,"M/D")) &amp; " "</f>
        <v xml:space="preserve">      오픈계획 수립 및 환경 구성(PL) 10/1-10/31 </v>
      </c>
      <c r="BQ251" s="241"/>
      <c r="BR251" s="241"/>
      <c r="BS251" s="241"/>
      <c r="BT251" s="241"/>
      <c r="BU251" s="241"/>
      <c r="BV251" s="241"/>
      <c r="BW251" s="241"/>
      <c r="BX251" s="241"/>
      <c r="BY251" s="241"/>
      <c r="BZ251" s="241"/>
      <c r="CA251" s="241"/>
      <c r="CB251" s="241"/>
      <c r="CC251" s="241"/>
      <c r="CD251" s="241"/>
      <c r="CE251" s="241"/>
      <c r="CF251" s="241"/>
      <c r="CG251" s="241"/>
    </row>
    <row r="252" spans="1:85" ht="12" customHeight="1" outlineLevel="2">
      <c r="A252" s="227"/>
      <c r="B252" s="227"/>
      <c r="C252" s="227">
        <v>3</v>
      </c>
      <c r="D252" s="235" t="s">
        <v>2070</v>
      </c>
      <c r="E252" s="228"/>
      <c r="F252" s="228"/>
      <c r="G252" s="228" t="s">
        <v>1693</v>
      </c>
      <c r="H252" s="228"/>
      <c r="I252" s="228"/>
      <c r="J252" s="228"/>
      <c r="K252" s="228"/>
      <c r="L252" s="228"/>
      <c r="M252" s="228"/>
      <c r="N252" s="228"/>
      <c r="O252" s="228"/>
      <c r="P252" s="250">
        <v>45964</v>
      </c>
      <c r="Q252" s="250">
        <v>46017</v>
      </c>
      <c r="R252" s="228"/>
      <c r="S252" s="229">
        <v>39</v>
      </c>
      <c r="T252" s="229">
        <v>0</v>
      </c>
      <c r="U252" s="229">
        <v>39</v>
      </c>
      <c r="V252" s="229">
        <v>0</v>
      </c>
      <c r="W252" s="250"/>
      <c r="X252" s="250"/>
      <c r="Y252" s="230"/>
      <c r="Z252" s="231">
        <v>0</v>
      </c>
      <c r="AA252" s="229">
        <v>1</v>
      </c>
      <c r="AB252" s="228" t="s">
        <v>1892</v>
      </c>
      <c r="AC252" s="191" t="s">
        <v>1888</v>
      </c>
      <c r="AD252" s="234">
        <v>0</v>
      </c>
      <c r="AE252" s="253">
        <v>0</v>
      </c>
      <c r="AF252" s="240"/>
      <c r="AG252" s="241"/>
      <c r="AH252" s="241"/>
      <c r="AI252" s="241"/>
      <c r="AJ252" s="241"/>
      <c r="AK252" s="241"/>
      <c r="AL252" s="241"/>
      <c r="AM252" s="241"/>
      <c r="AN252" s="241"/>
      <c r="AO252" s="241"/>
      <c r="AP252" s="241"/>
      <c r="AQ252" s="241"/>
      <c r="AR252" s="241"/>
      <c r="AS252" s="241"/>
      <c r="AT252" s="241"/>
      <c r="AU252" s="241"/>
      <c r="AV252" s="241"/>
      <c r="AW252" s="241"/>
      <c r="AX252" s="241"/>
      <c r="AY252" s="241"/>
      <c r="AZ252" s="241"/>
      <c r="BA252" s="241"/>
      <c r="BB252" s="241"/>
      <c r="BC252" s="241"/>
      <c r="BD252" s="241"/>
      <c r="BE252" s="241"/>
      <c r="BF252" s="241"/>
      <c r="BG252" s="241"/>
      <c r="BH252" s="241"/>
      <c r="BI252" s="241"/>
      <c r="BJ252" s="241"/>
      <c r="BK252" s="241"/>
      <c r="BL252" s="241"/>
      <c r="BM252" s="241"/>
      <c r="BN252" s="241"/>
      <c r="BO252" s="241"/>
      <c r="BP252" s="241"/>
      <c r="BQ252" s="241" t="str">
        <f>" " &amp; TEXT(AE252,"#0.00%") &amp; " "</f>
        <v xml:space="preserve"> 0.00% </v>
      </c>
      <c r="BR252" s="241"/>
      <c r="BS252" s="241"/>
      <c r="BT252" s="241"/>
      <c r="BU252" s="241"/>
      <c r="BV252" s="241"/>
      <c r="BW252" s="241"/>
      <c r="BX252" s="241" t="str">
        <f>"      " &amp; "오픈 실시" &amp; "(PL)" &amp; " " &amp; IF(P252="","",TEXT(P252,"M/D-")) &amp; IF(Q252="","",TEXT(Q252,"M/D")) &amp; " "</f>
        <v xml:space="preserve">      오픈 실시(PL) 11/3-12/26 </v>
      </c>
      <c r="BY252" s="241"/>
      <c r="BZ252" s="241"/>
      <c r="CA252" s="241"/>
      <c r="CB252" s="241"/>
      <c r="CC252" s="241"/>
      <c r="CD252" s="241"/>
      <c r="CE252" s="241"/>
      <c r="CF252" s="241"/>
      <c r="CG252" s="241"/>
    </row>
    <row r="253" spans="1:85" ht="12" customHeight="1" outlineLevel="1">
      <c r="A253" s="227"/>
      <c r="B253" s="227" t="s">
        <v>1766</v>
      </c>
      <c r="C253" s="227">
        <v>2</v>
      </c>
      <c r="D253" s="235" t="s">
        <v>1873</v>
      </c>
      <c r="E253" s="228"/>
      <c r="F253" s="228" t="s">
        <v>1741</v>
      </c>
      <c r="G253" s="228"/>
      <c r="H253" s="228"/>
      <c r="I253" s="228"/>
      <c r="J253" s="228"/>
      <c r="K253" s="228"/>
      <c r="L253" s="228"/>
      <c r="M253" s="228"/>
      <c r="N253" s="228"/>
      <c r="O253" s="228"/>
      <c r="P253" s="250">
        <v>45992</v>
      </c>
      <c r="Q253" s="250">
        <v>46052</v>
      </c>
      <c r="R253" s="228"/>
      <c r="S253" s="229">
        <v>25.5</v>
      </c>
      <c r="T253" s="229">
        <v>0</v>
      </c>
      <c r="U253" s="229">
        <v>43</v>
      </c>
      <c r="V253" s="229">
        <v>0</v>
      </c>
      <c r="W253" s="250"/>
      <c r="X253" s="250"/>
      <c r="Y253" s="230">
        <v>0</v>
      </c>
      <c r="Z253" s="231">
        <v>0</v>
      </c>
      <c r="AA253" s="229"/>
      <c r="AB253" s="228"/>
      <c r="AC253" s="191"/>
      <c r="AD253" s="234">
        <v>0</v>
      </c>
      <c r="AE253" s="254">
        <v>0</v>
      </c>
      <c r="AF253" s="240"/>
      <c r="AG253" s="241"/>
      <c r="AH253" s="241"/>
      <c r="AI253" s="241"/>
      <c r="AJ253" s="241"/>
      <c r="AK253" s="241"/>
      <c r="AL253" s="241"/>
      <c r="AM253" s="241"/>
      <c r="AN253" s="241"/>
      <c r="AO253" s="241"/>
      <c r="AP253" s="241"/>
      <c r="AQ253" s="241"/>
      <c r="AR253" s="241"/>
      <c r="AS253" s="241"/>
      <c r="AT253" s="241"/>
      <c r="AU253" s="241"/>
      <c r="AV253" s="241"/>
      <c r="AW253" s="241"/>
      <c r="AX253" s="241"/>
      <c r="AY253" s="241"/>
      <c r="AZ253" s="241"/>
      <c r="BA253" s="241"/>
      <c r="BB253" s="241"/>
      <c r="BC253" s="241"/>
      <c r="BD253" s="241"/>
      <c r="BE253" s="241"/>
      <c r="BF253" s="241"/>
      <c r="BG253" s="241"/>
      <c r="BH253" s="241"/>
      <c r="BI253" s="241"/>
      <c r="BJ253" s="241"/>
      <c r="BK253" s="241"/>
      <c r="BL253" s="241"/>
      <c r="BM253" s="241"/>
      <c r="BN253" s="241"/>
      <c r="BO253" s="241"/>
      <c r="BP253" s="241"/>
      <c r="BQ253" s="241"/>
      <c r="BR253" s="241"/>
      <c r="BS253" s="241"/>
      <c r="BT253" s="241"/>
      <c r="BU253" s="241" t="str">
        <f>" " &amp; TEXT(AE253,"#0.00%") &amp; " "</f>
        <v xml:space="preserve"> 0.00% </v>
      </c>
      <c r="BV253" s="241"/>
      <c r="BW253" s="241"/>
      <c r="BX253" s="241"/>
      <c r="BY253" s="241"/>
      <c r="BZ253" s="241"/>
      <c r="CA253" s="241"/>
      <c r="CB253" s="241"/>
      <c r="CC253" s="241" t="str">
        <f>"      " &amp; "3차 오픈" &amp; " " &amp; IF(P253="","",TEXT(P253,"M/D-")) &amp; IF(Q253="","",TEXT(Q253,"M/D")) &amp; " "</f>
        <v xml:space="preserve">      3차 오픈 12/1-1/30 </v>
      </c>
      <c r="CD253" s="241"/>
      <c r="CE253" s="241"/>
      <c r="CF253" s="241"/>
      <c r="CG253" s="241"/>
    </row>
    <row r="254" spans="1:85" ht="12" customHeight="1" outlineLevel="2">
      <c r="A254" s="227"/>
      <c r="B254" s="227"/>
      <c r="C254" s="227">
        <v>3</v>
      </c>
      <c r="D254" s="235" t="s">
        <v>2071</v>
      </c>
      <c r="E254" s="228"/>
      <c r="F254" s="228"/>
      <c r="G254" s="228" t="s">
        <v>1692</v>
      </c>
      <c r="H254" s="228"/>
      <c r="I254" s="228"/>
      <c r="J254" s="228"/>
      <c r="K254" s="228"/>
      <c r="L254" s="228"/>
      <c r="M254" s="228"/>
      <c r="N254" s="228"/>
      <c r="O254" s="228"/>
      <c r="P254" s="250">
        <v>45992</v>
      </c>
      <c r="Q254" s="250">
        <v>46010</v>
      </c>
      <c r="R254" s="228"/>
      <c r="S254" s="229">
        <v>1.5</v>
      </c>
      <c r="T254" s="229">
        <v>0</v>
      </c>
      <c r="U254" s="229">
        <v>15</v>
      </c>
      <c r="V254" s="229">
        <v>0</v>
      </c>
      <c r="W254" s="250"/>
      <c r="X254" s="250"/>
      <c r="Y254" s="230"/>
      <c r="Z254" s="231">
        <v>0</v>
      </c>
      <c r="AA254" s="229">
        <v>0.1</v>
      </c>
      <c r="AB254" s="228" t="s">
        <v>1892</v>
      </c>
      <c r="AC254" s="191" t="s">
        <v>1888</v>
      </c>
      <c r="AD254" s="234">
        <v>0</v>
      </c>
      <c r="AE254" s="253">
        <v>0</v>
      </c>
      <c r="AF254" s="240"/>
      <c r="AG254" s="241"/>
      <c r="AH254" s="241"/>
      <c r="AI254" s="241"/>
      <c r="AJ254" s="241"/>
      <c r="AK254" s="241"/>
      <c r="AL254" s="241"/>
      <c r="AM254" s="241"/>
      <c r="AN254" s="241"/>
      <c r="AO254" s="241"/>
      <c r="AP254" s="241"/>
      <c r="AQ254" s="241"/>
      <c r="AR254" s="241"/>
      <c r="AS254" s="241"/>
      <c r="AT254" s="241"/>
      <c r="AU254" s="241"/>
      <c r="AV254" s="241"/>
      <c r="AW254" s="241"/>
      <c r="AX254" s="241"/>
      <c r="AY254" s="241"/>
      <c r="AZ254" s="241"/>
      <c r="BA254" s="241"/>
      <c r="BB254" s="241"/>
      <c r="BC254" s="241"/>
      <c r="BD254" s="241"/>
      <c r="BE254" s="241"/>
      <c r="BF254" s="241"/>
      <c r="BG254" s="241"/>
      <c r="BH254" s="241"/>
      <c r="BI254" s="241"/>
      <c r="BJ254" s="241"/>
      <c r="BK254" s="241"/>
      <c r="BL254" s="241"/>
      <c r="BM254" s="241"/>
      <c r="BN254" s="241"/>
      <c r="BO254" s="241"/>
      <c r="BP254" s="241"/>
      <c r="BQ254" s="241"/>
      <c r="BR254" s="241"/>
      <c r="BS254" s="241"/>
      <c r="BT254" s="241"/>
      <c r="BU254" s="241" t="str">
        <f>" " &amp; TEXT(AE254,"#0.00%") &amp; " " &amp; "오픈계획 수립 및 환경 구성" &amp; "(PL)" &amp; " " &amp; IF(P254="","",TEXT(P254,"M/D-")) &amp; IF(Q254="","",TEXT(Q254,"M/D")) &amp; " "</f>
        <v xml:space="preserve"> 0.00% 오픈계획 수립 및 환경 구성(PL) 12/1-12/19 </v>
      </c>
      <c r="BV254" s="241"/>
      <c r="BW254" s="241"/>
      <c r="BX254" s="241"/>
      <c r="BY254" s="241"/>
      <c r="BZ254" s="241"/>
      <c r="CA254" s="241"/>
      <c r="CB254" s="241"/>
      <c r="CC254" s="241"/>
      <c r="CD254" s="241"/>
      <c r="CE254" s="241"/>
      <c r="CF254" s="241"/>
      <c r="CG254" s="241"/>
    </row>
    <row r="255" spans="1:85" ht="12" customHeight="1" outlineLevel="2">
      <c r="A255" s="227"/>
      <c r="B255" s="227"/>
      <c r="C255" s="227">
        <v>3</v>
      </c>
      <c r="D255" s="235" t="s">
        <v>2072</v>
      </c>
      <c r="E255" s="228"/>
      <c r="F255" s="228"/>
      <c r="G255" s="228" t="s">
        <v>1693</v>
      </c>
      <c r="H255" s="228"/>
      <c r="I255" s="228"/>
      <c r="J255" s="228"/>
      <c r="K255" s="228"/>
      <c r="L255" s="228"/>
      <c r="M255" s="228"/>
      <c r="N255" s="228"/>
      <c r="O255" s="228"/>
      <c r="P255" s="250">
        <v>46020</v>
      </c>
      <c r="Q255" s="250">
        <v>46052</v>
      </c>
      <c r="R255" s="228"/>
      <c r="S255" s="229">
        <v>24</v>
      </c>
      <c r="T255" s="229">
        <v>0</v>
      </c>
      <c r="U255" s="229">
        <v>24</v>
      </c>
      <c r="V255" s="229">
        <v>0</v>
      </c>
      <c r="W255" s="250"/>
      <c r="X255" s="250"/>
      <c r="Y255" s="230"/>
      <c r="Z255" s="231">
        <v>0</v>
      </c>
      <c r="AA255" s="229">
        <v>1</v>
      </c>
      <c r="AB255" s="228" t="s">
        <v>1892</v>
      </c>
      <c r="AC255" s="191" t="s">
        <v>1888</v>
      </c>
      <c r="AD255" s="234">
        <v>0</v>
      </c>
      <c r="AE255" s="253">
        <v>0</v>
      </c>
      <c r="AF255" s="240"/>
      <c r="AG255" s="241"/>
      <c r="AH255" s="241"/>
      <c r="AI255" s="241"/>
      <c r="AJ255" s="241"/>
      <c r="AK255" s="241"/>
      <c r="AL255" s="241"/>
      <c r="AM255" s="241"/>
      <c r="AN255" s="241"/>
      <c r="AO255" s="241"/>
      <c r="AP255" s="241"/>
      <c r="AQ255" s="241"/>
      <c r="AR255" s="241"/>
      <c r="AS255" s="241"/>
      <c r="AT255" s="241"/>
      <c r="AU255" s="241"/>
      <c r="AV255" s="241"/>
      <c r="AW255" s="241"/>
      <c r="AX255" s="241"/>
      <c r="AY255" s="241"/>
      <c r="AZ255" s="241"/>
      <c r="BA255" s="241"/>
      <c r="BB255" s="241"/>
      <c r="BC255" s="241"/>
      <c r="BD255" s="241"/>
      <c r="BE255" s="241"/>
      <c r="BF255" s="241"/>
      <c r="BG255" s="241"/>
      <c r="BH255" s="241"/>
      <c r="BI255" s="241"/>
      <c r="BJ255" s="241"/>
      <c r="BK255" s="241"/>
      <c r="BL255" s="241"/>
      <c r="BM255" s="241"/>
      <c r="BN255" s="241"/>
      <c r="BO255" s="241"/>
      <c r="BP255" s="241"/>
      <c r="BQ255" s="241"/>
      <c r="BR255" s="241"/>
      <c r="BS255" s="241"/>
      <c r="BT255" s="241"/>
      <c r="BU255" s="241"/>
      <c r="BV255" s="241"/>
      <c r="BW255" s="241"/>
      <c r="BX255" s="241"/>
      <c r="BY255" s="241" t="str">
        <f>" " &amp; TEXT(AE255,"#0.00%") &amp; " "</f>
        <v xml:space="preserve"> 0.00% </v>
      </c>
      <c r="BZ255" s="241"/>
      <c r="CA255" s="241"/>
      <c r="CB255" s="241"/>
      <c r="CC255" s="241" t="str">
        <f>"      " &amp; "오픈 실시" &amp; "(PL)" &amp; " " &amp; IF(P255="","",TEXT(P255,"M/D-")) &amp; IF(Q255="","",TEXT(Q255,"M/D")) &amp; " "</f>
        <v xml:space="preserve">      오픈 실시(PL) 12/29-1/30 </v>
      </c>
      <c r="CD255" s="241"/>
      <c r="CE255" s="241"/>
      <c r="CF255" s="241"/>
      <c r="CG255" s="241"/>
    </row>
    <row r="256" spans="1:85" ht="12" customHeight="1" outlineLevel="1">
      <c r="A256" s="227"/>
      <c r="B256" s="227" t="s">
        <v>1766</v>
      </c>
      <c r="C256" s="227">
        <v>2</v>
      </c>
      <c r="D256" s="235" t="s">
        <v>2073</v>
      </c>
      <c r="E256" s="228"/>
      <c r="F256" s="228" t="s">
        <v>1694</v>
      </c>
      <c r="G256" s="228"/>
      <c r="H256" s="228"/>
      <c r="I256" s="228"/>
      <c r="J256" s="228"/>
      <c r="K256" s="228"/>
      <c r="L256" s="228"/>
      <c r="M256" s="228"/>
      <c r="N256" s="228"/>
      <c r="O256" s="228"/>
      <c r="P256" s="250">
        <v>45870</v>
      </c>
      <c r="Q256" s="250">
        <v>46069</v>
      </c>
      <c r="R256" s="228"/>
      <c r="S256" s="229">
        <v>122.5</v>
      </c>
      <c r="T256" s="229">
        <v>0</v>
      </c>
      <c r="U256" s="229">
        <v>133</v>
      </c>
      <c r="V256" s="229">
        <v>0</v>
      </c>
      <c r="W256" s="250"/>
      <c r="X256" s="250"/>
      <c r="Y256" s="230">
        <v>0</v>
      </c>
      <c r="Z256" s="231">
        <v>0</v>
      </c>
      <c r="AA256" s="229"/>
      <c r="AB256" s="228"/>
      <c r="AC256" s="191"/>
      <c r="AD256" s="234">
        <v>0</v>
      </c>
      <c r="AE256" s="254">
        <v>0</v>
      </c>
      <c r="AF256" s="240"/>
      <c r="AG256" s="241"/>
      <c r="AH256" s="241"/>
      <c r="AI256" s="241"/>
      <c r="AJ256" s="241"/>
      <c r="AK256" s="241"/>
      <c r="AL256" s="241"/>
      <c r="AM256" s="241"/>
      <c r="AN256" s="241"/>
      <c r="AO256" s="241"/>
      <c r="AP256" s="241"/>
      <c r="AQ256" s="241"/>
      <c r="AR256" s="241"/>
      <c r="AS256" s="241"/>
      <c r="AT256" s="241"/>
      <c r="AU256" s="241"/>
      <c r="AV256" s="241"/>
      <c r="AW256" s="241"/>
      <c r="AX256" s="241"/>
      <c r="AY256" s="241"/>
      <c r="AZ256" s="241"/>
      <c r="BA256" s="241"/>
      <c r="BB256" s="241"/>
      <c r="BC256" s="241" t="str">
        <f>"     " &amp; TEXT(AE256,"#0.00%") &amp; " "</f>
        <v xml:space="preserve">     0.00% </v>
      </c>
      <c r="BD256" s="241"/>
      <c r="BE256" s="241"/>
      <c r="BF256" s="241"/>
      <c r="BG256" s="241"/>
      <c r="BH256" s="241"/>
      <c r="BI256" s="241"/>
      <c r="BJ256" s="241"/>
      <c r="BK256" s="241"/>
      <c r="BL256" s="241"/>
      <c r="BM256" s="241"/>
      <c r="BN256" s="241"/>
      <c r="BO256" s="241"/>
      <c r="BP256" s="241"/>
      <c r="BQ256" s="241"/>
      <c r="BR256" s="241"/>
      <c r="BS256" s="241"/>
      <c r="BT256" s="241"/>
      <c r="BU256" s="241"/>
      <c r="BV256" s="241"/>
      <c r="BW256" s="241"/>
      <c r="BX256" s="241"/>
      <c r="BY256" s="241"/>
      <c r="BZ256" s="241"/>
      <c r="CA256" s="241"/>
      <c r="CB256" s="241"/>
      <c r="CC256" s="241"/>
      <c r="CD256" s="241"/>
      <c r="CE256" s="241"/>
      <c r="CF256" s="241" t="str">
        <f>"  " &amp; "오픈 안정화" &amp; " " &amp; IF(P256="","",TEXT(P256,"M/D-")) &amp; IF(Q256="","",TEXT(Q256,"M/D")) &amp; " "</f>
        <v xml:space="preserve">  오픈 안정화 8/1-2/16 </v>
      </c>
      <c r="CG256" s="241"/>
    </row>
    <row r="257" spans="1:85" ht="12" customHeight="1" outlineLevel="2">
      <c r="A257" s="227"/>
      <c r="B257" s="227"/>
      <c r="C257" s="227">
        <v>3</v>
      </c>
      <c r="D257" s="235" t="s">
        <v>2074</v>
      </c>
      <c r="E257" s="228"/>
      <c r="F257" s="228"/>
      <c r="G257" s="228" t="s">
        <v>1695</v>
      </c>
      <c r="H257" s="228"/>
      <c r="I257" s="228"/>
      <c r="J257" s="228"/>
      <c r="K257" s="228"/>
      <c r="L257" s="228"/>
      <c r="M257" s="228"/>
      <c r="N257" s="228"/>
      <c r="O257" s="228"/>
      <c r="P257" s="250">
        <v>45870</v>
      </c>
      <c r="Q257" s="250">
        <v>46010</v>
      </c>
      <c r="R257" s="228"/>
      <c r="S257" s="229">
        <v>9.5</v>
      </c>
      <c r="T257" s="229">
        <v>0</v>
      </c>
      <c r="U257" s="229">
        <v>95</v>
      </c>
      <c r="V257" s="229">
        <v>0</v>
      </c>
      <c r="W257" s="250"/>
      <c r="X257" s="250"/>
      <c r="Y257" s="230"/>
      <c r="Z257" s="231">
        <v>0</v>
      </c>
      <c r="AA257" s="229">
        <v>0.1</v>
      </c>
      <c r="AB257" s="228" t="s">
        <v>1892</v>
      </c>
      <c r="AC257" s="191" t="s">
        <v>1902</v>
      </c>
      <c r="AD257" s="234">
        <v>0</v>
      </c>
      <c r="AE257" s="253">
        <v>0</v>
      </c>
      <c r="AF257" s="240"/>
      <c r="AG257" s="241"/>
      <c r="AH257" s="241"/>
      <c r="AI257" s="241"/>
      <c r="AJ257" s="241"/>
      <c r="AK257" s="241"/>
      <c r="AL257" s="241"/>
      <c r="AM257" s="241"/>
      <c r="AN257" s="241"/>
      <c r="AO257" s="241"/>
      <c r="AP257" s="241"/>
      <c r="AQ257" s="241"/>
      <c r="AR257" s="241"/>
      <c r="AS257" s="241"/>
      <c r="AT257" s="241"/>
      <c r="AU257" s="241"/>
      <c r="AV257" s="241"/>
      <c r="AW257" s="241"/>
      <c r="AX257" s="241"/>
      <c r="AY257" s="241"/>
      <c r="AZ257" s="241"/>
      <c r="BA257" s="241"/>
      <c r="BB257" s="241"/>
      <c r="BC257" s="241" t="str">
        <f>"     " &amp; TEXT(AE257,"#0.00%") &amp; " "</f>
        <v xml:space="preserve">     0.00% </v>
      </c>
      <c r="BD257" s="241"/>
      <c r="BE257" s="241"/>
      <c r="BF257" s="241"/>
      <c r="BG257" s="241"/>
      <c r="BH257" s="241"/>
      <c r="BI257" s="241"/>
      <c r="BJ257" s="241"/>
      <c r="BK257" s="241"/>
      <c r="BL257" s="241"/>
      <c r="BM257" s="241"/>
      <c r="BN257" s="241"/>
      <c r="BO257" s="241"/>
      <c r="BP257" s="241"/>
      <c r="BQ257" s="241"/>
      <c r="BR257" s="241"/>
      <c r="BS257" s="241"/>
      <c r="BT257" s="241"/>
      <c r="BU257" s="241"/>
      <c r="BV257" s="241"/>
      <c r="BW257" s="241" t="str">
        <f>"      " &amp; "오픈 안정화계획 수립" &amp; "(PL)" &amp; " " &amp; IF(P257="","",TEXT(P257,"M/D-")) &amp; IF(Q257="","",TEXT(Q257,"M/D")) &amp; " "</f>
        <v xml:space="preserve">      오픈 안정화계획 수립(PL) 8/1-12/19 </v>
      </c>
      <c r="BX257" s="241"/>
      <c r="BY257" s="241"/>
      <c r="BZ257" s="241"/>
      <c r="CA257" s="241"/>
      <c r="CB257" s="241"/>
      <c r="CC257" s="241"/>
      <c r="CD257" s="241"/>
      <c r="CE257" s="241"/>
      <c r="CF257" s="241"/>
      <c r="CG257" s="241"/>
    </row>
    <row r="258" spans="1:85" ht="12" customHeight="1" outlineLevel="2">
      <c r="A258" s="227"/>
      <c r="B258" s="227"/>
      <c r="C258" s="227">
        <v>3</v>
      </c>
      <c r="D258" s="235" t="s">
        <v>2075</v>
      </c>
      <c r="E258" s="228"/>
      <c r="F258" s="228"/>
      <c r="G258" s="228" t="s">
        <v>1696</v>
      </c>
      <c r="H258" s="228"/>
      <c r="I258" s="228"/>
      <c r="J258" s="228"/>
      <c r="K258" s="228"/>
      <c r="L258" s="228"/>
      <c r="M258" s="228"/>
      <c r="N258" s="228"/>
      <c r="O258" s="228"/>
      <c r="P258" s="250">
        <v>45901</v>
      </c>
      <c r="Q258" s="250">
        <v>46069</v>
      </c>
      <c r="R258" s="228"/>
      <c r="S258" s="229">
        <v>113</v>
      </c>
      <c r="T258" s="229">
        <v>0</v>
      </c>
      <c r="U258" s="229">
        <v>113</v>
      </c>
      <c r="V258" s="229">
        <v>0</v>
      </c>
      <c r="W258" s="250"/>
      <c r="X258" s="250"/>
      <c r="Y258" s="230"/>
      <c r="Z258" s="231">
        <v>0</v>
      </c>
      <c r="AA258" s="229">
        <v>1</v>
      </c>
      <c r="AB258" s="228" t="s">
        <v>1892</v>
      </c>
      <c r="AC258" s="191" t="s">
        <v>1903</v>
      </c>
      <c r="AD258" s="234">
        <v>0</v>
      </c>
      <c r="AE258" s="253">
        <v>0</v>
      </c>
      <c r="AF258" s="240"/>
      <c r="AG258" s="241"/>
      <c r="AH258" s="241"/>
      <c r="AI258" s="241"/>
      <c r="AJ258" s="241"/>
      <c r="AK258" s="241"/>
      <c r="AL258" s="241"/>
      <c r="AM258" s="241"/>
      <c r="AN258" s="241"/>
      <c r="AO258" s="241"/>
      <c r="AP258" s="241"/>
      <c r="AQ258" s="241"/>
      <c r="AR258" s="241"/>
      <c r="AS258" s="241"/>
      <c r="AT258" s="241"/>
      <c r="AU258" s="241"/>
      <c r="AV258" s="241"/>
      <c r="AW258" s="241"/>
      <c r="AX258" s="241"/>
      <c r="AY258" s="241"/>
      <c r="AZ258" s="241"/>
      <c r="BA258" s="241"/>
      <c r="BB258" s="241"/>
      <c r="BC258" s="241"/>
      <c r="BD258" s="241"/>
      <c r="BE258" s="241"/>
      <c r="BF258" s="241"/>
      <c r="BG258" s="241"/>
      <c r="BH258" s="241" t="str">
        <f>" " &amp; TEXT(AE258,"#0.00%") &amp; " "</f>
        <v xml:space="preserve"> 0.00% </v>
      </c>
      <c r="BI258" s="241"/>
      <c r="BJ258" s="241"/>
      <c r="BK258" s="241"/>
      <c r="BL258" s="241"/>
      <c r="BM258" s="241"/>
      <c r="BN258" s="241"/>
      <c r="BO258" s="241"/>
      <c r="BP258" s="241"/>
      <c r="BQ258" s="241"/>
      <c r="BR258" s="241"/>
      <c r="BS258" s="241"/>
      <c r="BT258" s="241"/>
      <c r="BU258" s="241"/>
      <c r="BV258" s="241"/>
      <c r="BW258" s="241"/>
      <c r="BX258" s="241"/>
      <c r="BY258" s="241"/>
      <c r="BZ258" s="241"/>
      <c r="CA258" s="241"/>
      <c r="CB258" s="241"/>
      <c r="CC258" s="241"/>
      <c r="CD258" s="241"/>
      <c r="CE258" s="241"/>
      <c r="CF258" s="241" t="str">
        <f>"  " &amp; "안정화 수행" &amp; "(PL)" &amp; " " &amp; IF(P258="","",TEXT(P258,"M/D-")) &amp; IF(Q258="","",TEXT(Q258,"M/D")) &amp; " "</f>
        <v xml:space="preserve">  안정화 수행(PL) 9/1-2/16 </v>
      </c>
      <c r="CG258" s="241"/>
    </row>
    <row r="259" spans="1:85" ht="12" customHeight="1">
      <c r="A259" s="227"/>
      <c r="B259" s="227" t="s">
        <v>1766</v>
      </c>
      <c r="C259" s="227">
        <v>1</v>
      </c>
      <c r="D259" s="235" t="s">
        <v>1550</v>
      </c>
      <c r="E259" s="228" t="s">
        <v>1697</v>
      </c>
      <c r="F259" s="228"/>
      <c r="G259" s="228"/>
      <c r="H259" s="228"/>
      <c r="I259" s="228"/>
      <c r="J259" s="228"/>
      <c r="K259" s="228"/>
      <c r="L259" s="228"/>
      <c r="M259" s="228"/>
      <c r="N259" s="228"/>
      <c r="O259" s="228"/>
      <c r="P259" s="250">
        <v>45964</v>
      </c>
      <c r="Q259" s="250">
        <v>46066</v>
      </c>
      <c r="R259" s="228"/>
      <c r="S259" s="229">
        <v>11.100000000000001</v>
      </c>
      <c r="T259" s="229">
        <v>0</v>
      </c>
      <c r="U259" s="229">
        <v>73</v>
      </c>
      <c r="V259" s="229">
        <v>0</v>
      </c>
      <c r="W259" s="250"/>
      <c r="X259" s="250"/>
      <c r="Y259" s="230">
        <v>0</v>
      </c>
      <c r="Z259" s="231">
        <v>0</v>
      </c>
      <c r="AA259" s="229"/>
      <c r="AB259" s="228"/>
      <c r="AC259" s="191"/>
      <c r="AD259" s="234">
        <v>0</v>
      </c>
      <c r="AE259" s="254">
        <v>0</v>
      </c>
      <c r="AF259" s="240"/>
      <c r="AG259" s="241"/>
      <c r="AH259" s="241"/>
      <c r="AI259" s="241"/>
      <c r="AJ259" s="241"/>
      <c r="AK259" s="241"/>
      <c r="AL259" s="241"/>
      <c r="AM259" s="241"/>
      <c r="AN259" s="241"/>
      <c r="AO259" s="241"/>
      <c r="AP259" s="241"/>
      <c r="AQ259" s="241"/>
      <c r="AR259" s="241"/>
      <c r="AS259" s="241"/>
      <c r="AT259" s="241"/>
      <c r="AU259" s="241"/>
      <c r="AV259" s="241"/>
      <c r="AW259" s="241"/>
      <c r="AX259" s="241"/>
      <c r="AY259" s="241"/>
      <c r="AZ259" s="241"/>
      <c r="BA259" s="241"/>
      <c r="BB259" s="241"/>
      <c r="BC259" s="241"/>
      <c r="BD259" s="241"/>
      <c r="BE259" s="241"/>
      <c r="BF259" s="241"/>
      <c r="BG259" s="241"/>
      <c r="BH259" s="241"/>
      <c r="BI259" s="241"/>
      <c r="BJ259" s="241"/>
      <c r="BK259" s="241"/>
      <c r="BL259" s="241"/>
      <c r="BM259" s="241"/>
      <c r="BN259" s="241"/>
      <c r="BO259" s="241"/>
      <c r="BP259" s="241"/>
      <c r="BQ259" s="241" t="str">
        <f>" " &amp; TEXT(AE259,"#0.00%") &amp; " "</f>
        <v xml:space="preserve"> 0.00% </v>
      </c>
      <c r="BR259" s="241"/>
      <c r="BS259" s="241"/>
      <c r="BT259" s="241"/>
      <c r="BU259" s="241"/>
      <c r="BV259" s="241"/>
      <c r="BW259" s="241"/>
      <c r="BX259" s="241"/>
      <c r="BY259" s="241"/>
      <c r="BZ259" s="241"/>
      <c r="CA259" s="241"/>
      <c r="CB259" s="241"/>
      <c r="CC259" s="241"/>
      <c r="CD259" s="241"/>
      <c r="CE259" s="241" t="str">
        <f>"      " &amp; "인수인계" &amp; " " &amp; IF(P259="","",TEXT(P259,"M/D-")) &amp; IF(Q259="","",TEXT(Q259,"M/D")) &amp; " "</f>
        <v xml:space="preserve">      인수인계 11/3-2/13 </v>
      </c>
      <c r="CF259" s="241"/>
      <c r="CG259" s="241"/>
    </row>
    <row r="260" spans="1:85" ht="12" customHeight="1" outlineLevel="1">
      <c r="A260" s="227"/>
      <c r="B260" s="227"/>
      <c r="C260" s="227">
        <v>2</v>
      </c>
      <c r="D260" s="235" t="s">
        <v>2076</v>
      </c>
      <c r="E260" s="228"/>
      <c r="F260" s="228" t="s">
        <v>1698</v>
      </c>
      <c r="G260" s="228"/>
      <c r="H260" s="228"/>
      <c r="I260" s="228"/>
      <c r="J260" s="228"/>
      <c r="K260" s="228"/>
      <c r="L260" s="228"/>
      <c r="M260" s="228"/>
      <c r="N260" s="228"/>
      <c r="O260" s="228"/>
      <c r="P260" s="250">
        <v>45964</v>
      </c>
      <c r="Q260" s="250">
        <v>46017</v>
      </c>
      <c r="R260" s="228"/>
      <c r="S260" s="229">
        <v>3.9000000000000004</v>
      </c>
      <c r="T260" s="229">
        <v>0</v>
      </c>
      <c r="U260" s="229">
        <v>39</v>
      </c>
      <c r="V260" s="229">
        <v>0</v>
      </c>
      <c r="W260" s="250"/>
      <c r="X260" s="250"/>
      <c r="Y260" s="230"/>
      <c r="Z260" s="231">
        <v>0</v>
      </c>
      <c r="AA260" s="229">
        <v>0.1</v>
      </c>
      <c r="AB260" s="228" t="s">
        <v>1892</v>
      </c>
      <c r="AC260" s="191" t="s">
        <v>1904</v>
      </c>
      <c r="AD260" s="234">
        <v>0</v>
      </c>
      <c r="AE260" s="253">
        <v>0</v>
      </c>
      <c r="AF260" s="240"/>
      <c r="AG260" s="241"/>
      <c r="AH260" s="241"/>
      <c r="AI260" s="241"/>
      <c r="AJ260" s="241"/>
      <c r="AK260" s="241"/>
      <c r="AL260" s="241"/>
      <c r="AM260" s="241"/>
      <c r="AN260" s="241"/>
      <c r="AO260" s="241"/>
      <c r="AP260" s="241"/>
      <c r="AQ260" s="241"/>
      <c r="AR260" s="241"/>
      <c r="AS260" s="241"/>
      <c r="AT260" s="241"/>
      <c r="AU260" s="241"/>
      <c r="AV260" s="241"/>
      <c r="AW260" s="241"/>
      <c r="AX260" s="241"/>
      <c r="AY260" s="241"/>
      <c r="AZ260" s="241"/>
      <c r="BA260" s="241"/>
      <c r="BB260" s="241"/>
      <c r="BC260" s="241"/>
      <c r="BD260" s="241"/>
      <c r="BE260" s="241"/>
      <c r="BF260" s="241"/>
      <c r="BG260" s="241"/>
      <c r="BH260" s="241"/>
      <c r="BI260" s="241"/>
      <c r="BJ260" s="241"/>
      <c r="BK260" s="241"/>
      <c r="BL260" s="241"/>
      <c r="BM260" s="241"/>
      <c r="BN260" s="241"/>
      <c r="BO260" s="241"/>
      <c r="BP260" s="241"/>
      <c r="BQ260" s="241" t="str">
        <f>" " &amp; TEXT(AE260,"#0.00%") &amp; " "</f>
        <v xml:space="preserve"> 0.00% </v>
      </c>
      <c r="BR260" s="241"/>
      <c r="BS260" s="241"/>
      <c r="BT260" s="241"/>
      <c r="BU260" s="241"/>
      <c r="BV260" s="241"/>
      <c r="BW260" s="241"/>
      <c r="BX260" s="241" t="str">
        <f>"      " &amp; "인수인계 산출물 작성 " &amp; "(PL)" &amp; " " &amp; IF(P260="","",TEXT(P260,"M/D-")) &amp; IF(Q260="","",TEXT(Q260,"M/D")) &amp; " "</f>
        <v xml:space="preserve">      인수인계 산출물 작성 (PL) 11/3-12/26 </v>
      </c>
      <c r="BY260" s="241"/>
      <c r="BZ260" s="241"/>
      <c r="CA260" s="241"/>
      <c r="CB260" s="241"/>
      <c r="CC260" s="241"/>
      <c r="CD260" s="241"/>
      <c r="CE260" s="241"/>
      <c r="CF260" s="241"/>
      <c r="CG260" s="241"/>
    </row>
    <row r="261" spans="1:85" ht="12" customHeight="1" outlineLevel="1">
      <c r="A261" s="227"/>
      <c r="B261" s="227"/>
      <c r="C261" s="227">
        <v>2</v>
      </c>
      <c r="D261" s="235" t="s">
        <v>2077</v>
      </c>
      <c r="E261" s="228"/>
      <c r="F261" s="228" t="s">
        <v>1699</v>
      </c>
      <c r="G261" s="228"/>
      <c r="H261" s="228"/>
      <c r="I261" s="228"/>
      <c r="J261" s="228"/>
      <c r="K261" s="228"/>
      <c r="L261" s="228"/>
      <c r="M261" s="228"/>
      <c r="N261" s="228"/>
      <c r="O261" s="228"/>
      <c r="P261" s="250">
        <v>46006</v>
      </c>
      <c r="Q261" s="250">
        <v>46022</v>
      </c>
      <c r="R261" s="228"/>
      <c r="S261" s="229">
        <v>1.2000000000000002</v>
      </c>
      <c r="T261" s="229">
        <v>0</v>
      </c>
      <c r="U261" s="229">
        <v>12</v>
      </c>
      <c r="V261" s="229">
        <v>0</v>
      </c>
      <c r="W261" s="250"/>
      <c r="X261" s="250"/>
      <c r="Y261" s="230"/>
      <c r="Z261" s="231">
        <v>0</v>
      </c>
      <c r="AA261" s="229">
        <v>0.1</v>
      </c>
      <c r="AB261" s="228" t="s">
        <v>1892</v>
      </c>
      <c r="AC261" s="191" t="s">
        <v>1905</v>
      </c>
      <c r="AD261" s="234">
        <v>0</v>
      </c>
      <c r="AE261" s="253">
        <v>0</v>
      </c>
      <c r="AF261" s="240"/>
      <c r="AG261" s="241"/>
      <c r="AH261" s="241"/>
      <c r="AI261" s="241"/>
      <c r="AJ261" s="241"/>
      <c r="AK261" s="241"/>
      <c r="AL261" s="241"/>
      <c r="AM261" s="241"/>
      <c r="AN261" s="241"/>
      <c r="AO261" s="241"/>
      <c r="AP261" s="241"/>
      <c r="AQ261" s="241"/>
      <c r="AR261" s="241"/>
      <c r="AS261" s="241"/>
      <c r="AT261" s="241"/>
      <c r="AU261" s="241"/>
      <c r="AV261" s="241"/>
      <c r="AW261" s="241"/>
      <c r="AX261" s="241"/>
      <c r="AY261" s="241"/>
      <c r="AZ261" s="241"/>
      <c r="BA261" s="241"/>
      <c r="BB261" s="241"/>
      <c r="BC261" s="241"/>
      <c r="BD261" s="241"/>
      <c r="BE261" s="241"/>
      <c r="BF261" s="241"/>
      <c r="BG261" s="241"/>
      <c r="BH261" s="241"/>
      <c r="BI261" s="241"/>
      <c r="BJ261" s="241"/>
      <c r="BK261" s="241"/>
      <c r="BL261" s="241"/>
      <c r="BM261" s="241"/>
      <c r="BN261" s="241"/>
      <c r="BO261" s="241"/>
      <c r="BP261" s="241"/>
      <c r="BQ261" s="241"/>
      <c r="BR261" s="241"/>
      <c r="BS261" s="241"/>
      <c r="BT261" s="241"/>
      <c r="BU261" s="241"/>
      <c r="BV261" s="241"/>
      <c r="BW261" s="241" t="str">
        <f>" " &amp; TEXT(AE261,"#0.00%") &amp; " " &amp; "인수인계 계획수립" &amp; "(PL)" &amp; " " &amp; IF(P261="","",TEXT(P261,"M/D-")) &amp; IF(Q261="","",TEXT(Q261,"M/D")) &amp; " "</f>
        <v xml:space="preserve"> 0.00% 인수인계 계획수립(PL) 12/15-12/31 </v>
      </c>
      <c r="BX261" s="241"/>
      <c r="BY261" s="241"/>
      <c r="BZ261" s="241"/>
      <c r="CA261" s="241"/>
      <c r="CB261" s="241"/>
      <c r="CC261" s="241"/>
      <c r="CD261" s="241"/>
      <c r="CE261" s="241"/>
      <c r="CF261" s="241"/>
      <c r="CG261" s="241"/>
    </row>
    <row r="262" spans="1:85" ht="12" customHeight="1" outlineLevel="1">
      <c r="A262" s="227"/>
      <c r="B262" s="227"/>
      <c r="C262" s="227">
        <v>2</v>
      </c>
      <c r="D262" s="235" t="s">
        <v>2078</v>
      </c>
      <c r="E262" s="228"/>
      <c r="F262" s="228" t="s">
        <v>1700</v>
      </c>
      <c r="G262" s="228"/>
      <c r="H262" s="228"/>
      <c r="I262" s="228"/>
      <c r="J262" s="228"/>
      <c r="K262" s="228"/>
      <c r="L262" s="228"/>
      <c r="M262" s="228"/>
      <c r="N262" s="228"/>
      <c r="O262" s="228"/>
      <c r="P262" s="250">
        <v>46039</v>
      </c>
      <c r="Q262" s="250">
        <v>46066</v>
      </c>
      <c r="R262" s="228"/>
      <c r="S262" s="229">
        <v>6</v>
      </c>
      <c r="T262" s="229">
        <v>0</v>
      </c>
      <c r="U262" s="229">
        <v>20</v>
      </c>
      <c r="V262" s="229">
        <v>0</v>
      </c>
      <c r="W262" s="250"/>
      <c r="X262" s="250"/>
      <c r="Y262" s="230"/>
      <c r="Z262" s="231">
        <v>0</v>
      </c>
      <c r="AA262" s="229">
        <v>0.3</v>
      </c>
      <c r="AB262" s="228" t="s">
        <v>1892</v>
      </c>
      <c r="AC262" s="191" t="s">
        <v>1905</v>
      </c>
      <c r="AD262" s="234">
        <v>0</v>
      </c>
      <c r="AE262" s="253">
        <v>0</v>
      </c>
      <c r="AF262" s="240"/>
      <c r="AG262" s="241"/>
      <c r="AH262" s="241"/>
      <c r="AI262" s="241"/>
      <c r="AJ262" s="241"/>
      <c r="AK262" s="241"/>
      <c r="AL262" s="241"/>
      <c r="AM262" s="241"/>
      <c r="AN262" s="241"/>
      <c r="AO262" s="241"/>
      <c r="AP262" s="241"/>
      <c r="AQ262" s="241"/>
      <c r="AR262" s="241"/>
      <c r="AS262" s="241"/>
      <c r="AT262" s="241"/>
      <c r="AU262" s="241"/>
      <c r="AV262" s="241"/>
      <c r="AW262" s="241"/>
      <c r="AX262" s="241"/>
      <c r="AY262" s="241"/>
      <c r="AZ262" s="241"/>
      <c r="BA262" s="241"/>
      <c r="BB262" s="241"/>
      <c r="BC262" s="241"/>
      <c r="BD262" s="241"/>
      <c r="BE262" s="241"/>
      <c r="BF262" s="241"/>
      <c r="BG262" s="241"/>
      <c r="BH262" s="241"/>
      <c r="BI262" s="241"/>
      <c r="BJ262" s="241"/>
      <c r="BK262" s="241"/>
      <c r="BL262" s="241"/>
      <c r="BM262" s="241"/>
      <c r="BN262" s="241"/>
      <c r="BO262" s="241"/>
      <c r="BP262" s="241"/>
      <c r="BQ262" s="241"/>
      <c r="BR262" s="241"/>
      <c r="BS262" s="241"/>
      <c r="BT262" s="241"/>
      <c r="BU262" s="241"/>
      <c r="BV262" s="241"/>
      <c r="BW262" s="241"/>
      <c r="BX262" s="241"/>
      <c r="BY262" s="241"/>
      <c r="BZ262" s="241"/>
      <c r="CA262" s="241" t="str">
        <f>"      " &amp; TEXT(AE262,"#0.00%") &amp; " "</f>
        <v xml:space="preserve">      0.00% </v>
      </c>
      <c r="CB262" s="241"/>
      <c r="CC262" s="241"/>
      <c r="CD262" s="241"/>
      <c r="CE262" s="241" t="str">
        <f>"      " &amp; "인수인계 수행" &amp; "(PL)" &amp; " " &amp; IF(P262="","",TEXT(P262,"M/D-")) &amp; IF(Q262="","",TEXT(Q262,"M/D")) &amp; " "</f>
        <v xml:space="preserve">      인수인계 수행(PL) 1/17-2/13 </v>
      </c>
      <c r="CF262" s="241"/>
      <c r="CG262" s="241"/>
    </row>
    <row r="263" spans="1:85" ht="12" customHeight="1">
      <c r="A263" s="118"/>
      <c r="B263" s="118"/>
      <c r="C263" s="118"/>
      <c r="D263" s="119"/>
      <c r="E263" s="120"/>
      <c r="F263" s="120"/>
      <c r="G263" s="120"/>
      <c r="H263" s="120"/>
      <c r="I263" s="120"/>
      <c r="J263" s="120"/>
      <c r="K263" s="120"/>
      <c r="L263" s="120"/>
      <c r="M263" s="120"/>
      <c r="N263" s="120"/>
      <c r="O263" s="120"/>
      <c r="P263" s="186"/>
      <c r="Q263" s="186"/>
      <c r="R263" s="120"/>
      <c r="S263" s="121"/>
      <c r="T263" s="121"/>
      <c r="U263" s="121"/>
      <c r="V263" s="121"/>
      <c r="W263" s="186"/>
      <c r="X263" s="186"/>
      <c r="Y263" s="122"/>
      <c r="Z263" s="123"/>
      <c r="AA263" s="121"/>
      <c r="AB263" s="120"/>
      <c r="AC263" s="124"/>
      <c r="AD263" s="125"/>
      <c r="AE263" s="126"/>
      <c r="AF263" s="237"/>
      <c r="AG263" s="237"/>
      <c r="AH263" s="237"/>
      <c r="AI263" s="237"/>
      <c r="AJ263" s="237"/>
      <c r="AK263" s="237"/>
      <c r="AL263" s="237"/>
      <c r="AM263" s="237"/>
      <c r="AN263" s="237"/>
      <c r="AO263" s="237"/>
      <c r="AP263" s="237"/>
      <c r="AQ263" s="237"/>
      <c r="AR263" s="237"/>
      <c r="AS263" s="237"/>
      <c r="AT263" s="237"/>
      <c r="AU263" s="237"/>
      <c r="AV263" s="237"/>
      <c r="AW263" s="237"/>
      <c r="AX263" s="237"/>
      <c r="AY263" s="237"/>
      <c r="AZ263" s="237"/>
      <c r="BA263" s="237"/>
      <c r="BB263" s="237"/>
      <c r="BC263" s="237"/>
      <c r="BD263" s="237"/>
      <c r="BE263" s="237"/>
      <c r="BF263" s="237"/>
      <c r="BG263" s="237"/>
      <c r="BH263" s="237"/>
      <c r="BI263" s="237"/>
      <c r="BJ263" s="237"/>
      <c r="BK263" s="237"/>
      <c r="BL263" s="237"/>
      <c r="BM263" s="237"/>
      <c r="BN263" s="237"/>
      <c r="BO263" s="237"/>
      <c r="BP263" s="237"/>
      <c r="BQ263" s="237"/>
      <c r="BR263" s="237"/>
      <c r="BS263" s="237"/>
      <c r="BT263" s="237"/>
      <c r="BU263" s="237"/>
      <c r="BV263" s="237"/>
      <c r="BW263" s="237"/>
      <c r="BX263" s="237"/>
      <c r="BY263" s="237"/>
      <c r="BZ263" s="237"/>
      <c r="CA263" s="237"/>
      <c r="CB263" s="237"/>
      <c r="CC263" s="237"/>
      <c r="CD263" s="237"/>
      <c r="CE263" s="237"/>
      <c r="CF263" s="237"/>
      <c r="CG263" s="237"/>
    </row>
  </sheetData>
  <sheetProtection formatCells="0" formatColumns="0" formatRows="0" insertColumns="0" insertRows="0" insertHyperlinks="0" deleteColumns="0" deleteRows="0" sort="0" autoFilter="0" pivotTables="0"/>
  <dataConsolidate/>
  <mergeCells count="51">
    <mergeCell ref="BD2:BG2"/>
    <mergeCell ref="BH2:BK2"/>
    <mergeCell ref="BL2:BO2"/>
    <mergeCell ref="BP2:BS2"/>
    <mergeCell ref="BT2:BW2"/>
    <mergeCell ref="BX2:CA2"/>
    <mergeCell ref="CB2:CE2"/>
    <mergeCell ref="CF2:CI2"/>
    <mergeCell ref="BX3:CA3"/>
    <mergeCell ref="CB3:CE3"/>
    <mergeCell ref="CF3:CI3"/>
    <mergeCell ref="BD3:BG3"/>
    <mergeCell ref="BH3:BK3"/>
    <mergeCell ref="BL3:BO3"/>
    <mergeCell ref="BP3:BS3"/>
    <mergeCell ref="BT3:BW3"/>
    <mergeCell ref="AC3:AC4"/>
    <mergeCell ref="AD3:AD4"/>
    <mergeCell ref="A3:A4"/>
    <mergeCell ref="B3:B4"/>
    <mergeCell ref="C3:C4"/>
    <mergeCell ref="D3:D4"/>
    <mergeCell ref="E3:N4"/>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R3:AU3"/>
    <mergeCell ref="AR2:AU2"/>
    <mergeCell ref="AV3:AY3"/>
    <mergeCell ref="AV2:AY2"/>
    <mergeCell ref="AZ3:BC3"/>
    <mergeCell ref="AZ2:BC2"/>
    <mergeCell ref="AF3:AI3"/>
    <mergeCell ref="AF2:AI2"/>
    <mergeCell ref="AJ3:AM3"/>
    <mergeCell ref="AJ2:AM2"/>
    <mergeCell ref="AN3:AQ3"/>
    <mergeCell ref="AN2:AQ2"/>
  </mergeCells>
  <phoneticPr fontId="4" type="noConversion"/>
  <conditionalFormatting sqref="D5:AD262">
    <cfRule type="expression" dxfId="0" priority="1">
      <formula>($B5="G")</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18"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J23" sqref="J23"/>
    </sheetView>
  </sheetViews>
  <sheetFormatPr defaultRowHeight="17.399999999999999"/>
  <sheetData/>
  <phoneticPr fontId="4"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1736</v>
      </c>
      <c r="B1" s="2"/>
      <c r="C1" s="2"/>
      <c r="D1" s="2"/>
      <c r="E1" s="2"/>
      <c r="F1" s="2"/>
      <c r="G1" s="2"/>
      <c r="H1" s="2"/>
      <c r="I1" s="2"/>
      <c r="J1" s="2"/>
      <c r="K1" s="2"/>
      <c r="L1" s="303"/>
      <c r="M1" s="304"/>
      <c r="N1" s="304"/>
      <c r="O1" s="3"/>
      <c r="P1" s="3"/>
      <c r="Q1" s="3"/>
    </row>
    <row r="2" spans="1:17" s="7" customFormat="1" ht="13.8">
      <c r="A2" s="5" t="s">
        <v>1420</v>
      </c>
      <c r="B2" s="6"/>
    </row>
    <row r="3" spans="1:17" s="7" customFormat="1" ht="13.8">
      <c r="A3" s="5" t="s">
        <v>1421</v>
      </c>
      <c r="B3" s="6"/>
    </row>
    <row r="4" spans="1:17" s="7" customFormat="1" ht="13.8">
      <c r="A4" s="305"/>
      <c r="B4" s="305"/>
      <c r="C4" s="8"/>
      <c r="D4" s="9"/>
      <c r="E4" s="9"/>
      <c r="F4" s="9"/>
    </row>
    <row r="5" spans="1:17" s="15" customFormat="1" ht="13.8">
      <c r="A5" s="10"/>
      <c r="B5" s="11"/>
      <c r="C5" s="12"/>
      <c r="D5" s="13"/>
      <c r="E5" s="14"/>
      <c r="F5" s="14"/>
      <c r="G5" s="14"/>
    </row>
    <row r="6" spans="1:17" s="15" customFormat="1" ht="13.8">
      <c r="A6" s="16" t="s">
        <v>1422</v>
      </c>
      <c r="B6" s="17">
        <v>1246.3999999999999</v>
      </c>
      <c r="C6" s="15" t="s">
        <v>0</v>
      </c>
      <c r="D6" s="302" t="s">
        <v>1423</v>
      </c>
      <c r="E6" s="302"/>
      <c r="F6" s="302"/>
      <c r="G6" s="302"/>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1424</v>
      </c>
      <c r="B9" s="17">
        <v>97.8</v>
      </c>
      <c r="C9" s="15" t="s">
        <v>0</v>
      </c>
      <c r="D9" s="301" t="s">
        <v>1425</v>
      </c>
      <c r="E9" s="301"/>
      <c r="F9" s="301"/>
      <c r="G9" s="301"/>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1748</v>
      </c>
      <c r="B12" s="17">
        <v>9.1</v>
      </c>
      <c r="C12" s="15" t="s">
        <v>0</v>
      </c>
      <c r="D12" s="306" t="s">
        <v>1749</v>
      </c>
      <c r="E12" s="301"/>
      <c r="F12" s="301"/>
      <c r="G12" s="301"/>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1426</v>
      </c>
      <c r="B15" s="17"/>
      <c r="C15" s="15" t="s">
        <v>0</v>
      </c>
      <c r="D15" s="301" t="s">
        <v>1427</v>
      </c>
      <c r="E15" s="301"/>
      <c r="F15" s="301"/>
      <c r="G15" s="301"/>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1428</v>
      </c>
      <c r="B18" s="39">
        <v>7.8465982028241343E-2</v>
      </c>
      <c r="D18" s="301" t="s">
        <v>1429</v>
      </c>
      <c r="E18" s="301"/>
      <c r="F18" s="301"/>
      <c r="G18" s="301"/>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1430</v>
      </c>
      <c r="B21" s="39">
        <v>7.3010269576379979E-3</v>
      </c>
      <c r="D21" s="301" t="s">
        <v>1431</v>
      </c>
      <c r="E21" s="301"/>
      <c r="F21" s="301"/>
      <c r="G21" s="301"/>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1432</v>
      </c>
      <c r="B24" s="49">
        <f>ACTUAL_RATE-PLANNED_RATE</f>
        <v>-7.1164955070603345E-2</v>
      </c>
      <c r="D24" s="302" t="s">
        <v>1433</v>
      </c>
      <c r="E24" s="302"/>
      <c r="F24" s="302"/>
      <c r="G24" s="302"/>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4"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73" customWidth="1"/>
    <col min="2" max="3" width="10.59765625" style="73" bestFit="1" customWidth="1"/>
    <col min="4" max="5" width="9.09765625" style="73"/>
    <col min="6" max="6" width="9.09765625" style="156"/>
    <col min="7" max="26" width="9.09765625" style="73"/>
    <col min="27" max="27" width="0" style="73" hidden="1" customWidth="1"/>
    <col min="28" max="16384" width="9.09765625" style="73"/>
  </cols>
  <sheetData>
    <row r="1" spans="2:15" ht="36.9" customHeight="1">
      <c r="B1" s="1" t="s">
        <v>1551</v>
      </c>
    </row>
    <row r="2" spans="2:15">
      <c r="B2" s="73" t="s">
        <v>1552</v>
      </c>
    </row>
    <row r="3" spans="2:15">
      <c r="B3" s="73" t="s">
        <v>1553</v>
      </c>
    </row>
    <row r="4" spans="2:15">
      <c r="B4" s="157">
        <v>20</v>
      </c>
      <c r="C4" s="73" t="s">
        <v>1554</v>
      </c>
    </row>
    <row r="6" spans="2:15" ht="28.8">
      <c r="B6" s="62" t="s">
        <v>1434</v>
      </c>
      <c r="C6" s="72" t="s">
        <v>1435</v>
      </c>
      <c r="D6" s="72" t="s">
        <v>1</v>
      </c>
      <c r="E6" s="72" t="s">
        <v>2</v>
      </c>
      <c r="F6" s="307" t="s">
        <v>1555</v>
      </c>
      <c r="G6" s="308"/>
      <c r="H6" s="308"/>
      <c r="I6" s="308"/>
      <c r="J6" s="308"/>
      <c r="K6" s="308"/>
      <c r="L6" s="308"/>
      <c r="M6" s="308"/>
      <c r="N6" s="308"/>
      <c r="O6" s="308"/>
    </row>
    <row r="7" spans="2:15">
      <c r="B7" s="151">
        <v>44701</v>
      </c>
      <c r="C7" s="151">
        <v>44702</v>
      </c>
      <c r="D7" s="152">
        <v>2</v>
      </c>
      <c r="E7" s="159">
        <f>D7/$B$4</f>
        <v>0.1</v>
      </c>
      <c r="F7" s="160" t="str">
        <f t="shared" ref="F7:F28" si="0">REPT("|",IF(D7&gt;0,IF(D7/1&lt;1,1,D7/1)))</f>
        <v>||</v>
      </c>
      <c r="G7" s="152"/>
      <c r="H7" s="152"/>
      <c r="I7" s="152"/>
      <c r="J7" s="152"/>
      <c r="K7" s="152"/>
      <c r="L7" s="152"/>
      <c r="M7" s="152"/>
      <c r="N7" s="152"/>
      <c r="O7" s="152"/>
    </row>
    <row r="8" spans="2:15">
      <c r="B8" s="153">
        <v>44703</v>
      </c>
      <c r="C8" s="153">
        <v>44709</v>
      </c>
      <c r="D8" s="154">
        <v>8</v>
      </c>
      <c r="E8" s="161">
        <f t="shared" ref="E8:E28" si="1">D8/$B$4</f>
        <v>0.4</v>
      </c>
      <c r="F8" s="162" t="str">
        <f t="shared" si="0"/>
        <v>||||||||</v>
      </c>
      <c r="G8" s="154"/>
      <c r="H8" s="154"/>
      <c r="I8" s="154"/>
      <c r="J8" s="154"/>
      <c r="K8" s="154"/>
      <c r="L8" s="154"/>
      <c r="M8" s="154"/>
      <c r="N8" s="154"/>
      <c r="O8" s="154"/>
    </row>
    <row r="9" spans="2:15">
      <c r="B9" s="153">
        <v>44710</v>
      </c>
      <c r="C9" s="153">
        <v>44716</v>
      </c>
      <c r="D9" s="154">
        <v>15.8</v>
      </c>
      <c r="E9" s="161">
        <f t="shared" si="1"/>
        <v>0.79</v>
      </c>
      <c r="F9" s="162" t="str">
        <f t="shared" si="0"/>
        <v>|||||||||||||||</v>
      </c>
      <c r="G9" s="154"/>
      <c r="H9" s="154"/>
      <c r="I9" s="154"/>
      <c r="J9" s="154"/>
      <c r="K9" s="154"/>
      <c r="L9" s="154"/>
      <c r="M9" s="154"/>
      <c r="N9" s="154"/>
      <c r="O9" s="154"/>
    </row>
    <row r="10" spans="2:15">
      <c r="B10" s="153">
        <v>44717</v>
      </c>
      <c r="C10" s="153">
        <v>44723</v>
      </c>
      <c r="D10" s="154">
        <v>14.8</v>
      </c>
      <c r="E10" s="161">
        <f t="shared" si="1"/>
        <v>0.74</v>
      </c>
      <c r="F10" s="162" t="str">
        <f t="shared" si="0"/>
        <v>||||||||||||||</v>
      </c>
      <c r="G10" s="154"/>
      <c r="H10" s="154"/>
      <c r="I10" s="154"/>
      <c r="J10" s="154"/>
      <c r="K10" s="154"/>
      <c r="L10" s="154"/>
      <c r="M10" s="154"/>
      <c r="N10" s="154"/>
      <c r="O10" s="154"/>
    </row>
    <row r="11" spans="2:15">
      <c r="B11" s="153">
        <v>44724</v>
      </c>
      <c r="C11" s="153">
        <v>44730</v>
      </c>
      <c r="D11" s="154">
        <v>5.8</v>
      </c>
      <c r="E11" s="161">
        <f t="shared" si="1"/>
        <v>0.28999999999999998</v>
      </c>
      <c r="F11" s="162" t="str">
        <f t="shared" si="0"/>
        <v>|||||</v>
      </c>
      <c r="G11" s="154"/>
      <c r="H11" s="154"/>
      <c r="I11" s="154"/>
      <c r="J11" s="154"/>
      <c r="K11" s="154"/>
      <c r="L11" s="154"/>
      <c r="M11" s="154"/>
      <c r="N11" s="154"/>
      <c r="O11" s="154"/>
    </row>
    <row r="12" spans="2:15">
      <c r="B12" s="153">
        <v>44731</v>
      </c>
      <c r="C12" s="153">
        <v>44737</v>
      </c>
      <c r="D12" s="154">
        <v>10</v>
      </c>
      <c r="E12" s="161">
        <f t="shared" si="1"/>
        <v>0.5</v>
      </c>
      <c r="F12" s="162" t="str">
        <f t="shared" si="0"/>
        <v>||||||||||</v>
      </c>
      <c r="G12" s="154"/>
      <c r="H12" s="154"/>
      <c r="I12" s="154"/>
      <c r="J12" s="154"/>
      <c r="K12" s="154"/>
      <c r="L12" s="154"/>
      <c r="M12" s="154"/>
      <c r="N12" s="154"/>
      <c r="O12" s="154"/>
    </row>
    <row r="13" spans="2:15">
      <c r="B13" s="153">
        <v>44738</v>
      </c>
      <c r="C13" s="153">
        <v>44744</v>
      </c>
      <c r="D13" s="154">
        <v>20</v>
      </c>
      <c r="E13" s="161">
        <f t="shared" si="1"/>
        <v>1</v>
      </c>
      <c r="F13" s="162" t="str">
        <f t="shared" si="0"/>
        <v>||||||||||||||||||||</v>
      </c>
      <c r="G13" s="154"/>
      <c r="H13" s="154"/>
      <c r="I13" s="154"/>
      <c r="J13" s="154"/>
      <c r="K13" s="154"/>
      <c r="L13" s="154"/>
      <c r="M13" s="154"/>
      <c r="N13" s="154"/>
      <c r="O13" s="154"/>
    </row>
    <row r="14" spans="2:15">
      <c r="B14" s="153">
        <v>44745</v>
      </c>
      <c r="C14" s="153">
        <v>44751</v>
      </c>
      <c r="D14" s="154">
        <v>10</v>
      </c>
      <c r="E14" s="161">
        <f t="shared" si="1"/>
        <v>0.5</v>
      </c>
      <c r="F14" s="162" t="str">
        <f t="shared" si="0"/>
        <v>||||||||||</v>
      </c>
      <c r="G14" s="154"/>
      <c r="H14" s="154"/>
      <c r="I14" s="154"/>
      <c r="J14" s="154"/>
      <c r="K14" s="154"/>
      <c r="L14" s="154"/>
      <c r="M14" s="154"/>
      <c r="N14" s="154"/>
      <c r="O14" s="154"/>
    </row>
    <row r="15" spans="2:15">
      <c r="B15" s="153">
        <v>44752</v>
      </c>
      <c r="C15" s="153">
        <v>44758</v>
      </c>
      <c r="D15" s="154">
        <v>5</v>
      </c>
      <c r="E15" s="161">
        <f t="shared" si="1"/>
        <v>0.25</v>
      </c>
      <c r="F15" s="162" t="str">
        <f t="shared" si="0"/>
        <v>|||||</v>
      </c>
      <c r="G15" s="154"/>
      <c r="H15" s="154"/>
      <c r="I15" s="154"/>
      <c r="J15" s="154"/>
      <c r="K15" s="154"/>
      <c r="L15" s="154"/>
      <c r="M15" s="154"/>
      <c r="N15" s="154"/>
      <c r="O15" s="154"/>
    </row>
    <row r="16" spans="2:15">
      <c r="B16" s="153">
        <v>44759</v>
      </c>
      <c r="C16" s="153">
        <v>44765</v>
      </c>
      <c r="D16" s="154">
        <v>25</v>
      </c>
      <c r="E16" s="161">
        <f t="shared" si="1"/>
        <v>1.25</v>
      </c>
      <c r="F16" s="162" t="str">
        <f t="shared" si="0"/>
        <v>|||||||||||||||||||||||||</v>
      </c>
      <c r="G16" s="154"/>
      <c r="H16" s="154"/>
      <c r="I16" s="154"/>
      <c r="J16" s="154"/>
      <c r="K16" s="154"/>
      <c r="L16" s="154"/>
      <c r="M16" s="154"/>
      <c r="N16" s="154"/>
      <c r="O16" s="154"/>
    </row>
    <row r="17" spans="2:15">
      <c r="B17" s="153">
        <v>44766</v>
      </c>
      <c r="C17" s="153">
        <v>44772</v>
      </c>
      <c r="D17" s="154">
        <v>15</v>
      </c>
      <c r="E17" s="161">
        <f t="shared" si="1"/>
        <v>0.75</v>
      </c>
      <c r="F17" s="162" t="str">
        <f t="shared" si="0"/>
        <v>|||||||||||||||</v>
      </c>
      <c r="G17" s="154"/>
      <c r="H17" s="154"/>
      <c r="I17" s="154"/>
      <c r="J17" s="154"/>
      <c r="K17" s="154"/>
      <c r="L17" s="154"/>
      <c r="M17" s="154"/>
      <c r="N17" s="154"/>
      <c r="O17" s="154"/>
    </row>
    <row r="18" spans="2:15">
      <c r="B18" s="153">
        <v>44773</v>
      </c>
      <c r="C18" s="153">
        <v>44779</v>
      </c>
      <c r="D18" s="154">
        <v>20</v>
      </c>
      <c r="E18" s="161">
        <f t="shared" si="1"/>
        <v>1</v>
      </c>
      <c r="F18" s="162" t="str">
        <f t="shared" si="0"/>
        <v>||||||||||||||||||||</v>
      </c>
      <c r="G18" s="154"/>
      <c r="H18" s="154"/>
      <c r="I18" s="154"/>
      <c r="J18" s="154"/>
      <c r="K18" s="154"/>
      <c r="L18" s="154"/>
      <c r="M18" s="154"/>
      <c r="N18" s="154"/>
      <c r="O18" s="154"/>
    </row>
    <row r="19" spans="2:15">
      <c r="B19" s="153">
        <v>44780</v>
      </c>
      <c r="C19" s="153">
        <v>44786</v>
      </c>
      <c r="D19" s="154">
        <v>20</v>
      </c>
      <c r="E19" s="161">
        <f t="shared" si="1"/>
        <v>1</v>
      </c>
      <c r="F19" s="162" t="str">
        <f t="shared" si="0"/>
        <v>||||||||||||||||||||</v>
      </c>
      <c r="G19" s="154"/>
      <c r="H19" s="154"/>
      <c r="I19" s="154"/>
      <c r="J19" s="154"/>
      <c r="K19" s="154"/>
      <c r="L19" s="154"/>
      <c r="M19" s="154"/>
      <c r="N19" s="154"/>
      <c r="O19" s="154"/>
    </row>
    <row r="20" spans="2:15">
      <c r="B20" s="153">
        <v>44787</v>
      </c>
      <c r="C20" s="153">
        <v>44793</v>
      </c>
      <c r="D20" s="154">
        <v>16</v>
      </c>
      <c r="E20" s="161">
        <f t="shared" si="1"/>
        <v>0.8</v>
      </c>
      <c r="F20" s="162" t="str">
        <f t="shared" si="0"/>
        <v>||||||||||||||||</v>
      </c>
      <c r="G20" s="154"/>
      <c r="H20" s="154"/>
      <c r="I20" s="154"/>
      <c r="J20" s="154"/>
      <c r="K20" s="154"/>
      <c r="L20" s="154"/>
      <c r="M20" s="154"/>
      <c r="N20" s="154"/>
      <c r="O20" s="154"/>
    </row>
    <row r="21" spans="2:15">
      <c r="B21" s="153">
        <v>44794</v>
      </c>
      <c r="C21" s="153">
        <v>44800</v>
      </c>
      <c r="D21" s="154">
        <v>21</v>
      </c>
      <c r="E21" s="161">
        <f t="shared" si="1"/>
        <v>1.05</v>
      </c>
      <c r="F21" s="162" t="str">
        <f t="shared" si="0"/>
        <v>|||||||||||||||||||||</v>
      </c>
      <c r="G21" s="154"/>
      <c r="H21" s="154"/>
      <c r="I21" s="154"/>
      <c r="J21" s="154"/>
      <c r="K21" s="154"/>
      <c r="L21" s="154"/>
      <c r="M21" s="154"/>
      <c r="N21" s="154"/>
      <c r="O21" s="154"/>
    </row>
    <row r="22" spans="2:15">
      <c r="B22" s="153">
        <v>44801</v>
      </c>
      <c r="C22" s="153">
        <v>44807</v>
      </c>
      <c r="D22" s="154">
        <v>26</v>
      </c>
      <c r="E22" s="161">
        <f t="shared" si="1"/>
        <v>1.3</v>
      </c>
      <c r="F22" s="162" t="str">
        <f t="shared" si="0"/>
        <v>||||||||||||||||||||||||||</v>
      </c>
      <c r="G22" s="154"/>
      <c r="H22" s="154"/>
      <c r="I22" s="154"/>
      <c r="J22" s="154"/>
      <c r="K22" s="154"/>
      <c r="L22" s="154"/>
      <c r="M22" s="154"/>
      <c r="N22" s="154"/>
      <c r="O22" s="154"/>
    </row>
    <row r="23" spans="2:15">
      <c r="B23" s="153">
        <v>44808</v>
      </c>
      <c r="C23" s="153">
        <v>44814</v>
      </c>
      <c r="D23" s="154">
        <v>17.8</v>
      </c>
      <c r="E23" s="161">
        <f t="shared" si="1"/>
        <v>0.89</v>
      </c>
      <c r="F23" s="162" t="str">
        <f t="shared" si="0"/>
        <v>|||||||||||||||||</v>
      </c>
      <c r="G23" s="154"/>
      <c r="H23" s="154"/>
      <c r="I23" s="154"/>
      <c r="J23" s="154"/>
      <c r="K23" s="154"/>
      <c r="L23" s="154"/>
      <c r="M23" s="154"/>
      <c r="N23" s="154"/>
      <c r="O23" s="154"/>
    </row>
    <row r="24" spans="2:15">
      <c r="B24" s="153">
        <v>44815</v>
      </c>
      <c r="C24" s="153">
        <v>44821</v>
      </c>
      <c r="D24" s="154">
        <v>13.6</v>
      </c>
      <c r="E24" s="161">
        <f t="shared" si="1"/>
        <v>0.67999999999999994</v>
      </c>
      <c r="F24" s="162" t="str">
        <f t="shared" si="0"/>
        <v>|||||||||||||</v>
      </c>
      <c r="G24" s="154"/>
      <c r="H24" s="154"/>
      <c r="I24" s="154"/>
      <c r="J24" s="154"/>
      <c r="K24" s="154"/>
      <c r="L24" s="154"/>
      <c r="M24" s="154"/>
      <c r="N24" s="154"/>
      <c r="O24" s="154"/>
    </row>
    <row r="25" spans="2:15">
      <c r="B25" s="153">
        <v>44822</v>
      </c>
      <c r="C25" s="153">
        <v>44828</v>
      </c>
      <c r="D25" s="154">
        <v>11</v>
      </c>
      <c r="E25" s="161">
        <f t="shared" si="1"/>
        <v>0.55000000000000004</v>
      </c>
      <c r="F25" s="162" t="str">
        <f t="shared" si="0"/>
        <v>|||||||||||</v>
      </c>
      <c r="G25" s="154"/>
      <c r="H25" s="154"/>
      <c r="I25" s="154"/>
      <c r="J25" s="154"/>
      <c r="K25" s="154"/>
      <c r="L25" s="154"/>
      <c r="M25" s="154"/>
      <c r="N25" s="154"/>
      <c r="O25" s="154"/>
    </row>
    <row r="26" spans="2:15">
      <c r="B26" s="153">
        <v>44829</v>
      </c>
      <c r="C26" s="153">
        <v>44835</v>
      </c>
      <c r="D26" s="154">
        <v>12</v>
      </c>
      <c r="E26" s="161">
        <f t="shared" si="1"/>
        <v>0.6</v>
      </c>
      <c r="F26" s="162" t="str">
        <f t="shared" si="0"/>
        <v>||||||||||||</v>
      </c>
      <c r="G26" s="154"/>
      <c r="H26" s="154"/>
      <c r="I26" s="154"/>
      <c r="J26" s="154"/>
      <c r="K26" s="154"/>
      <c r="L26" s="154"/>
      <c r="M26" s="154"/>
      <c r="N26" s="154"/>
      <c r="O26" s="154"/>
    </row>
    <row r="27" spans="2:15">
      <c r="B27" s="153">
        <v>44836</v>
      </c>
      <c r="C27" s="153">
        <v>44842</v>
      </c>
      <c r="D27" s="154">
        <v>4</v>
      </c>
      <c r="E27" s="161">
        <f t="shared" si="1"/>
        <v>0.2</v>
      </c>
      <c r="F27" s="162" t="str">
        <f t="shared" si="0"/>
        <v>||||</v>
      </c>
      <c r="G27" s="154"/>
      <c r="H27" s="154"/>
      <c r="I27" s="154"/>
      <c r="J27" s="154"/>
      <c r="K27" s="154"/>
      <c r="L27" s="154"/>
      <c r="M27" s="154"/>
      <c r="N27" s="154"/>
      <c r="O27" s="154"/>
    </row>
    <row r="28" spans="2:15">
      <c r="B28" s="153">
        <v>44850</v>
      </c>
      <c r="C28" s="153">
        <v>44856</v>
      </c>
      <c r="D28" s="154">
        <v>2</v>
      </c>
      <c r="E28" s="161">
        <f t="shared" si="1"/>
        <v>0.1</v>
      </c>
      <c r="F28" s="162" t="str">
        <f t="shared" si="0"/>
        <v>||</v>
      </c>
      <c r="G28" s="154"/>
      <c r="H28" s="154"/>
      <c r="I28" s="154"/>
      <c r="J28" s="154"/>
      <c r="K28" s="154"/>
      <c r="L28" s="154"/>
      <c r="M28" s="154"/>
      <c r="N28" s="154"/>
      <c r="O28" s="154"/>
    </row>
    <row r="29" spans="2:15">
      <c r="C29" s="73" t="s">
        <v>1369</v>
      </c>
      <c r="D29" s="73">
        <f>SUM(D7:D28)</f>
        <v>294.8</v>
      </c>
      <c r="E29" s="158">
        <f>D29/$B$4</f>
        <v>14.74</v>
      </c>
    </row>
  </sheetData>
  <dataConsolidate/>
  <mergeCells count="1">
    <mergeCell ref="F6:O6"/>
  </mergeCells>
  <phoneticPr fontId="4" type="noConversion"/>
  <pageMargins left="0.7" right="0.7" top="0.75" bottom="0.75" header="0.3" footer="0.3"/>
  <pageSetup paperSize="9"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A5" sqref="A5:B20"/>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1437</v>
      </c>
      <c r="B1" s="1"/>
      <c r="C1" s="1"/>
      <c r="D1" s="1"/>
      <c r="E1" s="1"/>
      <c r="F1" s="1"/>
      <c r="G1" s="1"/>
      <c r="H1" s="1"/>
    </row>
    <row r="2" spans="1:9" s="64" customFormat="1" ht="78.75" customHeight="1">
      <c r="A2" s="309" t="s">
        <v>1438</v>
      </c>
      <c r="B2" s="309"/>
      <c r="C2" s="309"/>
      <c r="D2" s="309"/>
      <c r="E2" s="309"/>
      <c r="F2" s="309"/>
      <c r="G2" s="309"/>
      <c r="H2" s="309"/>
    </row>
    <row r="3" spans="1:9" s="64" customFormat="1" ht="24.75" customHeight="1">
      <c r="A3" s="310" t="s">
        <v>1439</v>
      </c>
      <c r="B3" s="310"/>
      <c r="D3" s="310" t="s">
        <v>1440</v>
      </c>
      <c r="E3" s="310"/>
      <c r="G3" s="310" t="s">
        <v>1441</v>
      </c>
      <c r="H3" s="310"/>
    </row>
    <row r="4" spans="1:9" s="66" customFormat="1" ht="19.5" customHeight="1">
      <c r="A4" s="65" t="s">
        <v>1442</v>
      </c>
      <c r="B4" s="65" t="s">
        <v>1443</v>
      </c>
      <c r="D4" s="65" t="s">
        <v>1442</v>
      </c>
      <c r="E4" s="65" t="s">
        <v>1443</v>
      </c>
      <c r="G4" s="65" t="s">
        <v>1442</v>
      </c>
      <c r="H4" s="65" t="s">
        <v>1443</v>
      </c>
    </row>
    <row r="5" spans="1:9" s="76" customFormat="1" ht="17.399999999999999">
      <c r="A5" s="74" t="s">
        <v>2081</v>
      </c>
      <c r="B5" s="75">
        <v>45719</v>
      </c>
      <c r="C5" s="76" t="str">
        <f t="shared" ref="C5:C68" si="0">IF(B5&gt;0,TEXT(B5,"(aaa)"),"")</f>
        <v>(월)</v>
      </c>
      <c r="D5" s="74"/>
      <c r="E5" s="75"/>
      <c r="F5" s="76" t="str">
        <f t="shared" ref="F5:F68" si="1">IF(E5&gt;0,TEXT(E5,"(aaa)"),"")</f>
        <v/>
      </c>
      <c r="G5" s="74"/>
      <c r="H5" s="75"/>
      <c r="I5" s="76" t="str">
        <f t="shared" ref="I5:I68" si="2">IF(H5&gt;0,TEXT(H5,"(aaa)"),"")</f>
        <v/>
      </c>
    </row>
    <row r="6" spans="1:9" s="76" customFormat="1" ht="17.399999999999999">
      <c r="A6" s="74" t="s">
        <v>2079</v>
      </c>
      <c r="B6" s="75">
        <v>45778</v>
      </c>
      <c r="C6" s="76" t="str">
        <f t="shared" si="0"/>
        <v>(목)</v>
      </c>
      <c r="D6" s="74"/>
      <c r="E6" s="75"/>
      <c r="F6" s="76" t="str">
        <f t="shared" si="1"/>
        <v/>
      </c>
      <c r="G6" s="74"/>
      <c r="H6" s="75"/>
      <c r="I6" s="76" t="str">
        <f t="shared" si="2"/>
        <v/>
      </c>
    </row>
    <row r="7" spans="1:9" s="76" customFormat="1" ht="17.399999999999999">
      <c r="A7" s="74" t="s">
        <v>2080</v>
      </c>
      <c r="B7" s="75">
        <v>45782</v>
      </c>
      <c r="C7" s="76" t="str">
        <f t="shared" si="0"/>
        <v>(월)</v>
      </c>
      <c r="D7" s="74"/>
      <c r="E7" s="75"/>
      <c r="F7" s="76" t="str">
        <f t="shared" si="1"/>
        <v/>
      </c>
      <c r="G7" s="74"/>
      <c r="H7" s="75"/>
      <c r="I7" s="76" t="str">
        <f t="shared" si="2"/>
        <v/>
      </c>
    </row>
    <row r="8" spans="1:9" s="76" customFormat="1" ht="17.399999999999999">
      <c r="A8" s="74" t="s">
        <v>2082</v>
      </c>
      <c r="B8" s="75">
        <v>45782</v>
      </c>
      <c r="C8" s="76" t="str">
        <f t="shared" si="0"/>
        <v>(월)</v>
      </c>
      <c r="D8" s="74"/>
      <c r="E8" s="75"/>
      <c r="F8" s="76" t="str">
        <f t="shared" si="1"/>
        <v/>
      </c>
      <c r="G8" s="74"/>
      <c r="H8" s="75"/>
      <c r="I8" s="76" t="str">
        <f t="shared" si="2"/>
        <v/>
      </c>
    </row>
    <row r="9" spans="1:9" s="76" customFormat="1" ht="17.399999999999999">
      <c r="A9" s="74" t="s">
        <v>2083</v>
      </c>
      <c r="B9" s="75">
        <v>45814</v>
      </c>
      <c r="C9" s="76" t="str">
        <f t="shared" si="0"/>
        <v>(금)</v>
      </c>
      <c r="D9" s="74"/>
      <c r="E9" s="75"/>
      <c r="F9" s="76" t="str">
        <f t="shared" si="1"/>
        <v/>
      </c>
      <c r="G9" s="74"/>
      <c r="H9" s="75"/>
      <c r="I9" s="76" t="str">
        <f t="shared" si="2"/>
        <v/>
      </c>
    </row>
    <row r="10" spans="1:9" s="76" customFormat="1" ht="17.399999999999999">
      <c r="A10" s="74" t="s">
        <v>2084</v>
      </c>
      <c r="B10" s="75">
        <v>45884</v>
      </c>
      <c r="C10" s="76" t="str">
        <f t="shared" si="0"/>
        <v>(금)</v>
      </c>
      <c r="D10" s="74"/>
      <c r="E10" s="75"/>
      <c r="F10" s="76" t="str">
        <f t="shared" si="1"/>
        <v/>
      </c>
      <c r="G10" s="74"/>
      <c r="H10" s="75"/>
      <c r="I10" s="76" t="str">
        <f t="shared" si="2"/>
        <v/>
      </c>
    </row>
    <row r="11" spans="1:9" s="76" customFormat="1" ht="17.399999999999999">
      <c r="A11" s="74" t="s">
        <v>2085</v>
      </c>
      <c r="B11" s="75">
        <v>45933</v>
      </c>
      <c r="C11" s="76" t="str">
        <f t="shared" si="0"/>
        <v>(금)</v>
      </c>
      <c r="D11" s="74"/>
      <c r="E11" s="75"/>
      <c r="F11" s="76" t="str">
        <f t="shared" si="1"/>
        <v/>
      </c>
      <c r="G11" s="74"/>
      <c r="H11" s="75"/>
      <c r="I11" s="76" t="str">
        <f t="shared" si="2"/>
        <v/>
      </c>
    </row>
    <row r="12" spans="1:9" s="76" customFormat="1" ht="17.399999999999999">
      <c r="A12" s="74" t="s">
        <v>2086</v>
      </c>
      <c r="B12" s="75">
        <v>45936</v>
      </c>
      <c r="C12" s="76" t="str">
        <f t="shared" si="0"/>
        <v>(월)</v>
      </c>
      <c r="D12" s="74"/>
      <c r="E12" s="75"/>
      <c r="F12" s="76" t="str">
        <f t="shared" si="1"/>
        <v/>
      </c>
      <c r="G12" s="74"/>
      <c r="H12" s="75"/>
      <c r="I12" s="76" t="str">
        <f t="shared" si="2"/>
        <v/>
      </c>
    </row>
    <row r="13" spans="1:9" s="76" customFormat="1" ht="17.399999999999999">
      <c r="A13" s="74" t="s">
        <v>2086</v>
      </c>
      <c r="B13" s="75">
        <v>45937</v>
      </c>
      <c r="C13" s="76" t="str">
        <f t="shared" si="0"/>
        <v>(화)</v>
      </c>
      <c r="D13" s="74"/>
      <c r="E13" s="75"/>
      <c r="F13" s="76" t="str">
        <f t="shared" si="1"/>
        <v/>
      </c>
      <c r="G13" s="74"/>
      <c r="H13" s="75"/>
      <c r="I13" s="76" t="str">
        <f t="shared" si="2"/>
        <v/>
      </c>
    </row>
    <row r="14" spans="1:9" s="76" customFormat="1" ht="17.399999999999999">
      <c r="A14" s="74" t="s">
        <v>2087</v>
      </c>
      <c r="B14" s="75">
        <v>45938</v>
      </c>
      <c r="C14" s="76" t="str">
        <f t="shared" si="0"/>
        <v>(수)</v>
      </c>
      <c r="D14" s="74"/>
      <c r="E14" s="75"/>
      <c r="F14" s="76" t="str">
        <f t="shared" si="1"/>
        <v/>
      </c>
      <c r="G14" s="74"/>
      <c r="H14" s="75"/>
      <c r="I14" s="76" t="str">
        <f t="shared" si="2"/>
        <v/>
      </c>
    </row>
    <row r="15" spans="1:9" s="76" customFormat="1" ht="17.399999999999999">
      <c r="A15" s="74" t="s">
        <v>2088</v>
      </c>
      <c r="B15" s="75">
        <v>45939</v>
      </c>
      <c r="C15" s="76" t="str">
        <f t="shared" si="0"/>
        <v>(목)</v>
      </c>
      <c r="D15" s="74"/>
      <c r="E15" s="75"/>
      <c r="F15" s="76" t="str">
        <f t="shared" si="1"/>
        <v/>
      </c>
      <c r="G15" s="74"/>
      <c r="H15" s="75"/>
      <c r="I15" s="76" t="str">
        <f t="shared" si="2"/>
        <v/>
      </c>
    </row>
    <row r="16" spans="1:9" s="76" customFormat="1" ht="17.399999999999999">
      <c r="A16" s="74" t="s">
        <v>2089</v>
      </c>
      <c r="B16" s="75">
        <v>46016</v>
      </c>
      <c r="C16" s="76" t="str">
        <f t="shared" si="0"/>
        <v>(목)</v>
      </c>
      <c r="D16" s="74"/>
      <c r="E16" s="75"/>
      <c r="F16" s="76" t="str">
        <f t="shared" si="1"/>
        <v/>
      </c>
      <c r="G16" s="74"/>
      <c r="H16" s="75"/>
      <c r="I16" s="76" t="str">
        <f t="shared" si="2"/>
        <v/>
      </c>
    </row>
    <row r="17" spans="1:10" s="76" customFormat="1" ht="17.399999999999999">
      <c r="A17" s="74" t="s">
        <v>2090</v>
      </c>
      <c r="B17" s="75">
        <v>46023</v>
      </c>
      <c r="C17" s="76" t="str">
        <f t="shared" si="0"/>
        <v>(목)</v>
      </c>
      <c r="D17" s="74"/>
      <c r="E17" s="75"/>
      <c r="F17" s="76" t="str">
        <f t="shared" si="1"/>
        <v/>
      </c>
      <c r="G17" s="74"/>
      <c r="H17" s="75"/>
      <c r="I17" s="76" t="str">
        <f t="shared" si="2"/>
        <v/>
      </c>
    </row>
    <row r="18" spans="1:10" s="76" customFormat="1" ht="17.399999999999999">
      <c r="A18" s="74" t="s">
        <v>2091</v>
      </c>
      <c r="B18" s="75">
        <v>46069</v>
      </c>
      <c r="C18" s="76" t="str">
        <f t="shared" si="0"/>
        <v>(월)</v>
      </c>
      <c r="D18" s="74"/>
      <c r="E18" s="75"/>
      <c r="F18" s="76" t="str">
        <f t="shared" si="1"/>
        <v/>
      </c>
      <c r="G18" s="74"/>
      <c r="H18" s="75"/>
      <c r="I18" s="76" t="str">
        <f t="shared" si="2"/>
        <v/>
      </c>
    </row>
    <row r="19" spans="1:10" s="76" customFormat="1" ht="19.2">
      <c r="A19" s="74" t="s">
        <v>2091</v>
      </c>
      <c r="B19" s="75">
        <v>46070</v>
      </c>
      <c r="C19" s="76" t="str">
        <f t="shared" si="0"/>
        <v>(화)</v>
      </c>
      <c r="D19" s="74"/>
      <c r="E19" s="75"/>
      <c r="F19" s="76" t="str">
        <f t="shared" si="1"/>
        <v/>
      </c>
      <c r="G19" s="74"/>
      <c r="H19" s="75"/>
      <c r="I19" s="76" t="str">
        <f t="shared" si="2"/>
        <v/>
      </c>
      <c r="J19" s="77"/>
    </row>
    <row r="20" spans="1:10" s="76" customFormat="1" ht="19.2">
      <c r="A20" s="74" t="s">
        <v>2091</v>
      </c>
      <c r="B20" s="75">
        <v>46071</v>
      </c>
      <c r="C20" s="76" t="str">
        <f t="shared" si="0"/>
        <v>(수)</v>
      </c>
      <c r="D20" s="74"/>
      <c r="E20" s="75"/>
      <c r="F20" s="76" t="str">
        <f t="shared" si="1"/>
        <v/>
      </c>
      <c r="G20" s="74"/>
      <c r="H20" s="75"/>
      <c r="I20" s="76" t="str">
        <f t="shared" si="2"/>
        <v/>
      </c>
      <c r="J20" s="77"/>
    </row>
    <row r="21" spans="1:10" s="76" customFormat="1" ht="17.399999999999999">
      <c r="A21" s="74"/>
      <c r="B21" s="75"/>
      <c r="C21" s="76" t="str">
        <f t="shared" si="0"/>
        <v/>
      </c>
      <c r="D21" s="74"/>
      <c r="E21" s="75"/>
      <c r="F21" s="76" t="str">
        <f t="shared" si="1"/>
        <v/>
      </c>
      <c r="G21" s="74"/>
      <c r="H21" s="75"/>
      <c r="I21" s="76" t="str">
        <f t="shared" si="2"/>
        <v/>
      </c>
    </row>
    <row r="22" spans="1:10" s="76" customFormat="1" ht="17.399999999999999">
      <c r="A22" s="74"/>
      <c r="B22" s="75"/>
      <c r="C22" s="76" t="str">
        <f t="shared" si="0"/>
        <v/>
      </c>
      <c r="D22" s="74"/>
      <c r="E22" s="75"/>
      <c r="F22" s="76" t="str">
        <f t="shared" si="1"/>
        <v/>
      </c>
      <c r="G22" s="74"/>
      <c r="H22" s="75"/>
      <c r="I22" s="76" t="str">
        <f t="shared" si="2"/>
        <v/>
      </c>
    </row>
    <row r="23" spans="1:10" s="76" customFormat="1" ht="17.399999999999999">
      <c r="A23" s="74"/>
      <c r="B23" s="75"/>
      <c r="C23" s="76" t="str">
        <f t="shared" si="0"/>
        <v/>
      </c>
      <c r="D23" s="74"/>
      <c r="E23" s="75"/>
      <c r="F23" s="76" t="str">
        <f t="shared" si="1"/>
        <v/>
      </c>
      <c r="G23" s="74"/>
      <c r="H23" s="75"/>
      <c r="I23" s="76" t="str">
        <f t="shared" si="2"/>
        <v/>
      </c>
    </row>
    <row r="24" spans="1:10" s="76" customFormat="1" ht="17.399999999999999">
      <c r="A24" s="74"/>
      <c r="B24" s="75"/>
      <c r="C24" s="76" t="str">
        <f t="shared" si="0"/>
        <v/>
      </c>
      <c r="D24" s="74"/>
      <c r="E24" s="75"/>
      <c r="F24" s="76" t="str">
        <f t="shared" si="1"/>
        <v/>
      </c>
      <c r="G24" s="74"/>
      <c r="H24" s="75"/>
      <c r="I24" s="76" t="str">
        <f t="shared" si="2"/>
        <v/>
      </c>
    </row>
    <row r="25" spans="1:10" s="76" customFormat="1" ht="17.399999999999999">
      <c r="A25" s="74"/>
      <c r="B25" s="75"/>
      <c r="C25" s="76" t="str">
        <f t="shared" si="0"/>
        <v/>
      </c>
      <c r="D25" s="74"/>
      <c r="E25" s="75"/>
      <c r="F25" s="76" t="str">
        <f t="shared" si="1"/>
        <v/>
      </c>
      <c r="G25" s="74"/>
      <c r="H25" s="75"/>
      <c r="I25" s="76" t="str">
        <f t="shared" si="2"/>
        <v/>
      </c>
    </row>
    <row r="26" spans="1:10" s="76" customFormat="1" ht="17.399999999999999">
      <c r="A26" s="74"/>
      <c r="B26" s="75"/>
      <c r="C26" s="76" t="str">
        <f t="shared" si="0"/>
        <v/>
      </c>
      <c r="D26" s="74"/>
      <c r="E26" s="75"/>
      <c r="F26" s="76" t="str">
        <f t="shared" si="1"/>
        <v/>
      </c>
      <c r="G26" s="74"/>
      <c r="H26" s="75"/>
      <c r="I26" s="76" t="str">
        <f t="shared" si="2"/>
        <v/>
      </c>
    </row>
    <row r="27" spans="1:10" s="76" customFormat="1" ht="17.399999999999999">
      <c r="A27" s="74"/>
      <c r="B27" s="75"/>
      <c r="C27" s="76" t="str">
        <f t="shared" si="0"/>
        <v/>
      </c>
      <c r="D27" s="74"/>
      <c r="E27" s="75"/>
      <c r="F27" s="76" t="str">
        <f t="shared" si="1"/>
        <v/>
      </c>
      <c r="G27" s="74"/>
      <c r="H27" s="75"/>
      <c r="I27" s="76" t="str">
        <f t="shared" si="2"/>
        <v/>
      </c>
    </row>
    <row r="28" spans="1:10" s="76" customFormat="1" ht="17.399999999999999">
      <c r="A28" s="74"/>
      <c r="B28" s="75"/>
      <c r="C28" s="76" t="str">
        <f t="shared" si="0"/>
        <v/>
      </c>
      <c r="D28" s="74"/>
      <c r="E28" s="75"/>
      <c r="F28" s="76" t="str">
        <f t="shared" si="1"/>
        <v/>
      </c>
      <c r="G28" s="74"/>
      <c r="H28" s="75"/>
      <c r="I28" s="76" t="str">
        <f t="shared" si="2"/>
        <v/>
      </c>
    </row>
    <row r="29" spans="1:10" s="76" customFormat="1" ht="17.399999999999999">
      <c r="A29" s="74"/>
      <c r="B29" s="75"/>
      <c r="C29" s="76" t="str">
        <f t="shared" si="0"/>
        <v/>
      </c>
      <c r="D29" s="74"/>
      <c r="E29" s="75"/>
      <c r="F29" s="76" t="str">
        <f t="shared" si="1"/>
        <v/>
      </c>
      <c r="G29" s="74"/>
      <c r="H29" s="75"/>
      <c r="I29" s="76" t="str">
        <f t="shared" si="2"/>
        <v/>
      </c>
    </row>
    <row r="30" spans="1:10" s="76" customFormat="1" ht="17.399999999999999">
      <c r="A30" s="74"/>
      <c r="B30" s="75"/>
      <c r="C30" s="76" t="str">
        <f t="shared" si="0"/>
        <v/>
      </c>
      <c r="D30" s="74"/>
      <c r="E30" s="75"/>
      <c r="F30" s="76" t="str">
        <f t="shared" si="1"/>
        <v/>
      </c>
      <c r="G30" s="74"/>
      <c r="H30" s="75"/>
      <c r="I30" s="76" t="str">
        <f t="shared" si="2"/>
        <v/>
      </c>
    </row>
    <row r="31" spans="1:10" s="76" customFormat="1" ht="17.399999999999999">
      <c r="A31" s="74"/>
      <c r="B31" s="75"/>
      <c r="C31" s="76" t="str">
        <f t="shared" si="0"/>
        <v/>
      </c>
      <c r="D31" s="74"/>
      <c r="E31" s="75"/>
      <c r="F31" s="76" t="str">
        <f t="shared" si="1"/>
        <v/>
      </c>
      <c r="G31" s="74"/>
      <c r="H31" s="75"/>
      <c r="I31" s="76" t="str">
        <f t="shared" si="2"/>
        <v/>
      </c>
    </row>
    <row r="32" spans="1:10" s="76" customFormat="1" ht="17.399999999999999">
      <c r="A32" s="74"/>
      <c r="B32" s="75"/>
      <c r="C32" s="76" t="str">
        <f t="shared" si="0"/>
        <v/>
      </c>
      <c r="D32" s="74"/>
      <c r="E32" s="75"/>
      <c r="F32" s="76" t="str">
        <f t="shared" si="1"/>
        <v/>
      </c>
      <c r="G32" s="74"/>
      <c r="H32" s="75"/>
      <c r="I32" s="76" t="str">
        <f t="shared" si="2"/>
        <v/>
      </c>
    </row>
    <row r="33" spans="1:9" s="76" customFormat="1" ht="17.399999999999999">
      <c r="A33" s="74"/>
      <c r="B33" s="75"/>
      <c r="C33" s="76" t="str">
        <f t="shared" si="0"/>
        <v/>
      </c>
      <c r="D33" s="74"/>
      <c r="E33" s="75"/>
      <c r="F33" s="76" t="str">
        <f t="shared" si="1"/>
        <v/>
      </c>
      <c r="G33" s="74"/>
      <c r="H33" s="75"/>
      <c r="I33" s="76" t="str">
        <f t="shared" si="2"/>
        <v/>
      </c>
    </row>
    <row r="34" spans="1:9" s="76" customFormat="1" ht="17.399999999999999">
      <c r="A34" s="74"/>
      <c r="B34" s="75"/>
      <c r="C34" s="76" t="str">
        <f t="shared" si="0"/>
        <v/>
      </c>
      <c r="D34" s="74"/>
      <c r="E34" s="75"/>
      <c r="F34" s="76" t="str">
        <f t="shared" si="1"/>
        <v/>
      </c>
      <c r="G34" s="74"/>
      <c r="H34" s="75"/>
      <c r="I34" s="76" t="str">
        <f t="shared" si="2"/>
        <v/>
      </c>
    </row>
    <row r="35" spans="1:9" s="76" customFormat="1" ht="17.399999999999999">
      <c r="A35" s="74"/>
      <c r="B35" s="75"/>
      <c r="C35" s="76" t="str">
        <f t="shared" si="0"/>
        <v/>
      </c>
      <c r="D35" s="74"/>
      <c r="E35" s="75"/>
      <c r="F35" s="76" t="str">
        <f t="shared" si="1"/>
        <v/>
      </c>
      <c r="G35" s="74"/>
      <c r="H35" s="75"/>
      <c r="I35" s="76" t="str">
        <f t="shared" si="2"/>
        <v/>
      </c>
    </row>
    <row r="36" spans="1:9" s="76" customFormat="1" ht="17.399999999999999">
      <c r="A36" s="74"/>
      <c r="B36" s="75"/>
      <c r="C36" s="76" t="str">
        <f t="shared" si="0"/>
        <v/>
      </c>
      <c r="D36" s="74"/>
      <c r="E36" s="75"/>
      <c r="F36" s="76" t="str">
        <f t="shared" si="1"/>
        <v/>
      </c>
      <c r="G36" s="74"/>
      <c r="H36" s="75"/>
      <c r="I36" s="76" t="str">
        <f t="shared" si="2"/>
        <v/>
      </c>
    </row>
    <row r="37" spans="1:9" s="76" customFormat="1" ht="17.399999999999999">
      <c r="A37" s="74"/>
      <c r="B37" s="75"/>
      <c r="C37" s="76" t="str">
        <f t="shared" si="0"/>
        <v/>
      </c>
      <c r="D37" s="74"/>
      <c r="E37" s="75"/>
      <c r="F37" s="76" t="str">
        <f t="shared" si="1"/>
        <v/>
      </c>
      <c r="G37" s="74"/>
      <c r="H37" s="75"/>
      <c r="I37" s="76" t="str">
        <f t="shared" si="2"/>
        <v/>
      </c>
    </row>
    <row r="38" spans="1:9" s="76" customFormat="1" ht="17.399999999999999">
      <c r="A38" s="74"/>
      <c r="B38" s="75"/>
      <c r="C38" s="76" t="str">
        <f t="shared" si="0"/>
        <v/>
      </c>
      <c r="D38" s="74"/>
      <c r="E38" s="75"/>
      <c r="F38" s="76" t="str">
        <f t="shared" si="1"/>
        <v/>
      </c>
      <c r="G38" s="74"/>
      <c r="H38" s="75"/>
      <c r="I38" s="76" t="str">
        <f t="shared" si="2"/>
        <v/>
      </c>
    </row>
    <row r="39" spans="1:9" s="76" customFormat="1" ht="17.399999999999999">
      <c r="A39" s="74"/>
      <c r="B39" s="75"/>
      <c r="C39" s="76" t="str">
        <f t="shared" si="0"/>
        <v/>
      </c>
      <c r="D39" s="74"/>
      <c r="E39" s="75"/>
      <c r="F39" s="76" t="str">
        <f t="shared" si="1"/>
        <v/>
      </c>
      <c r="G39" s="74"/>
      <c r="H39" s="75"/>
      <c r="I39" s="76" t="str">
        <f t="shared" si="2"/>
        <v/>
      </c>
    </row>
    <row r="40" spans="1:9" s="76" customFormat="1" ht="17.399999999999999">
      <c r="A40" s="74"/>
      <c r="B40" s="75"/>
      <c r="C40" s="76" t="str">
        <f t="shared" si="0"/>
        <v/>
      </c>
      <c r="D40" s="74"/>
      <c r="E40" s="75"/>
      <c r="F40" s="76" t="str">
        <f t="shared" si="1"/>
        <v/>
      </c>
      <c r="G40" s="74"/>
      <c r="H40" s="75"/>
      <c r="I40" s="76" t="str">
        <f t="shared" si="2"/>
        <v/>
      </c>
    </row>
    <row r="41" spans="1:9" s="76" customFormat="1" ht="17.399999999999999">
      <c r="A41" s="74"/>
      <c r="B41" s="75"/>
      <c r="C41" s="76" t="str">
        <f t="shared" si="0"/>
        <v/>
      </c>
      <c r="D41" s="74"/>
      <c r="E41" s="75"/>
      <c r="F41" s="76" t="str">
        <f t="shared" si="1"/>
        <v/>
      </c>
      <c r="G41" s="74"/>
      <c r="H41" s="75"/>
      <c r="I41" s="76" t="str">
        <f t="shared" si="2"/>
        <v/>
      </c>
    </row>
    <row r="42" spans="1:9" s="76" customFormat="1" ht="17.399999999999999">
      <c r="A42" s="74"/>
      <c r="B42" s="75"/>
      <c r="C42" s="76" t="str">
        <f t="shared" si="0"/>
        <v/>
      </c>
      <c r="D42" s="74"/>
      <c r="E42" s="75"/>
      <c r="F42" s="76" t="str">
        <f t="shared" si="1"/>
        <v/>
      </c>
      <c r="G42" s="74"/>
      <c r="H42" s="75"/>
      <c r="I42" s="76" t="str">
        <f t="shared" si="2"/>
        <v/>
      </c>
    </row>
    <row r="43" spans="1:9" s="76" customFormat="1" ht="17.399999999999999">
      <c r="A43" s="74"/>
      <c r="B43" s="75"/>
      <c r="C43" s="76" t="str">
        <f t="shared" si="0"/>
        <v/>
      </c>
      <c r="D43" s="74"/>
      <c r="E43" s="75"/>
      <c r="F43" s="76" t="str">
        <f t="shared" si="1"/>
        <v/>
      </c>
      <c r="G43" s="74"/>
      <c r="H43" s="75"/>
      <c r="I43" s="76" t="str">
        <f t="shared" si="2"/>
        <v/>
      </c>
    </row>
    <row r="44" spans="1:9" s="76" customFormat="1" ht="17.399999999999999">
      <c r="A44" s="74"/>
      <c r="B44" s="75"/>
      <c r="C44" s="76" t="str">
        <f t="shared" si="0"/>
        <v/>
      </c>
      <c r="D44" s="74"/>
      <c r="E44" s="75"/>
      <c r="F44" s="76" t="str">
        <f t="shared" si="1"/>
        <v/>
      </c>
      <c r="G44" s="74"/>
      <c r="H44" s="75"/>
      <c r="I44" s="76" t="str">
        <f t="shared" si="2"/>
        <v/>
      </c>
    </row>
    <row r="45" spans="1:9" s="76" customFormat="1" ht="17.399999999999999">
      <c r="A45" s="74"/>
      <c r="B45" s="75"/>
      <c r="C45" s="76" t="str">
        <f t="shared" si="0"/>
        <v/>
      </c>
      <c r="D45" s="74"/>
      <c r="E45" s="75"/>
      <c r="F45" s="76" t="str">
        <f t="shared" si="1"/>
        <v/>
      </c>
      <c r="G45" s="74"/>
      <c r="H45" s="75"/>
      <c r="I45" s="76" t="str">
        <f t="shared" si="2"/>
        <v/>
      </c>
    </row>
    <row r="46" spans="1:9" s="76" customFormat="1" ht="17.399999999999999">
      <c r="A46" s="74"/>
      <c r="B46" s="75"/>
      <c r="C46" s="76" t="str">
        <f t="shared" si="0"/>
        <v/>
      </c>
      <c r="D46" s="74"/>
      <c r="E46" s="75"/>
      <c r="F46" s="76" t="str">
        <f t="shared" si="1"/>
        <v/>
      </c>
      <c r="G46" s="74"/>
      <c r="H46" s="75"/>
      <c r="I46" s="76" t="str">
        <f t="shared" si="2"/>
        <v/>
      </c>
    </row>
    <row r="47" spans="1:9" s="76" customFormat="1" ht="17.399999999999999">
      <c r="A47" s="74"/>
      <c r="B47" s="75"/>
      <c r="C47" s="76" t="str">
        <f t="shared" si="0"/>
        <v/>
      </c>
      <c r="D47" s="74"/>
      <c r="E47" s="75"/>
      <c r="F47" s="76" t="str">
        <f t="shared" si="1"/>
        <v/>
      </c>
      <c r="G47" s="74"/>
      <c r="H47" s="75"/>
      <c r="I47" s="76" t="str">
        <f t="shared" si="2"/>
        <v/>
      </c>
    </row>
    <row r="48" spans="1:9" s="76" customFormat="1" ht="17.399999999999999">
      <c r="A48" s="74"/>
      <c r="B48" s="75"/>
      <c r="C48" s="76" t="str">
        <f t="shared" si="0"/>
        <v/>
      </c>
      <c r="D48" s="74"/>
      <c r="E48" s="75"/>
      <c r="F48" s="76" t="str">
        <f t="shared" si="1"/>
        <v/>
      </c>
      <c r="G48" s="74"/>
      <c r="H48" s="75"/>
      <c r="I48" s="76" t="str">
        <f t="shared" si="2"/>
        <v/>
      </c>
    </row>
    <row r="49" spans="1:9" s="76" customFormat="1" ht="17.399999999999999">
      <c r="A49" s="74"/>
      <c r="B49" s="75"/>
      <c r="C49" s="76" t="str">
        <f t="shared" si="0"/>
        <v/>
      </c>
      <c r="D49" s="74"/>
      <c r="E49" s="75"/>
      <c r="F49" s="76" t="str">
        <f t="shared" si="1"/>
        <v/>
      </c>
      <c r="G49" s="74"/>
      <c r="H49" s="75"/>
      <c r="I49" s="76" t="str">
        <f t="shared" si="2"/>
        <v/>
      </c>
    </row>
    <row r="50" spans="1:9" s="76" customFormat="1" ht="17.399999999999999">
      <c r="A50" s="74"/>
      <c r="B50" s="75"/>
      <c r="C50" s="76" t="str">
        <f t="shared" si="0"/>
        <v/>
      </c>
      <c r="D50" s="74"/>
      <c r="E50" s="75"/>
      <c r="F50" s="76" t="str">
        <f t="shared" si="1"/>
        <v/>
      </c>
      <c r="G50" s="74"/>
      <c r="H50" s="75"/>
      <c r="I50" s="76" t="str">
        <f t="shared" si="2"/>
        <v/>
      </c>
    </row>
    <row r="51" spans="1:9" s="76" customFormat="1" ht="17.399999999999999">
      <c r="A51" s="74"/>
      <c r="B51" s="75"/>
      <c r="C51" s="76" t="str">
        <f t="shared" si="0"/>
        <v/>
      </c>
      <c r="D51" s="74"/>
      <c r="E51" s="75"/>
      <c r="F51" s="76" t="str">
        <f t="shared" si="1"/>
        <v/>
      </c>
      <c r="G51" s="74"/>
      <c r="H51" s="75"/>
      <c r="I51" s="76" t="str">
        <f t="shared" si="2"/>
        <v/>
      </c>
    </row>
    <row r="52" spans="1:9" s="76" customFormat="1" ht="17.399999999999999">
      <c r="A52" s="74"/>
      <c r="B52" s="75"/>
      <c r="C52" s="76" t="str">
        <f t="shared" si="0"/>
        <v/>
      </c>
      <c r="D52" s="74"/>
      <c r="E52" s="75"/>
      <c r="F52" s="76" t="str">
        <f t="shared" si="1"/>
        <v/>
      </c>
      <c r="G52" s="74"/>
      <c r="H52" s="75"/>
      <c r="I52" s="76" t="str">
        <f t="shared" si="2"/>
        <v/>
      </c>
    </row>
    <row r="53" spans="1:9" s="76" customFormat="1" ht="17.399999999999999">
      <c r="A53" s="74"/>
      <c r="B53" s="75"/>
      <c r="C53" s="76" t="str">
        <f t="shared" si="0"/>
        <v/>
      </c>
      <c r="D53" s="74"/>
      <c r="E53" s="75"/>
      <c r="F53" s="76" t="str">
        <f t="shared" si="1"/>
        <v/>
      </c>
      <c r="G53" s="74"/>
      <c r="H53" s="75"/>
      <c r="I53" s="76" t="str">
        <f t="shared" si="2"/>
        <v/>
      </c>
    </row>
    <row r="54" spans="1:9" s="76" customFormat="1" ht="17.399999999999999">
      <c r="A54" s="74"/>
      <c r="B54" s="75"/>
      <c r="C54" s="76" t="str">
        <f t="shared" si="0"/>
        <v/>
      </c>
      <c r="D54" s="74"/>
      <c r="E54" s="75"/>
      <c r="F54" s="76" t="str">
        <f t="shared" si="1"/>
        <v/>
      </c>
      <c r="G54" s="74"/>
      <c r="H54" s="75"/>
      <c r="I54" s="76" t="str">
        <f t="shared" si="2"/>
        <v/>
      </c>
    </row>
    <row r="55" spans="1:9" s="76" customFormat="1" ht="17.399999999999999">
      <c r="A55" s="74"/>
      <c r="B55" s="75"/>
      <c r="C55" s="76" t="str">
        <f t="shared" si="0"/>
        <v/>
      </c>
      <c r="D55" s="74"/>
      <c r="E55" s="75"/>
      <c r="F55" s="76" t="str">
        <f t="shared" si="1"/>
        <v/>
      </c>
      <c r="G55" s="74"/>
      <c r="H55" s="75"/>
      <c r="I55" s="76" t="str">
        <f t="shared" si="2"/>
        <v/>
      </c>
    </row>
    <row r="56" spans="1:9" s="76" customFormat="1" ht="17.399999999999999">
      <c r="A56" s="74"/>
      <c r="B56" s="75"/>
      <c r="C56" s="76" t="str">
        <f t="shared" si="0"/>
        <v/>
      </c>
      <c r="D56" s="74"/>
      <c r="E56" s="75"/>
      <c r="F56" s="76" t="str">
        <f t="shared" si="1"/>
        <v/>
      </c>
      <c r="G56" s="74"/>
      <c r="H56" s="75"/>
      <c r="I56" s="76" t="str">
        <f t="shared" si="2"/>
        <v/>
      </c>
    </row>
    <row r="57" spans="1:9" s="76" customFormat="1" ht="17.399999999999999">
      <c r="A57" s="74"/>
      <c r="B57" s="75"/>
      <c r="C57" s="76" t="str">
        <f t="shared" si="0"/>
        <v/>
      </c>
      <c r="D57" s="74"/>
      <c r="E57" s="75"/>
      <c r="F57" s="76" t="str">
        <f t="shared" si="1"/>
        <v/>
      </c>
      <c r="G57" s="74"/>
      <c r="H57" s="75"/>
      <c r="I57" s="76" t="str">
        <f t="shared" si="2"/>
        <v/>
      </c>
    </row>
    <row r="58" spans="1:9" s="76" customFormat="1" ht="17.399999999999999">
      <c r="A58" s="74"/>
      <c r="B58" s="75"/>
      <c r="C58" s="76" t="str">
        <f t="shared" si="0"/>
        <v/>
      </c>
      <c r="D58" s="74"/>
      <c r="E58" s="75"/>
      <c r="F58" s="76" t="str">
        <f t="shared" si="1"/>
        <v/>
      </c>
      <c r="G58" s="74"/>
      <c r="H58" s="75"/>
      <c r="I58" s="76" t="str">
        <f t="shared" si="2"/>
        <v/>
      </c>
    </row>
    <row r="59" spans="1:9" s="76" customFormat="1" ht="17.399999999999999">
      <c r="A59" s="74"/>
      <c r="B59" s="75"/>
      <c r="C59" s="76" t="str">
        <f t="shared" si="0"/>
        <v/>
      </c>
      <c r="D59" s="74"/>
      <c r="E59" s="75"/>
      <c r="F59" s="76" t="str">
        <f t="shared" si="1"/>
        <v/>
      </c>
      <c r="G59" s="74"/>
      <c r="H59" s="75"/>
      <c r="I59" s="76" t="str">
        <f t="shared" si="2"/>
        <v/>
      </c>
    </row>
    <row r="60" spans="1:9" s="76" customFormat="1" ht="17.399999999999999">
      <c r="A60" s="74"/>
      <c r="B60" s="75"/>
      <c r="C60" s="76" t="str">
        <f t="shared" si="0"/>
        <v/>
      </c>
      <c r="D60" s="74"/>
      <c r="E60" s="75"/>
      <c r="F60" s="76" t="str">
        <f t="shared" si="1"/>
        <v/>
      </c>
      <c r="G60" s="74"/>
      <c r="H60" s="75"/>
      <c r="I60" s="76" t="str">
        <f t="shared" si="2"/>
        <v/>
      </c>
    </row>
    <row r="61" spans="1:9" s="76" customFormat="1" ht="17.399999999999999">
      <c r="A61" s="74"/>
      <c r="B61" s="75"/>
      <c r="C61" s="76" t="str">
        <f t="shared" si="0"/>
        <v/>
      </c>
      <c r="D61" s="74"/>
      <c r="E61" s="75"/>
      <c r="F61" s="76" t="str">
        <f t="shared" si="1"/>
        <v/>
      </c>
      <c r="G61" s="74"/>
      <c r="H61" s="75"/>
      <c r="I61" s="76" t="str">
        <f t="shared" si="2"/>
        <v/>
      </c>
    </row>
    <row r="62" spans="1:9" s="76" customFormat="1" ht="17.399999999999999">
      <c r="A62" s="74"/>
      <c r="B62" s="75"/>
      <c r="C62" s="76" t="str">
        <f t="shared" si="0"/>
        <v/>
      </c>
      <c r="D62" s="74"/>
      <c r="E62" s="75"/>
      <c r="F62" s="76" t="str">
        <f t="shared" si="1"/>
        <v/>
      </c>
      <c r="G62" s="74"/>
      <c r="H62" s="75"/>
      <c r="I62" s="76" t="str">
        <f t="shared" si="2"/>
        <v/>
      </c>
    </row>
    <row r="63" spans="1:9" s="76" customFormat="1" ht="17.399999999999999">
      <c r="A63" s="74"/>
      <c r="B63" s="75"/>
      <c r="C63" s="76" t="str">
        <f t="shared" si="0"/>
        <v/>
      </c>
      <c r="D63" s="74"/>
      <c r="E63" s="75"/>
      <c r="F63" s="76" t="str">
        <f t="shared" si="1"/>
        <v/>
      </c>
      <c r="G63" s="74"/>
      <c r="H63" s="75"/>
      <c r="I63" s="76" t="str">
        <f t="shared" si="2"/>
        <v/>
      </c>
    </row>
    <row r="64" spans="1:9" s="76" customFormat="1" ht="17.399999999999999">
      <c r="A64" s="74"/>
      <c r="B64" s="75"/>
      <c r="C64" s="76" t="str">
        <f t="shared" si="0"/>
        <v/>
      </c>
      <c r="D64" s="74"/>
      <c r="E64" s="75"/>
      <c r="F64" s="76" t="str">
        <f t="shared" si="1"/>
        <v/>
      </c>
      <c r="G64" s="74"/>
      <c r="H64" s="75"/>
      <c r="I64" s="76" t="str">
        <f t="shared" si="2"/>
        <v/>
      </c>
    </row>
    <row r="65" spans="1:9" s="76" customFormat="1" ht="17.399999999999999">
      <c r="A65" s="74"/>
      <c r="B65" s="75"/>
      <c r="C65" s="76" t="str">
        <f t="shared" si="0"/>
        <v/>
      </c>
      <c r="D65" s="74"/>
      <c r="E65" s="75"/>
      <c r="F65" s="76" t="str">
        <f t="shared" si="1"/>
        <v/>
      </c>
      <c r="G65" s="74"/>
      <c r="H65" s="75"/>
      <c r="I65" s="76" t="str">
        <f t="shared" si="2"/>
        <v/>
      </c>
    </row>
    <row r="66" spans="1:9" s="76" customFormat="1" ht="17.399999999999999">
      <c r="A66" s="74"/>
      <c r="B66" s="75"/>
      <c r="C66" s="76" t="str">
        <f t="shared" si="0"/>
        <v/>
      </c>
      <c r="D66" s="74"/>
      <c r="E66" s="75"/>
      <c r="F66" s="76" t="str">
        <f t="shared" si="1"/>
        <v/>
      </c>
      <c r="G66" s="74"/>
      <c r="H66" s="75"/>
      <c r="I66" s="76" t="str">
        <f t="shared" si="2"/>
        <v/>
      </c>
    </row>
    <row r="67" spans="1:9" s="76" customFormat="1" ht="17.399999999999999">
      <c r="A67" s="74"/>
      <c r="B67" s="75"/>
      <c r="C67" s="76" t="str">
        <f t="shared" si="0"/>
        <v/>
      </c>
      <c r="D67" s="74"/>
      <c r="E67" s="75"/>
      <c r="F67" s="76" t="str">
        <f t="shared" si="1"/>
        <v/>
      </c>
      <c r="G67" s="74"/>
      <c r="H67" s="75"/>
      <c r="I67" s="76" t="str">
        <f t="shared" si="2"/>
        <v/>
      </c>
    </row>
    <row r="68" spans="1:9" s="76" customFormat="1" ht="17.399999999999999">
      <c r="A68" s="74"/>
      <c r="B68" s="75"/>
      <c r="C68" s="76" t="str">
        <f t="shared" si="0"/>
        <v/>
      </c>
      <c r="D68" s="74"/>
      <c r="E68" s="75"/>
      <c r="F68" s="76" t="str">
        <f t="shared" si="1"/>
        <v/>
      </c>
      <c r="G68" s="74"/>
      <c r="H68" s="75"/>
      <c r="I68" s="76" t="str">
        <f t="shared" si="2"/>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1444</v>
      </c>
      <c r="D305" s="76" t="s">
        <v>1444</v>
      </c>
      <c r="G305" s="76" t="s">
        <v>1444</v>
      </c>
    </row>
  </sheetData>
  <mergeCells count="4">
    <mergeCell ref="A2:H2"/>
    <mergeCell ref="A3:B3"/>
    <mergeCell ref="D3:E3"/>
    <mergeCell ref="G3:H3"/>
  </mergeCells>
  <phoneticPr fontId="4"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31" bestFit="1" customWidth="1"/>
    <col min="2" max="2" width="8.3984375" style="132" bestFit="1" customWidth="1"/>
    <col min="3" max="3" width="15.69921875" style="133" customWidth="1"/>
    <col min="4" max="4" width="47.09765625" style="134" customWidth="1"/>
    <col min="5" max="5" width="56.09765625" style="134" customWidth="1"/>
    <col min="6" max="6" width="57.3984375" style="131" customWidth="1"/>
    <col min="7" max="26" width="73.3984375" style="131"/>
    <col min="27" max="27" width="73.3984375" style="131" hidden="1" customWidth="1"/>
    <col min="28" max="29" width="73.3984375" style="131"/>
    <col min="30" max="30" width="0" style="131" hidden="1" customWidth="1"/>
    <col min="31" max="16384" width="73.3984375" style="131"/>
  </cols>
  <sheetData>
    <row r="1" spans="1:6" s="129" customFormat="1">
      <c r="A1" s="129" t="s">
        <v>423</v>
      </c>
      <c r="B1" s="129" t="s">
        <v>424</v>
      </c>
      <c r="C1" s="130" t="s">
        <v>425</v>
      </c>
      <c r="D1" s="130" t="s">
        <v>18</v>
      </c>
      <c r="E1" s="130" t="s">
        <v>19</v>
      </c>
      <c r="F1" s="129" t="s">
        <v>623</v>
      </c>
    </row>
    <row r="2" spans="1:6" ht="72">
      <c r="A2" s="131" t="s">
        <v>616</v>
      </c>
      <c r="B2" s="132">
        <v>1</v>
      </c>
      <c r="C2" s="133" t="s">
        <v>495</v>
      </c>
      <c r="D2" s="134" t="s">
        <v>426</v>
      </c>
      <c r="E2" s="134" t="s">
        <v>812</v>
      </c>
      <c r="F2" s="134" t="s">
        <v>812</v>
      </c>
    </row>
    <row r="3" spans="1:6" ht="84">
      <c r="A3" s="135">
        <v>650</v>
      </c>
      <c r="B3" s="132">
        <v>2</v>
      </c>
      <c r="C3" s="133" t="s">
        <v>495</v>
      </c>
      <c r="D3" s="134" t="s">
        <v>419</v>
      </c>
      <c r="E3" s="134" t="s">
        <v>813</v>
      </c>
      <c r="F3" s="134" t="s">
        <v>813</v>
      </c>
    </row>
    <row r="4" spans="1:6" ht="60">
      <c r="B4" s="132">
        <v>3</v>
      </c>
      <c r="C4" s="133" t="s">
        <v>495</v>
      </c>
      <c r="D4" s="134" t="s">
        <v>427</v>
      </c>
      <c r="E4" s="134" t="s">
        <v>814</v>
      </c>
      <c r="F4" s="134" t="s">
        <v>814</v>
      </c>
    </row>
    <row r="5" spans="1:6" ht="52.8">
      <c r="B5" s="132">
        <v>4</v>
      </c>
      <c r="C5" s="133" t="s">
        <v>495</v>
      </c>
      <c r="D5" s="134" t="s">
        <v>428</v>
      </c>
      <c r="E5" s="134" t="s">
        <v>815</v>
      </c>
      <c r="F5" s="134" t="s">
        <v>815</v>
      </c>
    </row>
    <row r="6" spans="1:6" ht="66">
      <c r="B6" s="132">
        <v>5</v>
      </c>
      <c r="C6" s="133" t="s">
        <v>495</v>
      </c>
      <c r="D6" s="134" t="s">
        <v>429</v>
      </c>
      <c r="E6" s="134" t="s">
        <v>816</v>
      </c>
      <c r="F6" s="134" t="s">
        <v>816</v>
      </c>
    </row>
    <row r="7" spans="1:6" ht="48">
      <c r="B7" s="132">
        <v>6</v>
      </c>
      <c r="C7" s="133" t="s">
        <v>495</v>
      </c>
      <c r="D7" s="134" t="s">
        <v>430</v>
      </c>
      <c r="E7" s="134" t="s">
        <v>817</v>
      </c>
      <c r="F7" s="134" t="s">
        <v>817</v>
      </c>
    </row>
    <row r="8" spans="1:6" ht="13.2">
      <c r="B8" s="132">
        <v>7</v>
      </c>
      <c r="C8" s="133" t="s">
        <v>495</v>
      </c>
      <c r="D8" s="134" t="s">
        <v>421</v>
      </c>
      <c r="E8" s="134" t="s">
        <v>818</v>
      </c>
      <c r="F8" s="134" t="s">
        <v>818</v>
      </c>
    </row>
    <row r="9" spans="1:6" ht="48">
      <c r="B9" s="132">
        <v>8</v>
      </c>
      <c r="C9" s="133" t="s">
        <v>586</v>
      </c>
      <c r="D9" s="134" t="s">
        <v>583</v>
      </c>
      <c r="E9" s="150" t="s">
        <v>1362</v>
      </c>
      <c r="F9" s="150" t="s">
        <v>1362</v>
      </c>
    </row>
    <row r="10" spans="1:6" ht="48">
      <c r="B10" s="132">
        <v>9</v>
      </c>
      <c r="C10" s="133" t="s">
        <v>586</v>
      </c>
      <c r="D10" s="134" t="s">
        <v>575</v>
      </c>
      <c r="E10" s="134" t="s">
        <v>819</v>
      </c>
      <c r="F10" s="134" t="s">
        <v>819</v>
      </c>
    </row>
    <row r="11" spans="1:6" ht="48">
      <c r="B11" s="132">
        <v>10</v>
      </c>
      <c r="C11" s="133" t="s">
        <v>586</v>
      </c>
      <c r="D11" s="134" t="s">
        <v>584</v>
      </c>
      <c r="E11" s="134" t="s">
        <v>820</v>
      </c>
      <c r="F11" s="134" t="s">
        <v>820</v>
      </c>
    </row>
    <row r="12" spans="1:6" ht="52.8">
      <c r="B12" s="132">
        <v>11</v>
      </c>
      <c r="C12" s="133" t="s">
        <v>586</v>
      </c>
      <c r="D12" s="134" t="s">
        <v>578</v>
      </c>
      <c r="E12" s="134" t="s">
        <v>821</v>
      </c>
      <c r="F12" s="134" t="s">
        <v>821</v>
      </c>
    </row>
    <row r="13" spans="1:6" ht="72">
      <c r="B13" s="132">
        <v>12</v>
      </c>
      <c r="C13" s="133" t="s">
        <v>586</v>
      </c>
      <c r="D13" s="134" t="s">
        <v>579</v>
      </c>
      <c r="E13" s="134" t="s">
        <v>822</v>
      </c>
      <c r="F13" s="134" t="s">
        <v>822</v>
      </c>
    </row>
    <row r="14" spans="1:6" ht="48">
      <c r="B14" s="132">
        <v>13</v>
      </c>
      <c r="C14" s="133" t="s">
        <v>495</v>
      </c>
      <c r="D14" s="134" t="s">
        <v>747</v>
      </c>
      <c r="E14" s="134" t="s">
        <v>823</v>
      </c>
      <c r="F14" s="134" t="s">
        <v>823</v>
      </c>
    </row>
    <row r="15" spans="1:6" ht="39.6">
      <c r="B15" s="132">
        <v>14</v>
      </c>
      <c r="C15" s="133" t="s">
        <v>495</v>
      </c>
      <c r="D15" s="134" t="s">
        <v>748</v>
      </c>
      <c r="E15" s="134" t="s">
        <v>824</v>
      </c>
      <c r="F15" s="134" t="s">
        <v>824</v>
      </c>
    </row>
    <row r="16" spans="1:6" ht="13.2">
      <c r="B16" s="132">
        <v>15</v>
      </c>
      <c r="C16" s="133" t="s">
        <v>495</v>
      </c>
      <c r="D16" s="134" t="s">
        <v>749</v>
      </c>
      <c r="E16" s="134" t="s">
        <v>825</v>
      </c>
      <c r="F16" s="134" t="s">
        <v>825</v>
      </c>
    </row>
    <row r="17" spans="1:6" ht="13.2">
      <c r="B17" s="132">
        <v>101</v>
      </c>
      <c r="D17" s="134" t="s">
        <v>20</v>
      </c>
      <c r="E17" s="134" t="s">
        <v>826</v>
      </c>
      <c r="F17" s="134" t="s">
        <v>826</v>
      </c>
    </row>
    <row r="18" spans="1:6" ht="13.2">
      <c r="B18" s="132">
        <v>102</v>
      </c>
      <c r="D18" s="134" t="s">
        <v>21</v>
      </c>
      <c r="E18" s="134" t="s">
        <v>827</v>
      </c>
      <c r="F18" s="134" t="s">
        <v>827</v>
      </c>
    </row>
    <row r="19" spans="1:6" ht="13.2">
      <c r="B19" s="132">
        <v>103</v>
      </c>
      <c r="D19" s="134" t="s">
        <v>22</v>
      </c>
      <c r="E19" s="134" t="s">
        <v>828</v>
      </c>
      <c r="F19" s="134" t="s">
        <v>828</v>
      </c>
    </row>
    <row r="20" spans="1:6" ht="13.2">
      <c r="B20" s="132">
        <v>104</v>
      </c>
      <c r="D20" s="134" t="s">
        <v>23</v>
      </c>
      <c r="E20" s="134" t="s">
        <v>829</v>
      </c>
      <c r="F20" s="134" t="s">
        <v>829</v>
      </c>
    </row>
    <row r="21" spans="1:6" ht="13.2">
      <c r="B21" s="132">
        <v>105</v>
      </c>
      <c r="D21" s="134" t="s">
        <v>24</v>
      </c>
      <c r="E21" s="134" t="s">
        <v>830</v>
      </c>
      <c r="F21" s="134" t="s">
        <v>830</v>
      </c>
    </row>
    <row r="22" spans="1:6" ht="13.2">
      <c r="B22" s="132">
        <v>106</v>
      </c>
      <c r="D22" s="134" t="s">
        <v>343</v>
      </c>
      <c r="E22" s="134" t="s">
        <v>831</v>
      </c>
      <c r="F22" s="134" t="s">
        <v>831</v>
      </c>
    </row>
    <row r="23" spans="1:6" ht="39.6">
      <c r="B23" s="132">
        <v>107</v>
      </c>
      <c r="D23" s="134" t="s">
        <v>344</v>
      </c>
      <c r="E23" s="134" t="s">
        <v>832</v>
      </c>
      <c r="F23" s="134" t="s">
        <v>832</v>
      </c>
    </row>
    <row r="24" spans="1:6" ht="39.6">
      <c r="B24" s="132">
        <v>108</v>
      </c>
      <c r="D24" s="134" t="s">
        <v>345</v>
      </c>
      <c r="E24" s="134" t="s">
        <v>833</v>
      </c>
      <c r="F24" s="134" t="s">
        <v>833</v>
      </c>
    </row>
    <row r="25" spans="1:6" ht="13.2">
      <c r="B25" s="132">
        <v>109</v>
      </c>
      <c r="D25" s="134" t="s">
        <v>25</v>
      </c>
      <c r="E25" s="134" t="s">
        <v>834</v>
      </c>
      <c r="F25" s="134" t="s">
        <v>834</v>
      </c>
    </row>
    <row r="26" spans="1:6" ht="13.2">
      <c r="B26" s="132">
        <v>110</v>
      </c>
      <c r="D26" s="134" t="s">
        <v>26</v>
      </c>
      <c r="E26" s="134" t="s">
        <v>835</v>
      </c>
      <c r="F26" s="134" t="s">
        <v>835</v>
      </c>
    </row>
    <row r="27" spans="1:6" ht="13.2">
      <c r="B27" s="132">
        <v>111</v>
      </c>
      <c r="D27" s="134" t="s">
        <v>27</v>
      </c>
      <c r="E27" s="134" t="s">
        <v>836</v>
      </c>
      <c r="F27" s="134" t="s">
        <v>836</v>
      </c>
    </row>
    <row r="28" spans="1:6" ht="13.2">
      <c r="A28" s="136"/>
      <c r="B28" s="132">
        <v>112</v>
      </c>
      <c r="C28" s="137" t="s">
        <v>414</v>
      </c>
      <c r="D28" s="135" t="s">
        <v>431</v>
      </c>
      <c r="E28" s="135" t="s">
        <v>837</v>
      </c>
      <c r="F28" s="135" t="s">
        <v>837</v>
      </c>
    </row>
    <row r="29" spans="1:6" ht="13.2">
      <c r="B29" s="132">
        <v>113</v>
      </c>
      <c r="D29" s="134" t="s">
        <v>28</v>
      </c>
      <c r="E29" s="134" t="s">
        <v>837</v>
      </c>
      <c r="F29" s="134" t="s">
        <v>837</v>
      </c>
    </row>
    <row r="30" spans="1:6" ht="13.2">
      <c r="B30" s="132">
        <v>114</v>
      </c>
      <c r="C30" s="133" t="s">
        <v>544</v>
      </c>
      <c r="D30" s="134" t="s">
        <v>549</v>
      </c>
      <c r="E30" s="134" t="s">
        <v>838</v>
      </c>
      <c r="F30" s="134" t="s">
        <v>838</v>
      </c>
    </row>
    <row r="31" spans="1:6" ht="13.2">
      <c r="B31" s="132">
        <v>115</v>
      </c>
      <c r="D31" s="134" t="s">
        <v>604</v>
      </c>
      <c r="E31" s="134" t="s">
        <v>839</v>
      </c>
      <c r="F31" s="134" t="s">
        <v>839</v>
      </c>
    </row>
    <row r="32" spans="1:6" ht="13.2">
      <c r="B32" s="132">
        <v>116</v>
      </c>
      <c r="D32" s="134" t="s">
        <v>29</v>
      </c>
      <c r="E32" s="134" t="s">
        <v>840</v>
      </c>
      <c r="F32" s="134" t="s">
        <v>840</v>
      </c>
    </row>
    <row r="33" spans="2:6" ht="13.2">
      <c r="B33" s="132">
        <v>117</v>
      </c>
      <c r="D33" s="134" t="s">
        <v>30</v>
      </c>
      <c r="E33" s="134" t="s">
        <v>841</v>
      </c>
      <c r="F33" s="134" t="s">
        <v>841</v>
      </c>
    </row>
    <row r="34" spans="2:6" ht="26.4">
      <c r="B34" s="132">
        <v>118</v>
      </c>
      <c r="D34" s="134" t="s">
        <v>346</v>
      </c>
      <c r="E34" s="134" t="s">
        <v>842</v>
      </c>
      <c r="F34" s="134" t="s">
        <v>842</v>
      </c>
    </row>
    <row r="35" spans="2:6" ht="13.2">
      <c r="B35" s="132">
        <v>119</v>
      </c>
      <c r="D35" s="134" t="s">
        <v>515</v>
      </c>
      <c r="E35" s="134" t="s">
        <v>843</v>
      </c>
      <c r="F35" s="134" t="s">
        <v>843</v>
      </c>
    </row>
    <row r="36" spans="2:6" ht="13.2">
      <c r="B36" s="132">
        <v>120</v>
      </c>
      <c r="D36" s="134" t="s">
        <v>501</v>
      </c>
      <c r="E36" s="134" t="s">
        <v>844</v>
      </c>
      <c r="F36" s="134" t="s">
        <v>844</v>
      </c>
    </row>
    <row r="37" spans="2:6" ht="26.4">
      <c r="B37" s="132">
        <v>121</v>
      </c>
      <c r="D37" s="134" t="s">
        <v>31</v>
      </c>
      <c r="E37" s="134" t="s">
        <v>845</v>
      </c>
      <c r="F37" s="134" t="s">
        <v>845</v>
      </c>
    </row>
    <row r="38" spans="2:6" ht="13.2">
      <c r="B38" s="132">
        <v>122</v>
      </c>
      <c r="D38" s="134" t="s">
        <v>32</v>
      </c>
      <c r="E38" s="134" t="s">
        <v>846</v>
      </c>
      <c r="F38" s="134" t="s">
        <v>846</v>
      </c>
    </row>
    <row r="39" spans="2:6" ht="13.2">
      <c r="B39" s="132">
        <v>123</v>
      </c>
      <c r="D39" s="134" t="s">
        <v>341</v>
      </c>
      <c r="E39" s="134" t="s">
        <v>847</v>
      </c>
      <c r="F39" s="134" t="s">
        <v>847</v>
      </c>
    </row>
    <row r="40" spans="2:6" ht="13.2">
      <c r="B40" s="132">
        <v>124</v>
      </c>
      <c r="D40" s="134" t="s">
        <v>33</v>
      </c>
      <c r="E40" s="134" t="s">
        <v>848</v>
      </c>
      <c r="F40" s="134" t="s">
        <v>848</v>
      </c>
    </row>
    <row r="41" spans="2:6" ht="24">
      <c r="B41" s="132">
        <v>125</v>
      </c>
      <c r="D41" s="134" t="s">
        <v>517</v>
      </c>
      <c r="E41" s="134" t="s">
        <v>849</v>
      </c>
      <c r="F41" s="134" t="s">
        <v>849</v>
      </c>
    </row>
    <row r="42" spans="2:6" ht="13.2">
      <c r="B42" s="132">
        <v>126</v>
      </c>
      <c r="D42" s="134" t="s">
        <v>516</v>
      </c>
      <c r="E42" s="134" t="s">
        <v>850</v>
      </c>
      <c r="F42" s="134" t="s">
        <v>850</v>
      </c>
    </row>
    <row r="43" spans="2:6" ht="24">
      <c r="B43" s="132">
        <v>127</v>
      </c>
      <c r="D43" s="134" t="s">
        <v>34</v>
      </c>
      <c r="E43" s="134" t="s">
        <v>851</v>
      </c>
      <c r="F43" s="134" t="s">
        <v>851</v>
      </c>
    </row>
    <row r="44" spans="2:6" ht="24">
      <c r="B44" s="132">
        <v>128</v>
      </c>
      <c r="D44" s="134" t="s">
        <v>35</v>
      </c>
      <c r="E44" s="134" t="s">
        <v>852</v>
      </c>
      <c r="F44" s="134" t="s">
        <v>852</v>
      </c>
    </row>
    <row r="45" spans="2:6" ht="24">
      <c r="B45" s="132">
        <v>129</v>
      </c>
      <c r="D45" s="134" t="s">
        <v>342</v>
      </c>
      <c r="E45" s="134" t="s">
        <v>853</v>
      </c>
      <c r="F45" s="134" t="s">
        <v>853</v>
      </c>
    </row>
    <row r="46" spans="2:6" ht="13.2">
      <c r="B46" s="132">
        <v>130</v>
      </c>
      <c r="D46" s="134" t="s">
        <v>36</v>
      </c>
      <c r="E46" s="134" t="s">
        <v>854</v>
      </c>
      <c r="F46" s="134" t="s">
        <v>854</v>
      </c>
    </row>
    <row r="47" spans="2:6" ht="13.2">
      <c r="B47" s="132">
        <v>131</v>
      </c>
      <c r="D47" s="134" t="s">
        <v>347</v>
      </c>
      <c r="E47" s="134" t="s">
        <v>855</v>
      </c>
      <c r="F47" s="134" t="s">
        <v>855</v>
      </c>
    </row>
    <row r="48" spans="2:6" ht="13.2">
      <c r="B48" s="132">
        <v>132</v>
      </c>
      <c r="D48" s="134" t="s">
        <v>37</v>
      </c>
      <c r="E48" s="134" t="s">
        <v>856</v>
      </c>
      <c r="F48" s="134" t="s">
        <v>856</v>
      </c>
    </row>
    <row r="49" spans="2:6" ht="13.2">
      <c r="B49" s="132">
        <v>133</v>
      </c>
      <c r="D49" s="134" t="s">
        <v>632</v>
      </c>
      <c r="E49" s="134" t="s">
        <v>857</v>
      </c>
      <c r="F49" s="134" t="s">
        <v>857</v>
      </c>
    </row>
    <row r="50" spans="2:6" ht="13.2">
      <c r="B50" s="132">
        <v>134</v>
      </c>
      <c r="D50" s="134" t="s">
        <v>631</v>
      </c>
      <c r="E50" s="134" t="s">
        <v>858</v>
      </c>
      <c r="F50" s="134" t="s">
        <v>858</v>
      </c>
    </row>
    <row r="51" spans="2:6">
      <c r="B51" s="132">
        <v>135</v>
      </c>
      <c r="D51" s="135" t="s">
        <v>630</v>
      </c>
      <c r="E51" s="138">
        <v>43435</v>
      </c>
      <c r="F51" s="138">
        <v>43435</v>
      </c>
    </row>
    <row r="52" spans="2:6">
      <c r="B52" s="132">
        <v>136</v>
      </c>
      <c r="D52" s="135" t="s">
        <v>348</v>
      </c>
      <c r="E52" s="138">
        <v>43465</v>
      </c>
      <c r="F52" s="138">
        <v>43465</v>
      </c>
    </row>
    <row r="53" spans="2:6">
      <c r="B53" s="132">
        <v>137</v>
      </c>
      <c r="D53" s="134" t="s">
        <v>38</v>
      </c>
      <c r="E53" s="134" t="s">
        <v>38</v>
      </c>
      <c r="F53" s="134" t="s">
        <v>38</v>
      </c>
    </row>
    <row r="54" spans="2:6" ht="13.2">
      <c r="B54" s="132">
        <v>138</v>
      </c>
      <c r="D54" s="134" t="s">
        <v>39</v>
      </c>
      <c r="E54" s="134" t="s">
        <v>859</v>
      </c>
      <c r="F54" s="134" t="s">
        <v>859</v>
      </c>
    </row>
    <row r="55" spans="2:6" ht="13.2">
      <c r="B55" s="132">
        <v>139</v>
      </c>
      <c r="C55" s="133" t="s">
        <v>432</v>
      </c>
      <c r="D55" s="134" t="s">
        <v>433</v>
      </c>
      <c r="E55" s="134" t="s">
        <v>860</v>
      </c>
      <c r="F55" s="134" t="s">
        <v>860</v>
      </c>
    </row>
    <row r="56" spans="2:6" ht="26.4">
      <c r="B56" s="132">
        <v>140</v>
      </c>
      <c r="D56" s="134" t="s">
        <v>40</v>
      </c>
      <c r="E56" s="134" t="s">
        <v>861</v>
      </c>
      <c r="F56" s="134" t="s">
        <v>861</v>
      </c>
    </row>
    <row r="57" spans="2:6" ht="26.4">
      <c r="B57" s="132">
        <v>141</v>
      </c>
      <c r="D57" s="134" t="s">
        <v>41</v>
      </c>
      <c r="E57" s="134" t="s">
        <v>862</v>
      </c>
      <c r="F57" s="134" t="s">
        <v>862</v>
      </c>
    </row>
    <row r="58" spans="2:6" ht="13.2">
      <c r="B58" s="132">
        <v>142</v>
      </c>
      <c r="D58" s="134" t="s">
        <v>497</v>
      </c>
      <c r="E58" s="134" t="s">
        <v>863</v>
      </c>
      <c r="F58" s="134" t="s">
        <v>863</v>
      </c>
    </row>
    <row r="59" spans="2:6" ht="13.2">
      <c r="B59" s="132">
        <v>143</v>
      </c>
      <c r="C59" s="133" t="s">
        <v>467</v>
      </c>
      <c r="D59" s="131" t="s">
        <v>349</v>
      </c>
      <c r="E59" s="139" t="s">
        <v>864</v>
      </c>
      <c r="F59" s="139" t="s">
        <v>864</v>
      </c>
    </row>
    <row r="60" spans="2:6" ht="13.2">
      <c r="B60" s="132">
        <v>144</v>
      </c>
      <c r="D60" s="134" t="s">
        <v>42</v>
      </c>
      <c r="E60" s="134" t="s">
        <v>865</v>
      </c>
      <c r="F60" s="134" t="s">
        <v>865</v>
      </c>
    </row>
    <row r="61" spans="2:6" ht="26.4">
      <c r="B61" s="132">
        <v>145</v>
      </c>
      <c r="D61" s="134" t="s">
        <v>43</v>
      </c>
      <c r="E61" s="134" t="s">
        <v>866</v>
      </c>
      <c r="F61" s="134" t="s">
        <v>866</v>
      </c>
    </row>
    <row r="62" spans="2:6" ht="13.2">
      <c r="B62" s="132">
        <v>146</v>
      </c>
      <c r="D62" s="134" t="s">
        <v>44</v>
      </c>
      <c r="E62" s="134" t="s">
        <v>867</v>
      </c>
      <c r="F62" s="134" t="s">
        <v>867</v>
      </c>
    </row>
    <row r="63" spans="2:6" ht="26.4">
      <c r="B63" s="132">
        <v>147</v>
      </c>
      <c r="D63" s="134" t="s">
        <v>45</v>
      </c>
      <c r="E63" s="134" t="s">
        <v>868</v>
      </c>
      <c r="F63" s="134" t="s">
        <v>868</v>
      </c>
    </row>
    <row r="64" spans="2:6" ht="13.2">
      <c r="B64" s="132">
        <v>148</v>
      </c>
      <c r="D64" s="134" t="s">
        <v>498</v>
      </c>
      <c r="E64" s="134" t="s">
        <v>869</v>
      </c>
      <c r="F64" s="134" t="s">
        <v>869</v>
      </c>
    </row>
    <row r="65" spans="1:6" ht="13.2">
      <c r="B65" s="132">
        <v>149</v>
      </c>
      <c r="D65" s="134" t="s">
        <v>499</v>
      </c>
      <c r="E65" s="134" t="s">
        <v>870</v>
      </c>
      <c r="F65" s="134" t="s">
        <v>870</v>
      </c>
    </row>
    <row r="66" spans="1:6" ht="13.2">
      <c r="B66" s="132">
        <v>150</v>
      </c>
      <c r="D66" s="134" t="s">
        <v>46</v>
      </c>
      <c r="E66" s="134" t="s">
        <v>871</v>
      </c>
      <c r="F66" s="134" t="s">
        <v>871</v>
      </c>
    </row>
    <row r="67" spans="1:6" ht="13.2">
      <c r="B67" s="132">
        <v>151</v>
      </c>
      <c r="C67" s="133" t="s">
        <v>467</v>
      </c>
      <c r="D67" s="131" t="s">
        <v>350</v>
      </c>
      <c r="E67" s="139" t="s">
        <v>872</v>
      </c>
      <c r="F67" s="139" t="s">
        <v>872</v>
      </c>
    </row>
    <row r="68" spans="1:6" ht="13.2">
      <c r="B68" s="132">
        <v>152</v>
      </c>
      <c r="D68" s="134" t="s">
        <v>47</v>
      </c>
      <c r="E68" s="134" t="s">
        <v>873</v>
      </c>
      <c r="F68" s="134" t="s">
        <v>873</v>
      </c>
    </row>
    <row r="69" spans="1:6" ht="13.2">
      <c r="B69" s="132">
        <v>153</v>
      </c>
      <c r="D69" s="134" t="s">
        <v>48</v>
      </c>
      <c r="E69" s="134" t="s">
        <v>874</v>
      </c>
      <c r="F69" s="134" t="s">
        <v>874</v>
      </c>
    </row>
    <row r="70" spans="1:6" ht="13.2">
      <c r="B70" s="132">
        <v>154</v>
      </c>
      <c r="D70" s="134" t="s">
        <v>49</v>
      </c>
      <c r="E70" s="134" t="s">
        <v>875</v>
      </c>
      <c r="F70" s="134" t="s">
        <v>875</v>
      </c>
    </row>
    <row r="71" spans="1:6" ht="26.4">
      <c r="B71" s="132">
        <v>155</v>
      </c>
      <c r="D71" s="134" t="s">
        <v>50</v>
      </c>
      <c r="E71" s="134" t="s">
        <v>876</v>
      </c>
      <c r="F71" s="134" t="s">
        <v>876</v>
      </c>
    </row>
    <row r="72" spans="1:6" ht="13.2">
      <c r="B72" s="132">
        <v>156</v>
      </c>
      <c r="C72" s="133" t="s">
        <v>467</v>
      </c>
      <c r="D72" s="131" t="s">
        <v>465</v>
      </c>
      <c r="E72" s="139" t="s">
        <v>877</v>
      </c>
      <c r="F72" s="139" t="s">
        <v>877</v>
      </c>
    </row>
    <row r="73" spans="1:6" ht="13.2">
      <c r="B73" s="132">
        <v>157</v>
      </c>
      <c r="C73" s="133" t="s">
        <v>467</v>
      </c>
      <c r="D73" s="131" t="s">
        <v>464</v>
      </c>
      <c r="E73" s="139" t="s">
        <v>878</v>
      </c>
      <c r="F73" s="139" t="s">
        <v>878</v>
      </c>
    </row>
    <row r="74" spans="1:6" ht="13.2">
      <c r="B74" s="132">
        <v>158</v>
      </c>
      <c r="D74" s="134" t="s">
        <v>351</v>
      </c>
      <c r="E74" s="134" t="s">
        <v>879</v>
      </c>
      <c r="F74" s="134" t="s">
        <v>879</v>
      </c>
    </row>
    <row r="75" spans="1:6" ht="13.2">
      <c r="A75" s="140"/>
      <c r="B75" s="132">
        <v>159</v>
      </c>
      <c r="C75" s="137" t="s">
        <v>414</v>
      </c>
      <c r="D75" s="135" t="s">
        <v>434</v>
      </c>
      <c r="E75" s="135" t="s">
        <v>880</v>
      </c>
      <c r="F75" s="135" t="s">
        <v>880</v>
      </c>
    </row>
    <row r="76" spans="1:6" ht="13.2">
      <c r="B76" s="132">
        <v>160</v>
      </c>
      <c r="D76" s="134" t="s">
        <v>51</v>
      </c>
      <c r="E76" s="135" t="s">
        <v>881</v>
      </c>
      <c r="F76" s="135" t="s">
        <v>881</v>
      </c>
    </row>
    <row r="77" spans="1:6" ht="13.2">
      <c r="B77" s="132">
        <v>161</v>
      </c>
      <c r="D77" s="134" t="s">
        <v>52</v>
      </c>
      <c r="E77" s="135" t="s">
        <v>882</v>
      </c>
      <c r="F77" s="135" t="s">
        <v>882</v>
      </c>
    </row>
    <row r="78" spans="1:6" ht="13.2">
      <c r="B78" s="132">
        <v>162</v>
      </c>
      <c r="D78" s="134" t="s">
        <v>511</v>
      </c>
      <c r="E78" s="134" t="s">
        <v>883</v>
      </c>
      <c r="F78" s="134" t="s">
        <v>883</v>
      </c>
    </row>
    <row r="79" spans="1:6" ht="13.2">
      <c r="B79" s="132">
        <v>163</v>
      </c>
      <c r="D79" s="134" t="s">
        <v>509</v>
      </c>
      <c r="E79" s="134" t="s">
        <v>884</v>
      </c>
      <c r="F79" s="134" t="s">
        <v>884</v>
      </c>
    </row>
    <row r="80" spans="1:6" ht="13.2">
      <c r="B80" s="132">
        <v>164</v>
      </c>
      <c r="D80" s="134" t="s">
        <v>508</v>
      </c>
      <c r="E80" s="134" t="s">
        <v>885</v>
      </c>
      <c r="F80" s="134" t="s">
        <v>885</v>
      </c>
    </row>
    <row r="81" spans="1:6" ht="13.2">
      <c r="A81" s="140"/>
      <c r="B81" s="132">
        <v>165</v>
      </c>
      <c r="C81" s="137" t="s">
        <v>414</v>
      </c>
      <c r="D81" s="135" t="s">
        <v>435</v>
      </c>
      <c r="E81" s="135" t="s">
        <v>886</v>
      </c>
      <c r="F81" s="135" t="s">
        <v>886</v>
      </c>
    </row>
    <row r="82" spans="1:6" ht="13.2">
      <c r="A82" s="140"/>
      <c r="B82" s="132">
        <v>166</v>
      </c>
      <c r="C82" s="137" t="s">
        <v>414</v>
      </c>
      <c r="D82" s="135" t="s">
        <v>436</v>
      </c>
      <c r="E82" s="135" t="s">
        <v>887</v>
      </c>
      <c r="F82" s="135" t="s">
        <v>887</v>
      </c>
    </row>
    <row r="83" spans="1:6" ht="13.2">
      <c r="A83" s="140"/>
      <c r="B83" s="132">
        <v>167</v>
      </c>
      <c r="C83" s="137" t="s">
        <v>414</v>
      </c>
      <c r="D83" s="135" t="s">
        <v>437</v>
      </c>
      <c r="E83" s="135" t="s">
        <v>888</v>
      </c>
      <c r="F83" s="135" t="s">
        <v>888</v>
      </c>
    </row>
    <row r="84" spans="1:6" ht="13.2">
      <c r="A84" s="140"/>
      <c r="B84" s="132">
        <v>168</v>
      </c>
      <c r="C84" s="137" t="s">
        <v>414</v>
      </c>
      <c r="D84" s="135" t="s">
        <v>422</v>
      </c>
      <c r="E84" s="135" t="s">
        <v>889</v>
      </c>
      <c r="F84" s="135" t="s">
        <v>889</v>
      </c>
    </row>
    <row r="85" spans="1:6" ht="13.2">
      <c r="B85" s="132">
        <v>169</v>
      </c>
      <c r="D85" s="134" t="s">
        <v>53</v>
      </c>
      <c r="E85" s="134" t="s">
        <v>890</v>
      </c>
      <c r="F85" s="134" t="s">
        <v>890</v>
      </c>
    </row>
    <row r="86" spans="1:6" ht="13.2">
      <c r="B86" s="132">
        <v>170</v>
      </c>
      <c r="D86" s="134" t="s">
        <v>54</v>
      </c>
      <c r="E86" s="134" t="s">
        <v>891</v>
      </c>
      <c r="F86" s="134" t="s">
        <v>891</v>
      </c>
    </row>
    <row r="87" spans="1:6" ht="13.2">
      <c r="B87" s="132">
        <v>171</v>
      </c>
      <c r="D87" s="134" t="s">
        <v>438</v>
      </c>
      <c r="E87" s="134" t="s">
        <v>892</v>
      </c>
      <c r="F87" s="134" t="s">
        <v>892</v>
      </c>
    </row>
    <row r="88" spans="1:6" ht="13.2">
      <c r="B88" s="132">
        <v>172</v>
      </c>
      <c r="D88" s="134" t="s">
        <v>55</v>
      </c>
      <c r="E88" s="134" t="s">
        <v>893</v>
      </c>
      <c r="F88" s="134" t="s">
        <v>893</v>
      </c>
    </row>
    <row r="89" spans="1:6" ht="13.2">
      <c r="B89" s="132">
        <v>173</v>
      </c>
      <c r="D89" s="134" t="s">
        <v>56</v>
      </c>
      <c r="E89" s="134" t="s">
        <v>894</v>
      </c>
      <c r="F89" s="134" t="s">
        <v>894</v>
      </c>
    </row>
    <row r="90" spans="1:6" ht="13.2">
      <c r="B90" s="132">
        <v>174</v>
      </c>
      <c r="D90" s="134" t="s">
        <v>57</v>
      </c>
      <c r="E90" s="134" t="s">
        <v>895</v>
      </c>
      <c r="F90" s="134" t="s">
        <v>895</v>
      </c>
    </row>
    <row r="91" spans="1:6" ht="13.2">
      <c r="B91" s="132">
        <v>175</v>
      </c>
      <c r="D91" s="134" t="s">
        <v>58</v>
      </c>
      <c r="E91" s="134" t="s">
        <v>896</v>
      </c>
      <c r="F91" s="134" t="s">
        <v>896</v>
      </c>
    </row>
    <row r="92" spans="1:6" ht="26.4">
      <c r="B92" s="132">
        <v>176</v>
      </c>
      <c r="D92" s="134" t="s">
        <v>59</v>
      </c>
      <c r="E92" s="134" t="s">
        <v>897</v>
      </c>
      <c r="F92" s="134" t="s">
        <v>897</v>
      </c>
    </row>
    <row r="93" spans="1:6" ht="13.2">
      <c r="B93" s="132">
        <v>177</v>
      </c>
      <c r="D93" s="134" t="s">
        <v>60</v>
      </c>
      <c r="E93" s="134" t="s">
        <v>898</v>
      </c>
      <c r="F93" s="134" t="s">
        <v>898</v>
      </c>
    </row>
    <row r="94" spans="1:6" ht="13.2">
      <c r="B94" s="132">
        <v>178</v>
      </c>
      <c r="D94" s="134" t="s">
        <v>61</v>
      </c>
      <c r="E94" s="134" t="s">
        <v>899</v>
      </c>
      <c r="F94" s="134" t="s">
        <v>899</v>
      </c>
    </row>
    <row r="95" spans="1:6" ht="13.2">
      <c r="B95" s="132">
        <v>179</v>
      </c>
      <c r="D95" s="134" t="s">
        <v>62</v>
      </c>
      <c r="E95" s="134" t="s">
        <v>900</v>
      </c>
      <c r="F95" s="134" t="s">
        <v>900</v>
      </c>
    </row>
    <row r="96" spans="1:6" ht="13.2">
      <c r="B96" s="132">
        <v>180</v>
      </c>
      <c r="D96" s="134" t="s">
        <v>352</v>
      </c>
      <c r="E96" s="134" t="s">
        <v>901</v>
      </c>
      <c r="F96" s="134" t="s">
        <v>901</v>
      </c>
    </row>
    <row r="97" spans="2:6" ht="13.2">
      <c r="B97" s="132">
        <v>181</v>
      </c>
      <c r="C97" s="133" t="s">
        <v>544</v>
      </c>
      <c r="D97" s="134" t="s">
        <v>565</v>
      </c>
      <c r="E97" s="134" t="s">
        <v>902</v>
      </c>
      <c r="F97" s="134" t="s">
        <v>902</v>
      </c>
    </row>
    <row r="98" spans="2:6" ht="39.6">
      <c r="B98" s="132">
        <v>182</v>
      </c>
      <c r="C98" s="133" t="s">
        <v>544</v>
      </c>
      <c r="D98" s="134" t="s">
        <v>585</v>
      </c>
      <c r="E98" s="134" t="s">
        <v>903</v>
      </c>
      <c r="F98" s="134" t="s">
        <v>903</v>
      </c>
    </row>
    <row r="99" spans="2:6" ht="13.2">
      <c r="B99" s="132">
        <v>183</v>
      </c>
      <c r="D99" s="134" t="s">
        <v>63</v>
      </c>
      <c r="E99" s="134" t="s">
        <v>904</v>
      </c>
      <c r="F99" s="134" t="s">
        <v>904</v>
      </c>
    </row>
    <row r="100" spans="2:6" ht="13.2">
      <c r="B100" s="132">
        <v>184</v>
      </c>
      <c r="D100" s="134" t="s">
        <v>620</v>
      </c>
      <c r="E100" s="134" t="s">
        <v>905</v>
      </c>
      <c r="F100" s="134" t="s">
        <v>905</v>
      </c>
    </row>
    <row r="101" spans="2:6" ht="13.2">
      <c r="B101" s="132">
        <v>185</v>
      </c>
      <c r="D101" s="134" t="s">
        <v>64</v>
      </c>
      <c r="E101" s="134" t="s">
        <v>906</v>
      </c>
      <c r="F101" s="134" t="s">
        <v>906</v>
      </c>
    </row>
    <row r="102" spans="2:6" ht="24">
      <c r="B102" s="132">
        <v>186</v>
      </c>
      <c r="D102" s="134" t="s">
        <v>65</v>
      </c>
      <c r="E102" s="134" t="s">
        <v>907</v>
      </c>
      <c r="F102" s="134" t="s">
        <v>907</v>
      </c>
    </row>
    <row r="103" spans="2:6" ht="24">
      <c r="B103" s="132">
        <v>187</v>
      </c>
      <c r="D103" s="134" t="s">
        <v>66</v>
      </c>
      <c r="E103" s="134" t="s">
        <v>908</v>
      </c>
      <c r="F103" s="134" t="s">
        <v>908</v>
      </c>
    </row>
    <row r="104" spans="2:6" ht="13.2">
      <c r="B104" s="132">
        <v>188</v>
      </c>
      <c r="D104" s="134" t="s">
        <v>67</v>
      </c>
      <c r="E104" s="134" t="s">
        <v>909</v>
      </c>
      <c r="F104" s="134" t="s">
        <v>909</v>
      </c>
    </row>
    <row r="105" spans="2:6" ht="13.2">
      <c r="B105" s="132">
        <v>189</v>
      </c>
      <c r="D105" s="134" t="s">
        <v>68</v>
      </c>
      <c r="E105" s="134" t="s">
        <v>910</v>
      </c>
      <c r="F105" s="134" t="s">
        <v>910</v>
      </c>
    </row>
    <row r="106" spans="2:6" ht="13.2">
      <c r="B106" s="132">
        <v>190</v>
      </c>
      <c r="C106" s="133" t="s">
        <v>544</v>
      </c>
      <c r="D106" s="134" t="s">
        <v>563</v>
      </c>
      <c r="E106" s="134" t="s">
        <v>911</v>
      </c>
      <c r="F106" s="134" t="s">
        <v>911</v>
      </c>
    </row>
    <row r="107" spans="2:6" ht="13.2">
      <c r="B107" s="132">
        <v>191</v>
      </c>
      <c r="D107" s="134" t="s">
        <v>591</v>
      </c>
      <c r="E107" s="134" t="s">
        <v>912</v>
      </c>
      <c r="F107" s="134" t="s">
        <v>912</v>
      </c>
    </row>
    <row r="108" spans="2:6" ht="13.2">
      <c r="B108" s="132">
        <v>192</v>
      </c>
      <c r="D108" s="134" t="s">
        <v>456</v>
      </c>
      <c r="E108" s="134" t="s">
        <v>913</v>
      </c>
      <c r="F108" s="134" t="s">
        <v>913</v>
      </c>
    </row>
    <row r="109" spans="2:6" ht="13.2">
      <c r="B109" s="132">
        <v>193</v>
      </c>
      <c r="D109" s="134" t="s">
        <v>457</v>
      </c>
      <c r="E109" s="134" t="s">
        <v>914</v>
      </c>
      <c r="F109" s="134" t="s">
        <v>914</v>
      </c>
    </row>
    <row r="110" spans="2:6" ht="13.2">
      <c r="B110" s="132">
        <v>194</v>
      </c>
      <c r="D110" s="134" t="s">
        <v>69</v>
      </c>
      <c r="E110" s="134" t="s">
        <v>915</v>
      </c>
      <c r="F110" s="134" t="s">
        <v>915</v>
      </c>
    </row>
    <row r="111" spans="2:6" ht="13.2">
      <c r="B111" s="132">
        <v>195</v>
      </c>
      <c r="D111" s="134" t="s">
        <v>70</v>
      </c>
      <c r="E111" s="134" t="s">
        <v>916</v>
      </c>
      <c r="F111" s="134" t="s">
        <v>916</v>
      </c>
    </row>
    <row r="112" spans="2:6" ht="13.2">
      <c r="B112" s="132">
        <v>196</v>
      </c>
      <c r="D112" s="134" t="s">
        <v>353</v>
      </c>
      <c r="E112" s="134" t="s">
        <v>917</v>
      </c>
      <c r="F112" s="134" t="s">
        <v>917</v>
      </c>
    </row>
    <row r="113" spans="2:6" ht="24">
      <c r="B113" s="132">
        <v>197</v>
      </c>
      <c r="D113" s="134" t="s">
        <v>354</v>
      </c>
      <c r="E113" s="134" t="s">
        <v>918</v>
      </c>
      <c r="F113" s="134" t="s">
        <v>918</v>
      </c>
    </row>
    <row r="114" spans="2:6" ht="24">
      <c r="B114" s="132">
        <v>198</v>
      </c>
      <c r="D114" s="134" t="s">
        <v>71</v>
      </c>
      <c r="E114" s="134" t="s">
        <v>919</v>
      </c>
      <c r="F114" s="134" t="s">
        <v>919</v>
      </c>
    </row>
    <row r="115" spans="2:6" ht="13.2">
      <c r="B115" s="132">
        <v>199</v>
      </c>
      <c r="D115" s="134" t="s">
        <v>622</v>
      </c>
      <c r="E115" s="134" t="s">
        <v>920</v>
      </c>
      <c r="F115" s="134" t="s">
        <v>920</v>
      </c>
    </row>
    <row r="116" spans="2:6">
      <c r="B116" s="132">
        <v>200</v>
      </c>
      <c r="D116" s="134" t="s">
        <v>72</v>
      </c>
      <c r="E116" s="134" t="s">
        <v>73</v>
      </c>
      <c r="F116" s="134" t="s">
        <v>73</v>
      </c>
    </row>
    <row r="117" spans="2:6" ht="13.2">
      <c r="B117" s="132">
        <v>201</v>
      </c>
      <c r="D117" s="134" t="s">
        <v>614</v>
      </c>
      <c r="E117" s="134" t="s">
        <v>921</v>
      </c>
      <c r="F117" s="134" t="s">
        <v>921</v>
      </c>
    </row>
    <row r="118" spans="2:6" ht="13.2">
      <c r="B118" s="132">
        <v>202</v>
      </c>
      <c r="D118" s="134" t="s">
        <v>355</v>
      </c>
      <c r="E118" s="134" t="s">
        <v>922</v>
      </c>
      <c r="F118" s="134" t="s">
        <v>922</v>
      </c>
    </row>
    <row r="119" spans="2:6" ht="13.2">
      <c r="B119" s="132">
        <v>203</v>
      </c>
      <c r="D119" s="134" t="s">
        <v>356</v>
      </c>
      <c r="E119" s="134" t="s">
        <v>923</v>
      </c>
      <c r="F119" s="134" t="s">
        <v>923</v>
      </c>
    </row>
    <row r="120" spans="2:6" ht="13.2">
      <c r="B120" s="132">
        <v>204</v>
      </c>
      <c r="D120" s="134" t="s">
        <v>357</v>
      </c>
      <c r="E120" s="134" t="s">
        <v>924</v>
      </c>
      <c r="F120" s="134" t="s">
        <v>924</v>
      </c>
    </row>
    <row r="121" spans="2:6" ht="13.2">
      <c r="B121" s="132">
        <v>205</v>
      </c>
      <c r="D121" s="134" t="s">
        <v>605</v>
      </c>
      <c r="E121" s="134" t="s">
        <v>925</v>
      </c>
      <c r="F121" s="134" t="s">
        <v>925</v>
      </c>
    </row>
    <row r="122" spans="2:6" ht="13.2">
      <c r="B122" s="132">
        <v>206</v>
      </c>
      <c r="D122" s="134" t="s">
        <v>598</v>
      </c>
      <c r="E122" s="134" t="s">
        <v>926</v>
      </c>
      <c r="F122" s="134" t="s">
        <v>926</v>
      </c>
    </row>
    <row r="123" spans="2:6" ht="13.2">
      <c r="B123" s="132">
        <v>207</v>
      </c>
      <c r="D123" s="134" t="s">
        <v>74</v>
      </c>
      <c r="E123" s="134" t="s">
        <v>927</v>
      </c>
      <c r="F123" s="134" t="s">
        <v>927</v>
      </c>
    </row>
    <row r="124" spans="2:6" ht="24">
      <c r="B124" s="132">
        <v>208</v>
      </c>
      <c r="D124" s="134" t="s">
        <v>75</v>
      </c>
      <c r="E124" s="134" t="s">
        <v>928</v>
      </c>
      <c r="F124" s="134" t="s">
        <v>928</v>
      </c>
    </row>
    <row r="125" spans="2:6" ht="24">
      <c r="B125" s="132">
        <v>209</v>
      </c>
      <c r="D125" s="134" t="s">
        <v>76</v>
      </c>
      <c r="E125" s="134" t="s">
        <v>929</v>
      </c>
      <c r="F125" s="134" t="s">
        <v>929</v>
      </c>
    </row>
    <row r="126" spans="2:6" ht="13.2">
      <c r="B126" s="132">
        <v>210</v>
      </c>
      <c r="D126" s="134" t="s">
        <v>458</v>
      </c>
      <c r="E126" s="134" t="s">
        <v>930</v>
      </c>
      <c r="F126" s="134" t="s">
        <v>930</v>
      </c>
    </row>
    <row r="127" spans="2:6">
      <c r="B127" s="132">
        <v>211</v>
      </c>
      <c r="D127" s="134" t="s">
        <v>77</v>
      </c>
      <c r="E127" s="134" t="s">
        <v>77</v>
      </c>
      <c r="F127" s="134" t="s">
        <v>77</v>
      </c>
    </row>
    <row r="128" spans="2:6" ht="13.2">
      <c r="B128" s="132">
        <v>212</v>
      </c>
      <c r="D128" s="134" t="s">
        <v>78</v>
      </c>
      <c r="E128" s="134" t="s">
        <v>931</v>
      </c>
      <c r="F128" s="134" t="s">
        <v>931</v>
      </c>
    </row>
    <row r="129" spans="2:6" ht="13.2">
      <c r="B129" s="132">
        <v>213</v>
      </c>
      <c r="D129" s="134" t="s">
        <v>79</v>
      </c>
      <c r="E129" s="134" t="s">
        <v>932</v>
      </c>
      <c r="F129" s="134" t="s">
        <v>932</v>
      </c>
    </row>
    <row r="130" spans="2:6" ht="13.2">
      <c r="B130" s="132">
        <v>214</v>
      </c>
      <c r="D130" s="134" t="s">
        <v>80</v>
      </c>
      <c r="E130" s="134" t="s">
        <v>933</v>
      </c>
      <c r="F130" s="134" t="s">
        <v>933</v>
      </c>
    </row>
    <row r="131" spans="2:6" ht="13.2">
      <c r="B131" s="132">
        <v>215</v>
      </c>
      <c r="D131" s="134" t="s">
        <v>358</v>
      </c>
      <c r="E131" s="134" t="s">
        <v>934</v>
      </c>
      <c r="F131" s="134" t="s">
        <v>934</v>
      </c>
    </row>
    <row r="132" spans="2:6" ht="13.2">
      <c r="B132" s="132">
        <v>216</v>
      </c>
      <c r="D132" s="134" t="s">
        <v>81</v>
      </c>
      <c r="E132" s="134" t="s">
        <v>935</v>
      </c>
      <c r="F132" s="134" t="s">
        <v>935</v>
      </c>
    </row>
    <row r="133" spans="2:6" ht="13.2">
      <c r="B133" s="132">
        <v>217</v>
      </c>
      <c r="D133" s="134" t="s">
        <v>359</v>
      </c>
      <c r="E133" s="134" t="s">
        <v>936</v>
      </c>
      <c r="F133" s="134" t="s">
        <v>936</v>
      </c>
    </row>
    <row r="134" spans="2:6" ht="13.2">
      <c r="B134" s="132">
        <v>218</v>
      </c>
      <c r="D134" s="134" t="s">
        <v>82</v>
      </c>
      <c r="E134" s="134" t="s">
        <v>937</v>
      </c>
      <c r="F134" s="134" t="s">
        <v>937</v>
      </c>
    </row>
    <row r="135" spans="2:6" ht="13.2">
      <c r="B135" s="132">
        <v>219</v>
      </c>
      <c r="D135" s="134" t="s">
        <v>83</v>
      </c>
      <c r="E135" s="134" t="s">
        <v>938</v>
      </c>
      <c r="F135" s="134" t="s">
        <v>938</v>
      </c>
    </row>
    <row r="136" spans="2:6" ht="13.2">
      <c r="B136" s="132">
        <v>220</v>
      </c>
      <c r="D136" s="134" t="s">
        <v>84</v>
      </c>
      <c r="E136" s="134" t="s">
        <v>939</v>
      </c>
      <c r="F136" s="134" t="s">
        <v>939</v>
      </c>
    </row>
    <row r="137" spans="2:6" ht="13.2">
      <c r="B137" s="132">
        <v>221</v>
      </c>
      <c r="D137" s="134" t="s">
        <v>360</v>
      </c>
      <c r="E137" s="134" t="s">
        <v>940</v>
      </c>
      <c r="F137" s="134" t="s">
        <v>940</v>
      </c>
    </row>
    <row r="138" spans="2:6" ht="13.2">
      <c r="B138" s="132">
        <v>222</v>
      </c>
      <c r="D138" s="134" t="s">
        <v>85</v>
      </c>
      <c r="E138" s="134" t="s">
        <v>941</v>
      </c>
      <c r="F138" s="134" t="s">
        <v>941</v>
      </c>
    </row>
    <row r="139" spans="2:6" ht="13.2">
      <c r="B139" s="132">
        <v>223</v>
      </c>
      <c r="D139" s="134" t="s">
        <v>86</v>
      </c>
      <c r="E139" s="134" t="s">
        <v>942</v>
      </c>
      <c r="F139" s="134" t="s">
        <v>942</v>
      </c>
    </row>
    <row r="140" spans="2:6" ht="13.2">
      <c r="B140" s="132">
        <v>224</v>
      </c>
      <c r="C140" s="133" t="s">
        <v>467</v>
      </c>
      <c r="D140" s="134" t="s">
        <v>476</v>
      </c>
      <c r="E140" s="134" t="s">
        <v>943</v>
      </c>
      <c r="F140" s="134" t="s">
        <v>943</v>
      </c>
    </row>
    <row r="141" spans="2:6" ht="13.2">
      <c r="B141" s="132">
        <v>225</v>
      </c>
      <c r="D141" s="134" t="s">
        <v>87</v>
      </c>
      <c r="E141" s="134" t="s">
        <v>944</v>
      </c>
      <c r="F141" s="134" t="s">
        <v>944</v>
      </c>
    </row>
    <row r="142" spans="2:6" ht="13.2">
      <c r="B142" s="132">
        <v>226</v>
      </c>
      <c r="D142" s="134" t="s">
        <v>587</v>
      </c>
      <c r="E142" s="134" t="s">
        <v>945</v>
      </c>
      <c r="F142" s="134" t="s">
        <v>945</v>
      </c>
    </row>
    <row r="143" spans="2:6" ht="13.2">
      <c r="B143" s="132">
        <v>227</v>
      </c>
      <c r="D143" s="134" t="s">
        <v>361</v>
      </c>
      <c r="E143" s="134" t="s">
        <v>946</v>
      </c>
      <c r="F143" s="134" t="s">
        <v>946</v>
      </c>
    </row>
    <row r="144" spans="2:6" ht="13.2">
      <c r="B144" s="132">
        <v>228</v>
      </c>
      <c r="D144" s="134" t="s">
        <v>362</v>
      </c>
      <c r="E144" s="134" t="s">
        <v>947</v>
      </c>
      <c r="F144" s="134" t="s">
        <v>947</v>
      </c>
    </row>
    <row r="145" spans="2:6" ht="13.2">
      <c r="B145" s="132">
        <v>229</v>
      </c>
      <c r="D145" s="134" t="s">
        <v>541</v>
      </c>
      <c r="E145" s="134" t="s">
        <v>948</v>
      </c>
      <c r="F145" s="134" t="s">
        <v>948</v>
      </c>
    </row>
    <row r="146" spans="2:6" ht="13.2">
      <c r="B146" s="132">
        <v>230</v>
      </c>
      <c r="D146" s="134" t="s">
        <v>540</v>
      </c>
      <c r="E146" s="134" t="s">
        <v>949</v>
      </c>
      <c r="F146" s="134" t="s">
        <v>949</v>
      </c>
    </row>
    <row r="147" spans="2:6" ht="13.2">
      <c r="B147" s="132">
        <v>231</v>
      </c>
      <c r="D147" s="134" t="s">
        <v>363</v>
      </c>
      <c r="E147" s="134" t="s">
        <v>950</v>
      </c>
      <c r="F147" s="134" t="s">
        <v>950</v>
      </c>
    </row>
    <row r="148" spans="2:6" ht="13.2">
      <c r="B148" s="132">
        <v>232</v>
      </c>
      <c r="D148" s="134" t="s">
        <v>602</v>
      </c>
      <c r="E148" s="134" t="s">
        <v>951</v>
      </c>
      <c r="F148" s="134" t="s">
        <v>951</v>
      </c>
    </row>
    <row r="149" spans="2:6" ht="13.2">
      <c r="B149" s="132">
        <v>233</v>
      </c>
      <c r="D149" s="134" t="s">
        <v>364</v>
      </c>
      <c r="E149" s="134" t="s">
        <v>952</v>
      </c>
      <c r="F149" s="134" t="s">
        <v>952</v>
      </c>
    </row>
    <row r="150" spans="2:6" ht="13.2">
      <c r="B150" s="132">
        <v>234</v>
      </c>
      <c r="D150" s="134" t="s">
        <v>365</v>
      </c>
      <c r="E150" s="134" t="s">
        <v>953</v>
      </c>
      <c r="F150" s="134" t="s">
        <v>953</v>
      </c>
    </row>
    <row r="151" spans="2:6" ht="13.2">
      <c r="B151" s="132">
        <v>235</v>
      </c>
      <c r="D151" s="134" t="s">
        <v>88</v>
      </c>
      <c r="E151" s="134" t="s">
        <v>954</v>
      </c>
      <c r="F151" s="134" t="s">
        <v>954</v>
      </c>
    </row>
    <row r="152" spans="2:6" ht="13.2">
      <c r="B152" s="132">
        <v>236</v>
      </c>
      <c r="D152" s="134" t="s">
        <v>366</v>
      </c>
      <c r="E152" s="134" t="s">
        <v>955</v>
      </c>
      <c r="F152" s="134" t="s">
        <v>955</v>
      </c>
    </row>
    <row r="153" spans="2:6" ht="13.2">
      <c r="B153" s="132">
        <v>237</v>
      </c>
      <c r="D153" s="134" t="s">
        <v>599</v>
      </c>
      <c r="E153" s="134" t="s">
        <v>956</v>
      </c>
      <c r="F153" s="134" t="s">
        <v>956</v>
      </c>
    </row>
    <row r="154" spans="2:6" ht="13.2">
      <c r="B154" s="132">
        <v>238</v>
      </c>
      <c r="D154" s="134" t="s">
        <v>89</v>
      </c>
      <c r="E154" s="134" t="s">
        <v>957</v>
      </c>
      <c r="F154" s="134" t="s">
        <v>957</v>
      </c>
    </row>
    <row r="155" spans="2:6" ht="13.2">
      <c r="B155" s="132">
        <v>239</v>
      </c>
      <c r="D155" s="134" t="s">
        <v>90</v>
      </c>
      <c r="E155" s="134" t="s">
        <v>958</v>
      </c>
      <c r="F155" s="134" t="s">
        <v>958</v>
      </c>
    </row>
    <row r="156" spans="2:6" ht="13.2">
      <c r="B156" s="132">
        <v>240</v>
      </c>
      <c r="D156" s="134" t="s">
        <v>91</v>
      </c>
      <c r="E156" s="134" t="s">
        <v>959</v>
      </c>
      <c r="F156" s="134" t="s">
        <v>959</v>
      </c>
    </row>
    <row r="157" spans="2:6" ht="13.2">
      <c r="B157" s="132">
        <v>241</v>
      </c>
      <c r="D157" s="134" t="s">
        <v>367</v>
      </c>
      <c r="E157" s="134" t="s">
        <v>960</v>
      </c>
      <c r="F157" s="134" t="s">
        <v>960</v>
      </c>
    </row>
    <row r="158" spans="2:6" ht="13.2">
      <c r="B158" s="132">
        <v>242</v>
      </c>
      <c r="D158" s="134" t="s">
        <v>368</v>
      </c>
      <c r="E158" s="134" t="s">
        <v>961</v>
      </c>
      <c r="F158" s="134" t="s">
        <v>961</v>
      </c>
    </row>
    <row r="159" spans="2:6" ht="13.2">
      <c r="B159" s="132">
        <v>243</v>
      </c>
      <c r="D159" s="134" t="s">
        <v>588</v>
      </c>
      <c r="E159" s="134" t="s">
        <v>962</v>
      </c>
      <c r="F159" s="134" t="s">
        <v>962</v>
      </c>
    </row>
    <row r="160" spans="2:6" ht="13.2">
      <c r="B160" s="132">
        <v>244</v>
      </c>
      <c r="D160" s="134" t="s">
        <v>647</v>
      </c>
      <c r="E160" s="134" t="s">
        <v>963</v>
      </c>
      <c r="F160" s="134" t="s">
        <v>963</v>
      </c>
    </row>
    <row r="161" spans="2:6" ht="13.2">
      <c r="B161" s="132">
        <v>245</v>
      </c>
      <c r="D161" s="134" t="s">
        <v>648</v>
      </c>
      <c r="E161" s="134" t="s">
        <v>964</v>
      </c>
      <c r="F161" s="134" t="s">
        <v>964</v>
      </c>
    </row>
    <row r="162" spans="2:6" ht="13.2">
      <c r="B162" s="132">
        <v>246</v>
      </c>
      <c r="D162" s="134" t="s">
        <v>369</v>
      </c>
      <c r="E162" s="134" t="s">
        <v>965</v>
      </c>
      <c r="F162" s="134" t="s">
        <v>965</v>
      </c>
    </row>
    <row r="163" spans="2:6" ht="13.2">
      <c r="B163" s="132">
        <v>247</v>
      </c>
      <c r="D163" s="134" t="s">
        <v>590</v>
      </c>
      <c r="E163" s="134" t="s">
        <v>966</v>
      </c>
      <c r="F163" s="134" t="s">
        <v>966</v>
      </c>
    </row>
    <row r="164" spans="2:6" ht="13.2">
      <c r="B164" s="132">
        <v>248</v>
      </c>
      <c r="D164" s="134" t="s">
        <v>370</v>
      </c>
      <c r="E164" s="134" t="s">
        <v>967</v>
      </c>
      <c r="F164" s="134" t="s">
        <v>967</v>
      </c>
    </row>
    <row r="165" spans="2:6" ht="13.2">
      <c r="B165" s="132">
        <v>249</v>
      </c>
      <c r="D165" s="134" t="s">
        <v>371</v>
      </c>
      <c r="E165" s="134" t="s">
        <v>968</v>
      </c>
      <c r="F165" s="134" t="s">
        <v>968</v>
      </c>
    </row>
    <row r="166" spans="2:6" ht="13.2">
      <c r="B166" s="132">
        <v>250</v>
      </c>
      <c r="D166" s="134" t="s">
        <v>92</v>
      </c>
      <c r="E166" s="134" t="s">
        <v>969</v>
      </c>
      <c r="F166" s="134" t="s">
        <v>969</v>
      </c>
    </row>
    <row r="167" spans="2:6" ht="13.2">
      <c r="B167" s="132">
        <v>251</v>
      </c>
      <c r="D167" s="134" t="s">
        <v>93</v>
      </c>
      <c r="E167" s="134" t="s">
        <v>970</v>
      </c>
      <c r="F167" s="134" t="s">
        <v>970</v>
      </c>
    </row>
    <row r="168" spans="2:6" ht="13.2">
      <c r="B168" s="132">
        <v>252</v>
      </c>
      <c r="D168" s="134" t="s">
        <v>589</v>
      </c>
      <c r="E168" s="134" t="s">
        <v>971</v>
      </c>
      <c r="F168" s="134" t="s">
        <v>971</v>
      </c>
    </row>
    <row r="169" spans="2:6" ht="13.2">
      <c r="B169" s="132">
        <v>253</v>
      </c>
      <c r="D169" s="134" t="s">
        <v>657</v>
      </c>
      <c r="E169" s="134" t="s">
        <v>972</v>
      </c>
      <c r="F169" s="134" t="s">
        <v>972</v>
      </c>
    </row>
    <row r="170" spans="2:6" ht="13.2">
      <c r="B170" s="132">
        <v>254</v>
      </c>
      <c r="D170" s="134" t="s">
        <v>94</v>
      </c>
      <c r="E170" s="134" t="s">
        <v>973</v>
      </c>
      <c r="F170" s="134" t="s">
        <v>973</v>
      </c>
    </row>
    <row r="171" spans="2:6" ht="13.2">
      <c r="B171" s="132">
        <v>255</v>
      </c>
      <c r="C171" s="133" t="s">
        <v>467</v>
      </c>
      <c r="D171" s="134" t="s">
        <v>473</v>
      </c>
      <c r="E171" s="134" t="s">
        <v>974</v>
      </c>
      <c r="F171" s="134" t="s">
        <v>974</v>
      </c>
    </row>
    <row r="172" spans="2:6" ht="13.2">
      <c r="B172" s="132">
        <v>256</v>
      </c>
      <c r="D172" s="134" t="s">
        <v>95</v>
      </c>
      <c r="E172" s="134" t="s">
        <v>975</v>
      </c>
      <c r="F172" s="134" t="s">
        <v>975</v>
      </c>
    </row>
    <row r="173" spans="2:6" ht="13.2">
      <c r="B173" s="132">
        <v>257</v>
      </c>
      <c r="D173" s="134" t="s">
        <v>372</v>
      </c>
      <c r="E173" s="134" t="s">
        <v>976</v>
      </c>
      <c r="F173" s="134" t="s">
        <v>976</v>
      </c>
    </row>
    <row r="174" spans="2:6" ht="13.2">
      <c r="B174" s="132">
        <v>258</v>
      </c>
      <c r="D174" s="134" t="s">
        <v>373</v>
      </c>
      <c r="E174" s="134" t="s">
        <v>977</v>
      </c>
      <c r="F174" s="134" t="s">
        <v>977</v>
      </c>
    </row>
    <row r="175" spans="2:6" ht="13.2">
      <c r="B175" s="132">
        <v>259</v>
      </c>
      <c r="D175" s="134" t="s">
        <v>374</v>
      </c>
      <c r="E175" s="134" t="s">
        <v>978</v>
      </c>
      <c r="F175" s="134" t="s">
        <v>978</v>
      </c>
    </row>
    <row r="176" spans="2:6" ht="13.2">
      <c r="B176" s="132">
        <v>260</v>
      </c>
      <c r="D176" s="134" t="s">
        <v>519</v>
      </c>
      <c r="E176" s="134" t="s">
        <v>979</v>
      </c>
      <c r="F176" s="134" t="s">
        <v>979</v>
      </c>
    </row>
    <row r="177" spans="2:6" ht="13.2">
      <c r="B177" s="132">
        <v>261</v>
      </c>
      <c r="D177" s="134" t="s">
        <v>521</v>
      </c>
      <c r="E177" s="134" t="s">
        <v>980</v>
      </c>
      <c r="F177" s="134" t="s">
        <v>980</v>
      </c>
    </row>
    <row r="178" spans="2:6" ht="24">
      <c r="B178" s="132">
        <v>262</v>
      </c>
      <c r="D178" s="134" t="s">
        <v>522</v>
      </c>
      <c r="E178" s="134" t="s">
        <v>981</v>
      </c>
      <c r="F178" s="134" t="s">
        <v>981</v>
      </c>
    </row>
    <row r="179" spans="2:6" ht="13.2">
      <c r="B179" s="132">
        <v>263</v>
      </c>
      <c r="D179" s="134" t="s">
        <v>543</v>
      </c>
      <c r="E179" s="134" t="s">
        <v>982</v>
      </c>
      <c r="F179" s="134" t="s">
        <v>982</v>
      </c>
    </row>
    <row r="180" spans="2:6" ht="13.2">
      <c r="B180" s="132">
        <v>264</v>
      </c>
      <c r="D180" s="134" t="s">
        <v>520</v>
      </c>
      <c r="E180" s="134" t="s">
        <v>983</v>
      </c>
      <c r="F180" s="134" t="s">
        <v>983</v>
      </c>
    </row>
    <row r="181" spans="2:6" ht="13.2">
      <c r="B181" s="132">
        <v>265</v>
      </c>
      <c r="D181" s="134" t="s">
        <v>524</v>
      </c>
      <c r="E181" s="134" t="s">
        <v>984</v>
      </c>
      <c r="F181" s="134" t="s">
        <v>984</v>
      </c>
    </row>
    <row r="182" spans="2:6" ht="13.2">
      <c r="B182" s="132">
        <v>266</v>
      </c>
      <c r="D182" s="134" t="s">
        <v>518</v>
      </c>
      <c r="E182" s="134" t="s">
        <v>985</v>
      </c>
      <c r="F182" s="134" t="s">
        <v>985</v>
      </c>
    </row>
    <row r="183" spans="2:6" ht="13.2">
      <c r="B183" s="132">
        <v>267</v>
      </c>
      <c r="D183" s="134" t="s">
        <v>96</v>
      </c>
      <c r="E183" s="134" t="s">
        <v>986</v>
      </c>
      <c r="F183" s="134" t="s">
        <v>986</v>
      </c>
    </row>
    <row r="184" spans="2:6" ht="13.2">
      <c r="B184" s="132">
        <v>268</v>
      </c>
      <c r="D184" s="134" t="s">
        <v>609</v>
      </c>
      <c r="E184" s="134" t="s">
        <v>987</v>
      </c>
      <c r="F184" s="134" t="s">
        <v>987</v>
      </c>
    </row>
    <row r="185" spans="2:6" ht="13.2">
      <c r="B185" s="132">
        <v>269</v>
      </c>
      <c r="D185" s="134" t="s">
        <v>97</v>
      </c>
      <c r="E185" s="134" t="s">
        <v>988</v>
      </c>
      <c r="F185" s="134" t="s">
        <v>988</v>
      </c>
    </row>
    <row r="186" spans="2:6" ht="13.2">
      <c r="B186" s="132">
        <v>270</v>
      </c>
      <c r="D186" s="134" t="s">
        <v>375</v>
      </c>
      <c r="E186" s="134" t="s">
        <v>989</v>
      </c>
      <c r="F186" s="134" t="s">
        <v>989</v>
      </c>
    </row>
    <row r="187" spans="2:6" ht="24">
      <c r="B187" s="132">
        <v>271</v>
      </c>
      <c r="D187" s="134" t="s">
        <v>98</v>
      </c>
      <c r="E187" s="134" t="s">
        <v>990</v>
      </c>
      <c r="F187" s="134" t="s">
        <v>990</v>
      </c>
    </row>
    <row r="188" spans="2:6" ht="39.6">
      <c r="B188" s="132">
        <v>272</v>
      </c>
      <c r="D188" s="134" t="s">
        <v>99</v>
      </c>
      <c r="E188" s="134" t="s">
        <v>991</v>
      </c>
      <c r="F188" s="134" t="s">
        <v>991</v>
      </c>
    </row>
    <row r="189" spans="2:6" ht="13.2">
      <c r="B189" s="132">
        <v>273</v>
      </c>
      <c r="D189" s="134" t="s">
        <v>100</v>
      </c>
      <c r="E189" s="134" t="s">
        <v>992</v>
      </c>
      <c r="F189" s="134" t="s">
        <v>992</v>
      </c>
    </row>
    <row r="190" spans="2:6" ht="13.2">
      <c r="B190" s="132">
        <v>274</v>
      </c>
      <c r="D190" s="134" t="s">
        <v>101</v>
      </c>
      <c r="E190" s="134" t="s">
        <v>993</v>
      </c>
      <c r="F190" s="134" t="s">
        <v>993</v>
      </c>
    </row>
    <row r="191" spans="2:6" ht="13.2">
      <c r="B191" s="132">
        <v>275</v>
      </c>
      <c r="D191" s="134" t="s">
        <v>102</v>
      </c>
      <c r="E191" s="134" t="s">
        <v>994</v>
      </c>
      <c r="F191" s="134" t="s">
        <v>994</v>
      </c>
    </row>
    <row r="192" spans="2:6" ht="13.2">
      <c r="B192" s="132">
        <v>276</v>
      </c>
      <c r="D192" s="134" t="s">
        <v>103</v>
      </c>
      <c r="E192" s="134" t="s">
        <v>995</v>
      </c>
      <c r="F192" s="134" t="s">
        <v>995</v>
      </c>
    </row>
    <row r="193" spans="2:6" ht="13.2">
      <c r="B193" s="132">
        <v>277</v>
      </c>
      <c r="D193" s="134" t="s">
        <v>104</v>
      </c>
      <c r="E193" s="134" t="s">
        <v>996</v>
      </c>
      <c r="F193" s="134" t="s">
        <v>996</v>
      </c>
    </row>
    <row r="194" spans="2:6" ht="13.2">
      <c r="B194" s="132">
        <v>278</v>
      </c>
      <c r="D194" s="134" t="s">
        <v>105</v>
      </c>
      <c r="E194" s="134" t="s">
        <v>997</v>
      </c>
      <c r="F194" s="134" t="s">
        <v>997</v>
      </c>
    </row>
    <row r="195" spans="2:6" ht="13.2">
      <c r="B195" s="132">
        <v>279</v>
      </c>
      <c r="D195" s="134" t="s">
        <v>106</v>
      </c>
      <c r="E195" s="134" t="s">
        <v>998</v>
      </c>
      <c r="F195" s="134" t="s">
        <v>998</v>
      </c>
    </row>
    <row r="196" spans="2:6" ht="13.2">
      <c r="B196" s="132">
        <v>280</v>
      </c>
      <c r="D196" s="134" t="s">
        <v>107</v>
      </c>
      <c r="E196" s="134" t="s">
        <v>999</v>
      </c>
      <c r="F196" s="134" t="s">
        <v>999</v>
      </c>
    </row>
    <row r="197" spans="2:6" ht="13.2">
      <c r="B197" s="132">
        <v>281</v>
      </c>
      <c r="D197" s="134" t="s">
        <v>108</v>
      </c>
      <c r="E197" s="134" t="s">
        <v>1000</v>
      </c>
      <c r="F197" s="134" t="s">
        <v>1000</v>
      </c>
    </row>
    <row r="198" spans="2:6" ht="13.2">
      <c r="B198" s="132">
        <v>282</v>
      </c>
      <c r="D198" s="134" t="s">
        <v>109</v>
      </c>
      <c r="E198" s="134" t="s">
        <v>1001</v>
      </c>
      <c r="F198" s="134" t="s">
        <v>1001</v>
      </c>
    </row>
    <row r="199" spans="2:6" ht="13.2">
      <c r="B199" s="132">
        <v>283</v>
      </c>
      <c r="D199" s="134" t="s">
        <v>110</v>
      </c>
      <c r="E199" s="134" t="s">
        <v>1002</v>
      </c>
      <c r="F199" s="134" t="s">
        <v>1002</v>
      </c>
    </row>
    <row r="200" spans="2:6" ht="26.4">
      <c r="B200" s="132">
        <v>284</v>
      </c>
      <c r="D200" s="134" t="s">
        <v>111</v>
      </c>
      <c r="E200" s="134" t="s">
        <v>1003</v>
      </c>
      <c r="F200" s="134" t="s">
        <v>1003</v>
      </c>
    </row>
    <row r="201" spans="2:6" ht="13.2">
      <c r="B201" s="132">
        <v>285</v>
      </c>
      <c r="D201" s="134" t="s">
        <v>376</v>
      </c>
      <c r="E201" s="134" t="s">
        <v>1004</v>
      </c>
      <c r="F201" s="134" t="s">
        <v>1004</v>
      </c>
    </row>
    <row r="202" spans="2:6" ht="13.2">
      <c r="B202" s="132">
        <v>286</v>
      </c>
      <c r="D202" s="134" t="s">
        <v>112</v>
      </c>
      <c r="E202" s="134" t="s">
        <v>1005</v>
      </c>
      <c r="F202" s="134" t="s">
        <v>1005</v>
      </c>
    </row>
    <row r="203" spans="2:6" ht="13.2">
      <c r="B203" s="132">
        <v>287</v>
      </c>
      <c r="D203" s="134" t="s">
        <v>113</v>
      </c>
      <c r="E203" s="134" t="s">
        <v>1006</v>
      </c>
      <c r="F203" s="134" t="s">
        <v>1006</v>
      </c>
    </row>
    <row r="204" spans="2:6" ht="13.2">
      <c r="B204" s="132">
        <v>288</v>
      </c>
      <c r="D204" s="134" t="s">
        <v>114</v>
      </c>
      <c r="E204" s="134" t="s">
        <v>1007</v>
      </c>
      <c r="F204" s="134" t="s">
        <v>1007</v>
      </c>
    </row>
    <row r="205" spans="2:6" ht="13.2">
      <c r="B205" s="132">
        <v>289</v>
      </c>
      <c r="D205" s="134" t="s">
        <v>377</v>
      </c>
      <c r="E205" s="134" t="s">
        <v>1008</v>
      </c>
      <c r="F205" s="134" t="s">
        <v>1008</v>
      </c>
    </row>
    <row r="206" spans="2:6" ht="13.2">
      <c r="B206" s="132">
        <v>290</v>
      </c>
      <c r="D206" s="134" t="s">
        <v>378</v>
      </c>
      <c r="E206" s="134" t="s">
        <v>1009</v>
      </c>
      <c r="F206" s="134" t="s">
        <v>1009</v>
      </c>
    </row>
    <row r="207" spans="2:6" ht="13.2">
      <c r="B207" s="132">
        <v>291</v>
      </c>
      <c r="D207" s="134" t="s">
        <v>593</v>
      </c>
      <c r="E207" s="134" t="s">
        <v>1010</v>
      </c>
      <c r="F207" s="134" t="s">
        <v>1010</v>
      </c>
    </row>
    <row r="208" spans="2:6" ht="13.2">
      <c r="B208" s="132">
        <v>292</v>
      </c>
      <c r="D208" s="134" t="s">
        <v>624</v>
      </c>
      <c r="E208" s="134" t="s">
        <v>1011</v>
      </c>
      <c r="F208" s="134" t="s">
        <v>1011</v>
      </c>
    </row>
    <row r="209" spans="2:6" ht="13.2">
      <c r="B209" s="132">
        <v>293</v>
      </c>
      <c r="D209" s="134" t="s">
        <v>594</v>
      </c>
      <c r="E209" s="134" t="s">
        <v>1012</v>
      </c>
      <c r="F209" s="134" t="s">
        <v>1012</v>
      </c>
    </row>
    <row r="210" spans="2:6" ht="13.2">
      <c r="B210" s="132">
        <v>294</v>
      </c>
      <c r="D210" s="134" t="s">
        <v>592</v>
      </c>
      <c r="E210" s="134" t="s">
        <v>1013</v>
      </c>
      <c r="F210" s="134" t="s">
        <v>1013</v>
      </c>
    </row>
    <row r="211" spans="2:6" ht="13.2">
      <c r="B211" s="132">
        <v>295</v>
      </c>
      <c r="D211" s="134" t="s">
        <v>379</v>
      </c>
      <c r="E211" s="134" t="s">
        <v>1014</v>
      </c>
      <c r="F211" s="134" t="s">
        <v>1014</v>
      </c>
    </row>
    <row r="212" spans="2:6" ht="13.2">
      <c r="B212" s="132">
        <v>296</v>
      </c>
      <c r="D212" s="134" t="s">
        <v>454</v>
      </c>
      <c r="E212" s="134" t="s">
        <v>1015</v>
      </c>
      <c r="F212" s="134" t="s">
        <v>1015</v>
      </c>
    </row>
    <row r="213" spans="2:6" ht="13.2">
      <c r="B213" s="132">
        <v>297</v>
      </c>
      <c r="D213" s="134" t="s">
        <v>115</v>
      </c>
      <c r="E213" s="134" t="s">
        <v>1016</v>
      </c>
      <c r="F213" s="134" t="s">
        <v>1016</v>
      </c>
    </row>
    <row r="214" spans="2:6" ht="13.2">
      <c r="B214" s="132">
        <v>298</v>
      </c>
      <c r="C214" s="133" t="s">
        <v>544</v>
      </c>
      <c r="D214" s="134" t="s">
        <v>580</v>
      </c>
      <c r="E214" s="134" t="s">
        <v>1017</v>
      </c>
      <c r="F214" s="134" t="s">
        <v>1017</v>
      </c>
    </row>
    <row r="215" spans="2:6" ht="13.2">
      <c r="B215" s="132">
        <v>299</v>
      </c>
      <c r="D215" s="134" t="s">
        <v>601</v>
      </c>
      <c r="E215" s="134" t="s">
        <v>1018</v>
      </c>
      <c r="F215" s="134" t="s">
        <v>1018</v>
      </c>
    </row>
    <row r="216" spans="2:6" ht="13.2">
      <c r="B216" s="132">
        <v>300</v>
      </c>
      <c r="D216" s="134" t="s">
        <v>448</v>
      </c>
      <c r="E216" s="134" t="s">
        <v>1019</v>
      </c>
      <c r="F216" s="134" t="s">
        <v>1019</v>
      </c>
    </row>
    <row r="217" spans="2:6" ht="13.2">
      <c r="B217" s="132">
        <v>301</v>
      </c>
      <c r="D217" s="134" t="s">
        <v>488</v>
      </c>
      <c r="E217" s="134" t="s">
        <v>1020</v>
      </c>
      <c r="F217" s="134" t="s">
        <v>1020</v>
      </c>
    </row>
    <row r="218" spans="2:6" ht="13.2">
      <c r="B218" s="132">
        <v>302</v>
      </c>
      <c r="C218" s="133" t="s">
        <v>544</v>
      </c>
      <c r="D218" s="139" t="s">
        <v>638</v>
      </c>
      <c r="E218" s="139" t="s">
        <v>1021</v>
      </c>
      <c r="F218" s="139" t="s">
        <v>1021</v>
      </c>
    </row>
    <row r="219" spans="2:6" ht="13.2">
      <c r="B219" s="132">
        <v>303</v>
      </c>
      <c r="C219" s="133" t="s">
        <v>544</v>
      </c>
      <c r="D219" s="139" t="s">
        <v>552</v>
      </c>
      <c r="E219" s="139" t="s">
        <v>1022</v>
      </c>
      <c r="F219" s="139" t="s">
        <v>1022</v>
      </c>
    </row>
    <row r="220" spans="2:6" ht="13.2">
      <c r="B220" s="132">
        <v>304</v>
      </c>
      <c r="C220" s="133" t="s">
        <v>544</v>
      </c>
      <c r="D220" s="139" t="s">
        <v>640</v>
      </c>
      <c r="E220" s="139" t="s">
        <v>1023</v>
      </c>
      <c r="F220" s="139" t="s">
        <v>1023</v>
      </c>
    </row>
    <row r="221" spans="2:6">
      <c r="B221" s="132">
        <v>305</v>
      </c>
      <c r="C221" s="133" t="s">
        <v>544</v>
      </c>
      <c r="D221" s="139" t="s">
        <v>810</v>
      </c>
      <c r="E221" s="139" t="s">
        <v>811</v>
      </c>
      <c r="F221" s="139" t="s">
        <v>811</v>
      </c>
    </row>
    <row r="222" spans="2:6">
      <c r="B222" s="132">
        <v>306</v>
      </c>
      <c r="C222" s="133" t="s">
        <v>544</v>
      </c>
      <c r="D222" s="139" t="s">
        <v>795</v>
      </c>
      <c r="E222" s="139" t="s">
        <v>639</v>
      </c>
      <c r="F222" s="139" t="s">
        <v>639</v>
      </c>
    </row>
    <row r="223" spans="2:6">
      <c r="B223" s="132">
        <v>307</v>
      </c>
      <c r="C223" s="133" t="s">
        <v>544</v>
      </c>
      <c r="D223" s="139" t="s">
        <v>797</v>
      </c>
      <c r="E223" s="139" t="s">
        <v>634</v>
      </c>
      <c r="F223" s="139" t="s">
        <v>634</v>
      </c>
    </row>
    <row r="224" spans="2:6">
      <c r="B224" s="132">
        <v>308</v>
      </c>
      <c r="C224" s="133" t="s">
        <v>544</v>
      </c>
      <c r="D224" s="139" t="s">
        <v>798</v>
      </c>
      <c r="E224" s="139" t="s">
        <v>635</v>
      </c>
      <c r="F224" s="139" t="s">
        <v>635</v>
      </c>
    </row>
    <row r="225" spans="2:6">
      <c r="B225" s="132">
        <v>309</v>
      </c>
      <c r="C225" s="133" t="s">
        <v>544</v>
      </c>
      <c r="D225" s="139" t="s">
        <v>799</v>
      </c>
      <c r="E225" s="139" t="s">
        <v>636</v>
      </c>
      <c r="F225" s="139" t="s">
        <v>636</v>
      </c>
    </row>
    <row r="226" spans="2:6">
      <c r="B226" s="132">
        <v>310</v>
      </c>
      <c r="C226" s="133" t="s">
        <v>544</v>
      </c>
      <c r="D226" s="139" t="s">
        <v>800</v>
      </c>
      <c r="E226" s="139" t="s">
        <v>637</v>
      </c>
      <c r="F226" s="139" t="s">
        <v>637</v>
      </c>
    </row>
    <row r="227" spans="2:6">
      <c r="B227" s="132">
        <v>311</v>
      </c>
      <c r="C227" s="133" t="s">
        <v>544</v>
      </c>
      <c r="D227" s="139" t="s">
        <v>801</v>
      </c>
      <c r="E227" s="139" t="s">
        <v>641</v>
      </c>
      <c r="F227" s="139" t="s">
        <v>641</v>
      </c>
    </row>
    <row r="228" spans="2:6">
      <c r="B228" s="132">
        <v>312</v>
      </c>
      <c r="C228" s="133" t="s">
        <v>544</v>
      </c>
      <c r="D228" s="139" t="s">
        <v>802</v>
      </c>
      <c r="E228" s="139" t="s">
        <v>642</v>
      </c>
      <c r="F228" s="139" t="s">
        <v>642</v>
      </c>
    </row>
    <row r="229" spans="2:6">
      <c r="B229" s="132">
        <v>313</v>
      </c>
      <c r="C229" s="133" t="s">
        <v>544</v>
      </c>
      <c r="D229" s="139" t="s">
        <v>803</v>
      </c>
      <c r="E229" s="139" t="s">
        <v>643</v>
      </c>
      <c r="F229" s="139" t="s">
        <v>643</v>
      </c>
    </row>
    <row r="230" spans="2:6">
      <c r="B230" s="132">
        <v>314</v>
      </c>
      <c r="C230" s="133" t="s">
        <v>544</v>
      </c>
      <c r="D230" s="139" t="s">
        <v>804</v>
      </c>
      <c r="E230" s="139" t="s">
        <v>644</v>
      </c>
      <c r="F230" s="139" t="s">
        <v>644</v>
      </c>
    </row>
    <row r="231" spans="2:6">
      <c r="B231" s="132">
        <v>315</v>
      </c>
      <c r="C231" s="133" t="s">
        <v>544</v>
      </c>
      <c r="D231" s="139" t="s">
        <v>805</v>
      </c>
      <c r="E231" s="134" t="s">
        <v>545</v>
      </c>
      <c r="F231" s="134" t="s">
        <v>545</v>
      </c>
    </row>
    <row r="232" spans="2:6">
      <c r="B232" s="132">
        <v>316</v>
      </c>
      <c r="C232" s="133" t="s">
        <v>544</v>
      </c>
      <c r="D232" s="139" t="s">
        <v>806</v>
      </c>
      <c r="E232" s="134" t="s">
        <v>546</v>
      </c>
      <c r="F232" s="134" t="s">
        <v>546</v>
      </c>
    </row>
    <row r="233" spans="2:6">
      <c r="B233" s="132">
        <v>317</v>
      </c>
      <c r="C233" s="133" t="s">
        <v>544</v>
      </c>
      <c r="D233" s="139" t="s">
        <v>807</v>
      </c>
      <c r="E233" s="134" t="s">
        <v>547</v>
      </c>
      <c r="F233" s="134" t="s">
        <v>547</v>
      </c>
    </row>
    <row r="234" spans="2:6">
      <c r="B234" s="132">
        <v>318</v>
      </c>
      <c r="C234" s="133" t="s">
        <v>544</v>
      </c>
      <c r="D234" s="139" t="s">
        <v>808</v>
      </c>
      <c r="E234" s="134" t="s">
        <v>548</v>
      </c>
      <c r="F234" s="134" t="s">
        <v>548</v>
      </c>
    </row>
    <row r="235" spans="2:6">
      <c r="B235" s="132">
        <v>319</v>
      </c>
      <c r="C235" s="133" t="s">
        <v>544</v>
      </c>
      <c r="D235" s="139" t="s">
        <v>809</v>
      </c>
      <c r="E235" s="139" t="s">
        <v>582</v>
      </c>
      <c r="F235" s="139" t="s">
        <v>582</v>
      </c>
    </row>
    <row r="236" spans="2:6">
      <c r="B236" s="132">
        <v>320</v>
      </c>
      <c r="C236" s="133" t="s">
        <v>544</v>
      </c>
      <c r="D236" s="139" t="s">
        <v>1363</v>
      </c>
      <c r="E236" s="139" t="s">
        <v>1365</v>
      </c>
      <c r="F236" s="139" t="s">
        <v>1365</v>
      </c>
    </row>
    <row r="237" spans="2:6">
      <c r="B237" s="132">
        <v>321</v>
      </c>
      <c r="C237" s="133" t="s">
        <v>544</v>
      </c>
      <c r="D237" s="139" t="s">
        <v>1364</v>
      </c>
      <c r="E237" s="139" t="s">
        <v>1366</v>
      </c>
      <c r="F237" s="139" t="s">
        <v>1366</v>
      </c>
    </row>
    <row r="238" spans="2:6">
      <c r="B238" s="132">
        <v>322</v>
      </c>
      <c r="C238" s="133" t="s">
        <v>544</v>
      </c>
      <c r="D238" s="139"/>
      <c r="E238" s="139"/>
      <c r="F238" s="139"/>
    </row>
    <row r="239" spans="2:6" ht="26.4">
      <c r="B239" s="132">
        <v>323</v>
      </c>
      <c r="D239" s="134" t="s">
        <v>116</v>
      </c>
      <c r="E239" s="134" t="s">
        <v>1024</v>
      </c>
      <c r="F239" s="134" t="s">
        <v>1024</v>
      </c>
    </row>
    <row r="240" spans="2:6" ht="26.4">
      <c r="B240" s="132">
        <v>324</v>
      </c>
      <c r="D240" s="134" t="s">
        <v>117</v>
      </c>
      <c r="E240" s="134" t="s">
        <v>1025</v>
      </c>
      <c r="F240" s="134" t="s">
        <v>1025</v>
      </c>
    </row>
    <row r="241" spans="2:6" ht="26.4">
      <c r="B241" s="132">
        <v>325</v>
      </c>
      <c r="D241" s="134" t="s">
        <v>118</v>
      </c>
      <c r="E241" s="134" t="s">
        <v>1026</v>
      </c>
      <c r="F241" s="134" t="s">
        <v>1026</v>
      </c>
    </row>
    <row r="242" spans="2:6" ht="24">
      <c r="B242" s="132">
        <v>326</v>
      </c>
      <c r="C242" s="133" t="s">
        <v>544</v>
      </c>
      <c r="D242" s="134" t="s">
        <v>581</v>
      </c>
      <c r="E242" s="134" t="s">
        <v>1027</v>
      </c>
      <c r="F242" s="134" t="s">
        <v>1027</v>
      </c>
    </row>
    <row r="243" spans="2:6" ht="13.2">
      <c r="B243" s="132">
        <v>327</v>
      </c>
      <c r="D243" s="134" t="s">
        <v>119</v>
      </c>
      <c r="E243" s="134" t="s">
        <v>1028</v>
      </c>
      <c r="F243" s="134" t="s">
        <v>1028</v>
      </c>
    </row>
    <row r="244" spans="2:6" ht="13.2">
      <c r="B244" s="132">
        <v>328</v>
      </c>
      <c r="C244" s="133" t="s">
        <v>467</v>
      </c>
      <c r="D244" s="134" t="s">
        <v>477</v>
      </c>
      <c r="E244" s="134" t="s">
        <v>1029</v>
      </c>
      <c r="F244" s="134" t="s">
        <v>1029</v>
      </c>
    </row>
    <row r="245" spans="2:6" ht="13.2">
      <c r="B245" s="132">
        <v>329</v>
      </c>
      <c r="D245" s="134" t="s">
        <v>120</v>
      </c>
      <c r="E245" s="134" t="s">
        <v>1030</v>
      </c>
      <c r="F245" s="134" t="s">
        <v>1030</v>
      </c>
    </row>
    <row r="246" spans="2:6" ht="13.2">
      <c r="B246" s="132">
        <v>330</v>
      </c>
      <c r="D246" s="134" t="s">
        <v>121</v>
      </c>
      <c r="E246" s="134" t="s">
        <v>1031</v>
      </c>
      <c r="F246" s="134" t="s">
        <v>1031</v>
      </c>
    </row>
    <row r="247" spans="2:6" ht="13.2">
      <c r="B247" s="132">
        <v>331</v>
      </c>
      <c r="D247" s="134" t="s">
        <v>122</v>
      </c>
      <c r="E247" s="134" t="s">
        <v>1032</v>
      </c>
      <c r="F247" s="134" t="s">
        <v>1032</v>
      </c>
    </row>
    <row r="248" spans="2:6" ht="13.2">
      <c r="B248" s="132">
        <v>332</v>
      </c>
      <c r="C248" s="133" t="s">
        <v>467</v>
      </c>
      <c r="D248" s="131" t="s">
        <v>469</v>
      </c>
      <c r="E248" s="139" t="s">
        <v>1033</v>
      </c>
      <c r="F248" s="139" t="s">
        <v>1033</v>
      </c>
    </row>
    <row r="249" spans="2:6" ht="13.2">
      <c r="B249" s="132">
        <v>333</v>
      </c>
      <c r="C249" s="133" t="s">
        <v>467</v>
      </c>
      <c r="D249" s="131" t="s">
        <v>470</v>
      </c>
      <c r="E249" s="139" t="s">
        <v>1034</v>
      </c>
      <c r="F249" s="139" t="s">
        <v>1034</v>
      </c>
    </row>
    <row r="250" spans="2:6" ht="13.2">
      <c r="B250" s="132">
        <v>334</v>
      </c>
      <c r="D250" s="134" t="s">
        <v>123</v>
      </c>
      <c r="E250" s="134" t="s">
        <v>1035</v>
      </c>
      <c r="F250" s="134" t="s">
        <v>1035</v>
      </c>
    </row>
    <row r="251" spans="2:6" ht="13.2">
      <c r="B251" s="132">
        <v>335</v>
      </c>
      <c r="C251" s="133" t="s">
        <v>467</v>
      </c>
      <c r="D251" s="134" t="s">
        <v>475</v>
      </c>
      <c r="E251" s="134" t="s">
        <v>1036</v>
      </c>
      <c r="F251" s="134" t="s">
        <v>1036</v>
      </c>
    </row>
    <row r="252" spans="2:6" ht="13.2">
      <c r="B252" s="132">
        <v>336</v>
      </c>
      <c r="C252" s="133" t="s">
        <v>467</v>
      </c>
      <c r="D252" s="131" t="s">
        <v>478</v>
      </c>
      <c r="E252" s="139" t="s">
        <v>1037</v>
      </c>
      <c r="F252" s="139" t="s">
        <v>1037</v>
      </c>
    </row>
    <row r="253" spans="2:6" ht="26.4">
      <c r="B253" s="132">
        <v>337</v>
      </c>
      <c r="D253" s="134" t="s">
        <v>124</v>
      </c>
      <c r="E253" s="134" t="s">
        <v>1038</v>
      </c>
      <c r="F253" s="134" t="s">
        <v>1038</v>
      </c>
    </row>
    <row r="254" spans="2:6" ht="26.4">
      <c r="B254" s="132">
        <v>338</v>
      </c>
      <c r="D254" s="134" t="s">
        <v>125</v>
      </c>
      <c r="E254" s="134" t="s">
        <v>1039</v>
      </c>
      <c r="F254" s="134" t="s">
        <v>1039</v>
      </c>
    </row>
    <row r="255" spans="2:6" ht="13.2">
      <c r="B255" s="132">
        <v>339</v>
      </c>
      <c r="D255" s="134" t="s">
        <v>126</v>
      </c>
      <c r="E255" s="134" t="s">
        <v>1040</v>
      </c>
      <c r="F255" s="134" t="s">
        <v>1040</v>
      </c>
    </row>
    <row r="256" spans="2:6" ht="13.2">
      <c r="B256" s="132">
        <v>340</v>
      </c>
      <c r="D256" s="134" t="s">
        <v>127</v>
      </c>
      <c r="E256" s="134" t="s">
        <v>1041</v>
      </c>
      <c r="F256" s="134" t="s">
        <v>1041</v>
      </c>
    </row>
    <row r="257" spans="2:6" ht="13.2">
      <c r="B257" s="132">
        <v>341</v>
      </c>
      <c r="D257" s="134" t="s">
        <v>128</v>
      </c>
      <c r="E257" s="134" t="s">
        <v>1042</v>
      </c>
      <c r="F257" s="134" t="s">
        <v>1042</v>
      </c>
    </row>
    <row r="258" spans="2:6" ht="13.2">
      <c r="B258" s="132">
        <v>342</v>
      </c>
      <c r="D258" s="134" t="s">
        <v>129</v>
      </c>
      <c r="E258" s="134" t="s">
        <v>1043</v>
      </c>
      <c r="F258" s="134" t="s">
        <v>1043</v>
      </c>
    </row>
    <row r="259" spans="2:6" ht="13.2">
      <c r="B259" s="132">
        <v>343</v>
      </c>
      <c r="C259" s="133" t="s">
        <v>544</v>
      </c>
      <c r="D259" s="134" t="s">
        <v>566</v>
      </c>
      <c r="E259" s="134" t="s">
        <v>1044</v>
      </c>
      <c r="F259" s="134" t="s">
        <v>1044</v>
      </c>
    </row>
    <row r="260" spans="2:6" ht="13.2">
      <c r="B260" s="132">
        <v>344</v>
      </c>
      <c r="C260" s="133" t="s">
        <v>544</v>
      </c>
      <c r="D260" s="134" t="s">
        <v>568</v>
      </c>
      <c r="E260" s="134" t="s">
        <v>1045</v>
      </c>
      <c r="F260" s="134" t="s">
        <v>1045</v>
      </c>
    </row>
    <row r="261" spans="2:6" ht="13.2">
      <c r="B261" s="132">
        <v>345</v>
      </c>
      <c r="D261" s="134" t="s">
        <v>130</v>
      </c>
      <c r="E261" s="134" t="s">
        <v>1046</v>
      </c>
      <c r="F261" s="134" t="s">
        <v>1046</v>
      </c>
    </row>
    <row r="262" spans="2:6" ht="26.4">
      <c r="B262" s="132">
        <v>346</v>
      </c>
      <c r="C262" s="133" t="s">
        <v>544</v>
      </c>
      <c r="D262" s="134" t="s">
        <v>576</v>
      </c>
      <c r="E262" s="134" t="s">
        <v>1047</v>
      </c>
      <c r="F262" s="134" t="s">
        <v>1047</v>
      </c>
    </row>
    <row r="263" spans="2:6" ht="13.2">
      <c r="B263" s="132">
        <v>347</v>
      </c>
      <c r="D263" s="134" t="s">
        <v>380</v>
      </c>
      <c r="E263" s="134" t="s">
        <v>1048</v>
      </c>
      <c r="F263" s="134" t="s">
        <v>1048</v>
      </c>
    </row>
    <row r="264" spans="2:6" ht="13.2">
      <c r="B264" s="132">
        <v>348</v>
      </c>
      <c r="D264" s="134" t="s">
        <v>131</v>
      </c>
      <c r="E264" s="134" t="s">
        <v>1049</v>
      </c>
      <c r="F264" s="134" t="s">
        <v>1049</v>
      </c>
    </row>
    <row r="265" spans="2:6" ht="13.2">
      <c r="B265" s="132">
        <v>349</v>
      </c>
      <c r="D265" s="134" t="s">
        <v>381</v>
      </c>
      <c r="E265" s="134" t="s">
        <v>1050</v>
      </c>
      <c r="F265" s="134" t="s">
        <v>1050</v>
      </c>
    </row>
    <row r="266" spans="2:6" ht="13.2">
      <c r="B266" s="132">
        <v>350</v>
      </c>
      <c r="C266" s="133" t="s">
        <v>544</v>
      </c>
      <c r="D266" s="134" t="s">
        <v>567</v>
      </c>
      <c r="E266" s="134" t="s">
        <v>1051</v>
      </c>
      <c r="F266" s="134" t="s">
        <v>1051</v>
      </c>
    </row>
    <row r="267" spans="2:6" ht="13.2">
      <c r="B267" s="132">
        <v>351</v>
      </c>
      <c r="C267" s="133" t="s">
        <v>467</v>
      </c>
      <c r="D267" s="131" t="s">
        <v>468</v>
      </c>
      <c r="E267" s="139" t="s">
        <v>1052</v>
      </c>
      <c r="F267" s="139" t="s">
        <v>1052</v>
      </c>
    </row>
    <row r="268" spans="2:6" ht="24">
      <c r="B268" s="132">
        <v>352</v>
      </c>
      <c r="C268" s="133" t="s">
        <v>544</v>
      </c>
      <c r="D268" s="134" t="s">
        <v>559</v>
      </c>
      <c r="E268" s="134" t="s">
        <v>1053</v>
      </c>
      <c r="F268" s="134" t="s">
        <v>1053</v>
      </c>
    </row>
    <row r="269" spans="2:6" ht="24">
      <c r="B269" s="132">
        <v>353</v>
      </c>
      <c r="D269" s="134" t="s">
        <v>132</v>
      </c>
      <c r="F269" s="134"/>
    </row>
    <row r="270" spans="2:6" ht="13.2">
      <c r="B270" s="132">
        <v>354</v>
      </c>
      <c r="D270" s="134" t="s">
        <v>133</v>
      </c>
      <c r="E270" s="134" t="s">
        <v>1054</v>
      </c>
      <c r="F270" s="134" t="s">
        <v>1054</v>
      </c>
    </row>
    <row r="271" spans="2:6" ht="13.2">
      <c r="B271" s="132">
        <v>355</v>
      </c>
      <c r="D271" s="134" t="s">
        <v>134</v>
      </c>
      <c r="E271" s="134" t="s">
        <v>1055</v>
      </c>
      <c r="F271" s="134" t="s">
        <v>1055</v>
      </c>
    </row>
    <row r="272" spans="2:6" ht="13.2">
      <c r="B272" s="132">
        <v>356</v>
      </c>
      <c r="D272" s="134" t="s">
        <v>135</v>
      </c>
      <c r="E272" s="134" t="s">
        <v>1056</v>
      </c>
      <c r="F272" s="134" t="s">
        <v>1056</v>
      </c>
    </row>
    <row r="273" spans="2:6" ht="13.2">
      <c r="B273" s="132">
        <v>357</v>
      </c>
      <c r="C273" s="133" t="s">
        <v>544</v>
      </c>
      <c r="D273" s="134" t="s">
        <v>562</v>
      </c>
      <c r="E273" s="134" t="s">
        <v>1057</v>
      </c>
      <c r="F273" s="134" t="s">
        <v>1057</v>
      </c>
    </row>
    <row r="274" spans="2:6" ht="13.2">
      <c r="B274" s="132">
        <v>358</v>
      </c>
      <c r="D274" s="134" t="s">
        <v>136</v>
      </c>
      <c r="E274" s="134" t="s">
        <v>1058</v>
      </c>
      <c r="F274" s="134" t="s">
        <v>1058</v>
      </c>
    </row>
    <row r="275" spans="2:6" ht="13.2">
      <c r="B275" s="132">
        <v>359</v>
      </c>
      <c r="D275" s="134" t="s">
        <v>382</v>
      </c>
      <c r="E275" s="134" t="s">
        <v>1059</v>
      </c>
      <c r="F275" s="134" t="s">
        <v>1059</v>
      </c>
    </row>
    <row r="276" spans="2:6" ht="13.2">
      <c r="B276" s="132">
        <v>360</v>
      </c>
      <c r="D276" s="134" t="s">
        <v>137</v>
      </c>
      <c r="E276" s="134" t="s">
        <v>1060</v>
      </c>
      <c r="F276" s="134" t="s">
        <v>1060</v>
      </c>
    </row>
    <row r="277" spans="2:6" ht="26.4">
      <c r="B277" s="132">
        <v>361</v>
      </c>
      <c r="C277" s="133" t="s">
        <v>544</v>
      </c>
      <c r="D277" s="134" t="s">
        <v>558</v>
      </c>
      <c r="E277" s="134" t="s">
        <v>1061</v>
      </c>
      <c r="F277" s="134" t="s">
        <v>1061</v>
      </c>
    </row>
    <row r="278" spans="2:6" ht="39.6">
      <c r="B278" s="132">
        <v>362</v>
      </c>
      <c r="C278" s="133" t="s">
        <v>544</v>
      </c>
      <c r="D278" s="134" t="s">
        <v>573</v>
      </c>
      <c r="E278" s="134" t="s">
        <v>1062</v>
      </c>
      <c r="F278" s="134" t="s">
        <v>1062</v>
      </c>
    </row>
    <row r="279" spans="2:6" ht="13.2">
      <c r="B279" s="132">
        <v>363</v>
      </c>
      <c r="D279" s="134" t="s">
        <v>138</v>
      </c>
      <c r="E279" s="134" t="s">
        <v>1063</v>
      </c>
      <c r="F279" s="134" t="s">
        <v>1063</v>
      </c>
    </row>
    <row r="280" spans="2:6">
      <c r="B280" s="132">
        <v>364</v>
      </c>
      <c r="D280" s="134" t="s">
        <v>1</v>
      </c>
      <c r="E280" s="134" t="s">
        <v>1</v>
      </c>
      <c r="F280" s="134" t="s">
        <v>1</v>
      </c>
    </row>
    <row r="281" spans="2:6">
      <c r="B281" s="132">
        <v>365</v>
      </c>
      <c r="D281" s="134" t="s">
        <v>2</v>
      </c>
      <c r="E281" s="134" t="s">
        <v>2</v>
      </c>
      <c r="F281" s="134" t="s">
        <v>2</v>
      </c>
    </row>
    <row r="282" spans="2:6" ht="13.2">
      <c r="B282" s="132">
        <v>366</v>
      </c>
      <c r="D282" s="134" t="s">
        <v>455</v>
      </c>
      <c r="E282" s="134" t="s">
        <v>1064</v>
      </c>
      <c r="F282" s="134" t="s">
        <v>1064</v>
      </c>
    </row>
    <row r="283" spans="2:6">
      <c r="B283" s="132">
        <v>367</v>
      </c>
      <c r="D283" s="134" t="s">
        <v>139</v>
      </c>
      <c r="E283" s="134" t="s">
        <v>140</v>
      </c>
      <c r="F283" s="134" t="s">
        <v>140</v>
      </c>
    </row>
    <row r="284" spans="2:6" ht="13.2">
      <c r="B284" s="132">
        <v>368</v>
      </c>
      <c r="D284" s="134" t="s">
        <v>610</v>
      </c>
      <c r="E284" s="134" t="s">
        <v>1065</v>
      </c>
      <c r="F284" s="134" t="s">
        <v>1065</v>
      </c>
    </row>
    <row r="285" spans="2:6">
      <c r="B285" s="132">
        <v>369</v>
      </c>
      <c r="D285" s="134" t="s">
        <v>141</v>
      </c>
      <c r="E285" s="134" t="s">
        <v>439</v>
      </c>
      <c r="F285" s="134" t="s">
        <v>439</v>
      </c>
    </row>
    <row r="286" spans="2:6" ht="13.2">
      <c r="B286" s="132">
        <v>370</v>
      </c>
      <c r="D286" s="134" t="s">
        <v>142</v>
      </c>
      <c r="E286" s="134" t="s">
        <v>1066</v>
      </c>
      <c r="F286" s="134" t="s">
        <v>1066</v>
      </c>
    </row>
    <row r="287" spans="2:6" ht="13.2">
      <c r="B287" s="132">
        <v>371</v>
      </c>
      <c r="D287" s="134" t="s">
        <v>143</v>
      </c>
      <c r="E287" s="134" t="s">
        <v>1067</v>
      </c>
      <c r="F287" s="134" t="s">
        <v>1067</v>
      </c>
    </row>
    <row r="288" spans="2:6" ht="13.2">
      <c r="B288" s="132">
        <v>372</v>
      </c>
      <c r="D288" s="134" t="s">
        <v>383</v>
      </c>
      <c r="E288" s="134" t="s">
        <v>1068</v>
      </c>
      <c r="F288" s="134" t="s">
        <v>1068</v>
      </c>
    </row>
    <row r="289" spans="2:6" ht="13.2">
      <c r="B289" s="132">
        <v>373</v>
      </c>
      <c r="D289" s="134" t="s">
        <v>384</v>
      </c>
      <c r="E289" s="134" t="s">
        <v>1069</v>
      </c>
      <c r="F289" s="134" t="s">
        <v>1069</v>
      </c>
    </row>
    <row r="290" spans="2:6" ht="13.2">
      <c r="B290" s="132">
        <v>374</v>
      </c>
      <c r="D290" s="134" t="s">
        <v>385</v>
      </c>
      <c r="E290" s="134" t="s">
        <v>1068</v>
      </c>
      <c r="F290" s="134" t="s">
        <v>1068</v>
      </c>
    </row>
    <row r="291" spans="2:6" ht="13.2">
      <c r="B291" s="132">
        <v>375</v>
      </c>
      <c r="C291" s="133" t="s">
        <v>544</v>
      </c>
      <c r="D291" s="134" t="s">
        <v>550</v>
      </c>
      <c r="E291" s="134" t="s">
        <v>1070</v>
      </c>
      <c r="F291" s="134" t="s">
        <v>1070</v>
      </c>
    </row>
    <row r="292" spans="2:6" ht="13.2">
      <c r="B292" s="132">
        <v>376</v>
      </c>
      <c r="D292" s="134" t="s">
        <v>144</v>
      </c>
      <c r="E292" s="134" t="s">
        <v>1071</v>
      </c>
      <c r="F292" s="134" t="s">
        <v>1071</v>
      </c>
    </row>
    <row r="293" spans="2:6" ht="13.2">
      <c r="B293" s="132">
        <v>377</v>
      </c>
      <c r="D293" s="134" t="s">
        <v>386</v>
      </c>
      <c r="E293" s="134" t="s">
        <v>1072</v>
      </c>
      <c r="F293" s="134" t="s">
        <v>1072</v>
      </c>
    </row>
    <row r="294" spans="2:6" ht="13.2">
      <c r="B294" s="132">
        <v>378</v>
      </c>
      <c r="D294" s="134" t="s">
        <v>145</v>
      </c>
      <c r="E294" s="134" t="s">
        <v>1073</v>
      </c>
      <c r="F294" s="134" t="s">
        <v>1073</v>
      </c>
    </row>
    <row r="295" spans="2:6" ht="13.2">
      <c r="B295" s="132">
        <v>379</v>
      </c>
      <c r="C295" s="133" t="s">
        <v>467</v>
      </c>
      <c r="D295" s="131" t="s">
        <v>479</v>
      </c>
      <c r="E295" s="139" t="s">
        <v>1074</v>
      </c>
      <c r="F295" s="139" t="s">
        <v>1074</v>
      </c>
    </row>
    <row r="296" spans="2:6" ht="13.2">
      <c r="B296" s="132">
        <v>380</v>
      </c>
      <c r="D296" s="134" t="s">
        <v>415</v>
      </c>
      <c r="E296" s="134" t="s">
        <v>1075</v>
      </c>
      <c r="F296" s="134" t="s">
        <v>1075</v>
      </c>
    </row>
    <row r="297" spans="2:6" ht="13.2">
      <c r="B297" s="132">
        <v>381</v>
      </c>
      <c r="D297" s="134" t="s">
        <v>416</v>
      </c>
      <c r="E297" s="134" t="s">
        <v>1076</v>
      </c>
      <c r="F297" s="134" t="s">
        <v>1076</v>
      </c>
    </row>
    <row r="298" spans="2:6" ht="13.2">
      <c r="B298" s="132">
        <v>382</v>
      </c>
      <c r="C298" s="133" t="s">
        <v>485</v>
      </c>
      <c r="D298" s="134" t="s">
        <v>486</v>
      </c>
      <c r="E298" s="134" t="s">
        <v>1077</v>
      </c>
      <c r="F298" s="134" t="s">
        <v>1077</v>
      </c>
    </row>
    <row r="299" spans="2:6" ht="13.2">
      <c r="B299" s="132">
        <v>383</v>
      </c>
      <c r="D299" s="134" t="s">
        <v>146</v>
      </c>
      <c r="E299" s="134" t="s">
        <v>1078</v>
      </c>
      <c r="F299" s="134" t="s">
        <v>1078</v>
      </c>
    </row>
    <row r="300" spans="2:6" ht="13.2">
      <c r="B300" s="132">
        <v>384</v>
      </c>
      <c r="D300" s="134" t="s">
        <v>387</v>
      </c>
      <c r="E300" s="134" t="s">
        <v>1079</v>
      </c>
      <c r="F300" s="134" t="s">
        <v>1079</v>
      </c>
    </row>
    <row r="301" spans="2:6" ht="13.2">
      <c r="B301" s="132">
        <v>385</v>
      </c>
      <c r="D301" s="134" t="s">
        <v>147</v>
      </c>
      <c r="E301" s="134" t="s">
        <v>1080</v>
      </c>
      <c r="F301" s="134" t="s">
        <v>1080</v>
      </c>
    </row>
    <row r="302" spans="2:6" ht="13.2">
      <c r="B302" s="132">
        <v>386</v>
      </c>
      <c r="D302" s="134" t="s">
        <v>148</v>
      </c>
      <c r="E302" s="134" t="s">
        <v>1081</v>
      </c>
      <c r="F302" s="134" t="s">
        <v>1081</v>
      </c>
    </row>
    <row r="303" spans="2:6" ht="13.2">
      <c r="B303" s="132">
        <v>387</v>
      </c>
      <c r="D303" s="134" t="s">
        <v>149</v>
      </c>
      <c r="E303" s="134" t="s">
        <v>1082</v>
      </c>
      <c r="F303" s="134" t="s">
        <v>1082</v>
      </c>
    </row>
    <row r="304" spans="2:6" ht="13.2">
      <c r="B304" s="132">
        <v>388</v>
      </c>
      <c r="D304" s="134" t="s">
        <v>474</v>
      </c>
      <c r="E304" s="134" t="s">
        <v>1083</v>
      </c>
      <c r="F304" s="134" t="s">
        <v>1083</v>
      </c>
    </row>
    <row r="305" spans="2:6" ht="24">
      <c r="B305" s="132">
        <v>389</v>
      </c>
      <c r="D305" s="134" t="s">
        <v>150</v>
      </c>
      <c r="E305" s="134" t="s">
        <v>1084</v>
      </c>
      <c r="F305" s="134" t="s">
        <v>1084</v>
      </c>
    </row>
    <row r="306" spans="2:6" ht="13.2">
      <c r="B306" s="132">
        <v>390</v>
      </c>
      <c r="D306" s="134" t="s">
        <v>621</v>
      </c>
      <c r="E306" s="134" t="s">
        <v>1085</v>
      </c>
      <c r="F306" s="134" t="s">
        <v>1085</v>
      </c>
    </row>
    <row r="307" spans="2:6" ht="26.4">
      <c r="B307" s="132">
        <v>391</v>
      </c>
      <c r="D307" s="134" t="s">
        <v>417</v>
      </c>
      <c r="E307" s="134" t="s">
        <v>1086</v>
      </c>
      <c r="F307" s="134" t="s">
        <v>1086</v>
      </c>
    </row>
    <row r="308" spans="2:6" ht="13.2">
      <c r="B308" s="132">
        <v>392</v>
      </c>
      <c r="D308" s="134" t="s">
        <v>418</v>
      </c>
      <c r="E308" s="134" t="s">
        <v>1087</v>
      </c>
      <c r="F308" s="134" t="s">
        <v>1087</v>
      </c>
    </row>
    <row r="309" spans="2:6" ht="13.2">
      <c r="B309" s="132">
        <v>393</v>
      </c>
      <c r="D309" s="134" t="s">
        <v>388</v>
      </c>
      <c r="E309" s="134" t="s">
        <v>1088</v>
      </c>
      <c r="F309" s="134" t="s">
        <v>1088</v>
      </c>
    </row>
    <row r="310" spans="2:6" ht="13.2">
      <c r="B310" s="132">
        <v>394</v>
      </c>
      <c r="D310" s="134" t="s">
        <v>151</v>
      </c>
      <c r="E310" s="134" t="s">
        <v>1089</v>
      </c>
      <c r="F310" s="134" t="s">
        <v>1089</v>
      </c>
    </row>
    <row r="311" spans="2:6" ht="13.2">
      <c r="B311" s="132">
        <v>395</v>
      </c>
      <c r="D311" s="134" t="s">
        <v>389</v>
      </c>
      <c r="E311" s="134" t="s">
        <v>1090</v>
      </c>
      <c r="F311" s="134" t="s">
        <v>1090</v>
      </c>
    </row>
    <row r="312" spans="2:6" ht="13.2">
      <c r="B312" s="132">
        <v>396</v>
      </c>
      <c r="D312" s="134" t="s">
        <v>390</v>
      </c>
      <c r="E312" s="134" t="s">
        <v>1091</v>
      </c>
      <c r="F312" s="134" t="s">
        <v>1091</v>
      </c>
    </row>
    <row r="313" spans="2:6" ht="13.2">
      <c r="B313" s="132">
        <v>397</v>
      </c>
      <c r="D313" s="134" t="s">
        <v>152</v>
      </c>
      <c r="E313" s="134" t="s">
        <v>1092</v>
      </c>
      <c r="F313" s="134" t="s">
        <v>1092</v>
      </c>
    </row>
    <row r="314" spans="2:6" ht="13.2">
      <c r="B314" s="132">
        <v>398</v>
      </c>
      <c r="D314" s="134" t="s">
        <v>153</v>
      </c>
      <c r="E314" s="134" t="s">
        <v>1093</v>
      </c>
      <c r="F314" s="134" t="s">
        <v>1093</v>
      </c>
    </row>
    <row r="315" spans="2:6" ht="13.2">
      <c r="B315" s="132">
        <v>399</v>
      </c>
      <c r="D315" s="134" t="s">
        <v>391</v>
      </c>
      <c r="E315" s="134" t="s">
        <v>1094</v>
      </c>
      <c r="F315" s="134" t="s">
        <v>1094</v>
      </c>
    </row>
    <row r="316" spans="2:6" ht="13.2">
      <c r="B316" s="132">
        <v>400</v>
      </c>
      <c r="D316" s="134" t="s">
        <v>154</v>
      </c>
      <c r="E316" s="134" t="s">
        <v>1095</v>
      </c>
      <c r="F316" s="134" t="s">
        <v>1095</v>
      </c>
    </row>
    <row r="317" spans="2:6" ht="13.2">
      <c r="B317" s="132">
        <v>401</v>
      </c>
      <c r="C317" s="133" t="s">
        <v>432</v>
      </c>
      <c r="D317" s="134" t="s">
        <v>440</v>
      </c>
      <c r="E317" s="134" t="s">
        <v>1096</v>
      </c>
      <c r="F317" s="134" t="s">
        <v>1096</v>
      </c>
    </row>
    <row r="318" spans="2:6" ht="13.2">
      <c r="B318" s="132">
        <v>402</v>
      </c>
      <c r="C318" s="133" t="s">
        <v>467</v>
      </c>
      <c r="D318" s="131" t="s">
        <v>466</v>
      </c>
      <c r="E318" s="139" t="s">
        <v>1097</v>
      </c>
      <c r="F318" s="139" t="s">
        <v>1097</v>
      </c>
    </row>
    <row r="319" spans="2:6" ht="13.2">
      <c r="B319" s="132">
        <v>403</v>
      </c>
      <c r="D319" s="134" t="s">
        <v>155</v>
      </c>
      <c r="E319" s="134" t="s">
        <v>1098</v>
      </c>
      <c r="F319" s="134" t="s">
        <v>1098</v>
      </c>
    </row>
    <row r="320" spans="2:6" ht="13.2">
      <c r="B320" s="132">
        <v>404</v>
      </c>
      <c r="D320" s="134" t="s">
        <v>156</v>
      </c>
      <c r="E320" s="134" t="s">
        <v>1099</v>
      </c>
      <c r="F320" s="134" t="s">
        <v>1099</v>
      </c>
    </row>
    <row r="321" spans="1:6" ht="13.2">
      <c r="B321" s="132">
        <v>405</v>
      </c>
      <c r="D321" s="134" t="s">
        <v>157</v>
      </c>
      <c r="E321" s="134" t="s">
        <v>1100</v>
      </c>
      <c r="F321" s="134" t="s">
        <v>1100</v>
      </c>
    </row>
    <row r="322" spans="1:6" ht="13.2">
      <c r="B322" s="132">
        <v>406</v>
      </c>
      <c r="D322" s="134" t="s">
        <v>158</v>
      </c>
      <c r="E322" s="134" t="s">
        <v>1101</v>
      </c>
      <c r="F322" s="134" t="s">
        <v>1101</v>
      </c>
    </row>
    <row r="323" spans="1:6" ht="13.2">
      <c r="B323" s="132">
        <v>407</v>
      </c>
      <c r="C323" s="133" t="s">
        <v>467</v>
      </c>
      <c r="D323" s="131" t="s">
        <v>463</v>
      </c>
      <c r="E323" s="139" t="s">
        <v>1102</v>
      </c>
      <c r="F323" s="139" t="s">
        <v>1102</v>
      </c>
    </row>
    <row r="324" spans="1:6" ht="13.2">
      <c r="B324" s="132">
        <v>408</v>
      </c>
      <c r="D324" s="134" t="s">
        <v>159</v>
      </c>
      <c r="E324" s="134" t="s">
        <v>1103</v>
      </c>
      <c r="F324" s="134" t="s">
        <v>1103</v>
      </c>
    </row>
    <row r="325" spans="1:6" ht="13.2">
      <c r="B325" s="132">
        <v>409</v>
      </c>
      <c r="C325" s="133" t="s">
        <v>467</v>
      </c>
      <c r="D325" s="134" t="s">
        <v>461</v>
      </c>
      <c r="E325" s="139" t="s">
        <v>1104</v>
      </c>
      <c r="F325" s="139" t="s">
        <v>1104</v>
      </c>
    </row>
    <row r="326" spans="1:6" ht="13.2">
      <c r="B326" s="132">
        <v>410</v>
      </c>
      <c r="D326" s="134" t="s">
        <v>160</v>
      </c>
      <c r="E326" s="134" t="s">
        <v>1105</v>
      </c>
      <c r="F326" s="134" t="s">
        <v>1105</v>
      </c>
    </row>
    <row r="327" spans="1:6" ht="39.6">
      <c r="B327" s="132">
        <v>411</v>
      </c>
      <c r="D327" s="134" t="s">
        <v>161</v>
      </c>
      <c r="E327" s="134" t="s">
        <v>1106</v>
      </c>
      <c r="F327" s="134" t="s">
        <v>1106</v>
      </c>
    </row>
    <row r="328" spans="1:6" ht="13.2">
      <c r="B328" s="132">
        <v>412</v>
      </c>
      <c r="D328" s="134" t="s">
        <v>162</v>
      </c>
      <c r="E328" s="134" t="s">
        <v>1107</v>
      </c>
      <c r="F328" s="134" t="s">
        <v>1107</v>
      </c>
    </row>
    <row r="329" spans="1:6" ht="13.2">
      <c r="B329" s="132">
        <v>413</v>
      </c>
      <c r="D329" s="134" t="s">
        <v>507</v>
      </c>
      <c r="E329" s="134" t="s">
        <v>1108</v>
      </c>
      <c r="F329" s="134" t="s">
        <v>1108</v>
      </c>
    </row>
    <row r="330" spans="1:6" ht="26.4">
      <c r="B330" s="132">
        <v>414</v>
      </c>
      <c r="D330" s="134" t="s">
        <v>163</v>
      </c>
      <c r="E330" s="134" t="s">
        <v>1109</v>
      </c>
      <c r="F330" s="134" t="s">
        <v>1109</v>
      </c>
    </row>
    <row r="331" spans="1:6" ht="13.2">
      <c r="B331" s="132">
        <v>415</v>
      </c>
      <c r="D331" s="134" t="s">
        <v>510</v>
      </c>
      <c r="E331" s="134" t="s">
        <v>1110</v>
      </c>
      <c r="F331" s="134" t="s">
        <v>1110</v>
      </c>
    </row>
    <row r="332" spans="1:6" ht="13.2">
      <c r="B332" s="132">
        <v>416</v>
      </c>
      <c r="D332" s="134" t="s">
        <v>506</v>
      </c>
      <c r="E332" s="134" t="s">
        <v>1111</v>
      </c>
      <c r="F332" s="134" t="s">
        <v>1111</v>
      </c>
    </row>
    <row r="333" spans="1:6" ht="13.2">
      <c r="A333" s="136"/>
      <c r="B333" s="132">
        <v>417</v>
      </c>
      <c r="C333" s="137" t="s">
        <v>414</v>
      </c>
      <c r="D333" s="135" t="s">
        <v>441</v>
      </c>
      <c r="E333" s="135" t="s">
        <v>1112</v>
      </c>
      <c r="F333" s="135" t="s">
        <v>1112</v>
      </c>
    </row>
    <row r="334" spans="1:6" ht="13.2">
      <c r="A334" s="136"/>
      <c r="B334" s="132">
        <v>418</v>
      </c>
      <c r="C334" s="137" t="s">
        <v>414</v>
      </c>
      <c r="D334" s="135" t="s">
        <v>442</v>
      </c>
      <c r="E334" s="135" t="s">
        <v>1113</v>
      </c>
      <c r="F334" s="135" t="s">
        <v>1113</v>
      </c>
    </row>
    <row r="335" spans="1:6" ht="13.2">
      <c r="A335" s="136"/>
      <c r="B335" s="132">
        <v>419</v>
      </c>
      <c r="C335" s="137" t="s">
        <v>414</v>
      </c>
      <c r="D335" s="135" t="s">
        <v>443</v>
      </c>
      <c r="E335" s="135" t="s">
        <v>1114</v>
      </c>
      <c r="F335" s="135" t="s">
        <v>1114</v>
      </c>
    </row>
    <row r="336" spans="1:6" ht="13.2">
      <c r="B336" s="132">
        <v>420</v>
      </c>
      <c r="D336" s="134" t="s">
        <v>164</v>
      </c>
      <c r="E336" s="134" t="s">
        <v>1112</v>
      </c>
      <c r="F336" s="134" t="s">
        <v>1112</v>
      </c>
    </row>
    <row r="337" spans="2:6" ht="13.2">
      <c r="B337" s="132">
        <v>421</v>
      </c>
      <c r="D337" s="134" t="s">
        <v>165</v>
      </c>
      <c r="E337" s="135" t="s">
        <v>1115</v>
      </c>
      <c r="F337" s="135" t="s">
        <v>1115</v>
      </c>
    </row>
    <row r="338" spans="2:6" ht="13.2">
      <c r="B338" s="132">
        <v>422</v>
      </c>
      <c r="D338" s="134" t="s">
        <v>166</v>
      </c>
      <c r="E338" s="134" t="s">
        <v>1116</v>
      </c>
      <c r="F338" s="134" t="s">
        <v>1116</v>
      </c>
    </row>
    <row r="339" spans="2:6" ht="13.2">
      <c r="B339" s="132">
        <v>423</v>
      </c>
      <c r="D339" s="134" t="s">
        <v>167</v>
      </c>
      <c r="E339" s="134" t="s">
        <v>1117</v>
      </c>
      <c r="F339" s="134" t="s">
        <v>1117</v>
      </c>
    </row>
    <row r="340" spans="2:6" ht="13.2">
      <c r="B340" s="132">
        <v>424</v>
      </c>
      <c r="D340" s="134" t="s">
        <v>168</v>
      </c>
      <c r="E340" s="134" t="s">
        <v>1118</v>
      </c>
      <c r="F340" s="134" t="s">
        <v>1118</v>
      </c>
    </row>
    <row r="341" spans="2:6" ht="13.2">
      <c r="B341" s="132">
        <v>425</v>
      </c>
      <c r="D341" s="134" t="s">
        <v>169</v>
      </c>
      <c r="E341" s="134" t="s">
        <v>1119</v>
      </c>
      <c r="F341" s="134" t="s">
        <v>1119</v>
      </c>
    </row>
    <row r="342" spans="2:6" ht="13.2">
      <c r="B342" s="132">
        <v>426</v>
      </c>
      <c r="D342" s="134" t="s">
        <v>170</v>
      </c>
      <c r="E342" s="134" t="s">
        <v>1120</v>
      </c>
      <c r="F342" s="134" t="s">
        <v>1120</v>
      </c>
    </row>
    <row r="343" spans="2:6" ht="13.2">
      <c r="B343" s="132">
        <v>427</v>
      </c>
      <c r="D343" s="134" t="s">
        <v>171</v>
      </c>
      <c r="E343" s="134" t="s">
        <v>1121</v>
      </c>
      <c r="F343" s="134" t="s">
        <v>1121</v>
      </c>
    </row>
    <row r="344" spans="2:6" ht="13.2">
      <c r="B344" s="132">
        <v>428</v>
      </c>
      <c r="D344" s="134" t="s">
        <v>172</v>
      </c>
      <c r="E344" s="134" t="s">
        <v>1122</v>
      </c>
      <c r="F344" s="134" t="s">
        <v>1122</v>
      </c>
    </row>
    <row r="345" spans="2:6" ht="13.2">
      <c r="B345" s="132">
        <v>429</v>
      </c>
      <c r="D345" s="134" t="s">
        <v>173</v>
      </c>
      <c r="E345" s="134" t="s">
        <v>1123</v>
      </c>
      <c r="F345" s="134" t="s">
        <v>1123</v>
      </c>
    </row>
    <row r="346" spans="2:6" ht="13.2">
      <c r="B346" s="132">
        <v>430</v>
      </c>
      <c r="D346" s="134" t="s">
        <v>174</v>
      </c>
      <c r="E346" s="134" t="s">
        <v>1124</v>
      </c>
      <c r="F346" s="134" t="s">
        <v>1124</v>
      </c>
    </row>
    <row r="347" spans="2:6" ht="13.2">
      <c r="B347" s="132">
        <v>431</v>
      </c>
      <c r="D347" s="134" t="s">
        <v>175</v>
      </c>
      <c r="E347" s="134" t="s">
        <v>1125</v>
      </c>
      <c r="F347" s="134" t="s">
        <v>1125</v>
      </c>
    </row>
    <row r="348" spans="2:6" ht="13.2">
      <c r="B348" s="132">
        <v>432</v>
      </c>
      <c r="D348" s="134" t="s">
        <v>176</v>
      </c>
      <c r="E348" s="134" t="s">
        <v>1126</v>
      </c>
      <c r="F348" s="134" t="s">
        <v>1126</v>
      </c>
    </row>
    <row r="349" spans="2:6" ht="13.2">
      <c r="B349" s="132">
        <v>433</v>
      </c>
      <c r="D349" s="134" t="s">
        <v>177</v>
      </c>
      <c r="E349" s="134" t="s">
        <v>1127</v>
      </c>
      <c r="F349" s="134" t="s">
        <v>1127</v>
      </c>
    </row>
    <row r="350" spans="2:6" ht="13.2">
      <c r="B350" s="132">
        <v>434</v>
      </c>
      <c r="D350" s="134" t="s">
        <v>513</v>
      </c>
      <c r="E350" s="134" t="s">
        <v>1128</v>
      </c>
      <c r="F350" s="134" t="s">
        <v>1128</v>
      </c>
    </row>
    <row r="351" spans="2:6" ht="13.2">
      <c r="B351" s="132">
        <v>435</v>
      </c>
      <c r="D351" s="134" t="s">
        <v>512</v>
      </c>
      <c r="E351" s="134" t="s">
        <v>1129</v>
      </c>
      <c r="F351" s="134" t="s">
        <v>1129</v>
      </c>
    </row>
    <row r="352" spans="2:6" ht="13.2">
      <c r="B352" s="132">
        <v>436</v>
      </c>
      <c r="D352" s="134" t="s">
        <v>178</v>
      </c>
      <c r="E352" s="134" t="s">
        <v>1130</v>
      </c>
      <c r="F352" s="134" t="s">
        <v>1130</v>
      </c>
    </row>
    <row r="353" spans="2:6" ht="13.2">
      <c r="B353" s="132">
        <v>437</v>
      </c>
      <c r="D353" s="134" t="s">
        <v>179</v>
      </c>
      <c r="E353" s="134" t="s">
        <v>1131</v>
      </c>
      <c r="F353" s="134" t="s">
        <v>1131</v>
      </c>
    </row>
    <row r="354" spans="2:6" ht="13.2">
      <c r="B354" s="132">
        <v>438</v>
      </c>
      <c r="D354" s="134" t="s">
        <v>180</v>
      </c>
      <c r="E354" s="134" t="s">
        <v>1132</v>
      </c>
      <c r="F354" s="134" t="s">
        <v>1132</v>
      </c>
    </row>
    <row r="355" spans="2:6" ht="13.2">
      <c r="B355" s="132">
        <v>439</v>
      </c>
      <c r="D355" s="134" t="s">
        <v>181</v>
      </c>
      <c r="E355" s="134" t="s">
        <v>1133</v>
      </c>
      <c r="F355" s="134" t="s">
        <v>1133</v>
      </c>
    </row>
    <row r="356" spans="2:6" ht="13.2">
      <c r="B356" s="132">
        <v>440</v>
      </c>
      <c r="D356" s="134" t="s">
        <v>182</v>
      </c>
      <c r="E356" s="134" t="s">
        <v>1134</v>
      </c>
      <c r="F356" s="134" t="s">
        <v>1134</v>
      </c>
    </row>
    <row r="357" spans="2:6" ht="13.2">
      <c r="B357" s="132">
        <v>441</v>
      </c>
      <c r="D357" s="134" t="s">
        <v>183</v>
      </c>
      <c r="E357" s="134" t="s">
        <v>1135</v>
      </c>
      <c r="F357" s="134" t="s">
        <v>1135</v>
      </c>
    </row>
    <row r="358" spans="2:6" ht="13.2">
      <c r="B358" s="132">
        <v>442</v>
      </c>
      <c r="D358" s="134" t="s">
        <v>514</v>
      </c>
      <c r="E358" s="134" t="s">
        <v>1136</v>
      </c>
      <c r="F358" s="134" t="s">
        <v>1136</v>
      </c>
    </row>
    <row r="359" spans="2:6" ht="13.2">
      <c r="B359" s="132">
        <v>443</v>
      </c>
      <c r="D359" s="134" t="s">
        <v>500</v>
      </c>
      <c r="E359" s="134" t="s">
        <v>1137</v>
      </c>
      <c r="F359" s="134" t="s">
        <v>1137</v>
      </c>
    </row>
    <row r="360" spans="2:6">
      <c r="B360" s="132">
        <v>444</v>
      </c>
      <c r="D360" s="134" t="s">
        <v>392</v>
      </c>
      <c r="E360" s="134" t="s">
        <v>392</v>
      </c>
      <c r="F360" s="134" t="s">
        <v>392</v>
      </c>
    </row>
    <row r="361" spans="2:6" ht="26.4">
      <c r="B361" s="132">
        <v>445</v>
      </c>
      <c r="C361" s="133" t="s">
        <v>544</v>
      </c>
      <c r="D361" s="134" t="s">
        <v>572</v>
      </c>
      <c r="E361" s="134" t="s">
        <v>1138</v>
      </c>
      <c r="F361" s="134" t="s">
        <v>1138</v>
      </c>
    </row>
    <row r="362" spans="2:6" ht="13.2">
      <c r="B362" s="132">
        <v>446</v>
      </c>
      <c r="D362" s="134" t="s">
        <v>600</v>
      </c>
      <c r="E362" s="134" t="s">
        <v>1139</v>
      </c>
      <c r="F362" s="134" t="s">
        <v>1139</v>
      </c>
    </row>
    <row r="363" spans="2:6" ht="13.2">
      <c r="B363" s="132">
        <v>447</v>
      </c>
      <c r="C363" s="133" t="s">
        <v>467</v>
      </c>
      <c r="D363" s="134" t="s">
        <v>472</v>
      </c>
      <c r="E363" s="134" t="s">
        <v>1140</v>
      </c>
      <c r="F363" s="134" t="s">
        <v>1140</v>
      </c>
    </row>
    <row r="364" spans="2:6" ht="13.2">
      <c r="B364" s="132">
        <v>448</v>
      </c>
      <c r="D364" s="134" t="s">
        <v>184</v>
      </c>
      <c r="E364" s="134" t="s">
        <v>1141</v>
      </c>
      <c r="F364" s="134" t="s">
        <v>1141</v>
      </c>
    </row>
    <row r="365" spans="2:6" ht="26.4">
      <c r="B365" s="132">
        <v>449</v>
      </c>
      <c r="D365" s="134" t="s">
        <v>185</v>
      </c>
      <c r="E365" s="134" t="s">
        <v>1142</v>
      </c>
      <c r="F365" s="134" t="s">
        <v>1142</v>
      </c>
    </row>
    <row r="366" spans="2:6" ht="13.2">
      <c r="B366" s="132">
        <v>450</v>
      </c>
      <c r="D366" s="134" t="s">
        <v>186</v>
      </c>
      <c r="E366" s="134" t="s">
        <v>1143</v>
      </c>
      <c r="F366" s="134" t="s">
        <v>1143</v>
      </c>
    </row>
    <row r="367" spans="2:6" ht="13.2">
      <c r="B367" s="132">
        <v>451</v>
      </c>
      <c r="D367" s="134" t="s">
        <v>606</v>
      </c>
      <c r="E367" s="134" t="s">
        <v>1144</v>
      </c>
      <c r="F367" s="134" t="s">
        <v>1144</v>
      </c>
    </row>
    <row r="368" spans="2:6" ht="26.4">
      <c r="B368" s="132">
        <v>452</v>
      </c>
      <c r="D368" s="134" t="s">
        <v>187</v>
      </c>
      <c r="E368" s="134" t="s">
        <v>1145</v>
      </c>
      <c r="F368" s="134" t="s">
        <v>1145</v>
      </c>
    </row>
    <row r="369" spans="2:6" ht="13.2">
      <c r="B369" s="132">
        <v>453</v>
      </c>
      <c r="D369" s="135" t="s">
        <v>444</v>
      </c>
      <c r="E369" s="134" t="s">
        <v>924</v>
      </c>
      <c r="F369" s="134" t="s">
        <v>924</v>
      </c>
    </row>
    <row r="370" spans="2:6" ht="13.2">
      <c r="B370" s="132">
        <v>454</v>
      </c>
      <c r="D370" s="134" t="s">
        <v>393</v>
      </c>
      <c r="E370" s="134" t="s">
        <v>1146</v>
      </c>
      <c r="F370" s="134" t="s">
        <v>1146</v>
      </c>
    </row>
    <row r="371" spans="2:6" ht="13.2">
      <c r="B371" s="132">
        <v>455</v>
      </c>
      <c r="D371" s="134" t="s">
        <v>188</v>
      </c>
      <c r="E371" s="134" t="s">
        <v>1147</v>
      </c>
      <c r="F371" s="134" t="s">
        <v>1147</v>
      </c>
    </row>
    <row r="372" spans="2:6" ht="13.2">
      <c r="B372" s="132">
        <v>456</v>
      </c>
      <c r="D372" s="134" t="s">
        <v>394</v>
      </c>
      <c r="E372" s="134" t="s">
        <v>1148</v>
      </c>
      <c r="F372" s="134" t="s">
        <v>1148</v>
      </c>
    </row>
    <row r="373" spans="2:6" ht="13.2">
      <c r="B373" s="132">
        <v>457</v>
      </c>
      <c r="D373" s="134" t="s">
        <v>189</v>
      </c>
      <c r="E373" s="134" t="s">
        <v>1149</v>
      </c>
      <c r="F373" s="134" t="s">
        <v>1149</v>
      </c>
    </row>
    <row r="374" spans="2:6" ht="13.2">
      <c r="B374" s="132">
        <v>458</v>
      </c>
      <c r="D374" s="134" t="s">
        <v>190</v>
      </c>
      <c r="E374" s="134" t="s">
        <v>1150</v>
      </c>
      <c r="F374" s="134" t="s">
        <v>1150</v>
      </c>
    </row>
    <row r="375" spans="2:6" ht="13.2">
      <c r="B375" s="132">
        <v>459</v>
      </c>
      <c r="C375" s="133" t="s">
        <v>544</v>
      </c>
      <c r="D375" s="134" t="s">
        <v>564</v>
      </c>
      <c r="E375" s="134" t="s">
        <v>1151</v>
      </c>
      <c r="F375" s="134" t="s">
        <v>1151</v>
      </c>
    </row>
    <row r="376" spans="2:6" ht="13.2">
      <c r="B376" s="132">
        <v>460</v>
      </c>
      <c r="D376" s="134" t="s">
        <v>191</v>
      </c>
      <c r="E376" s="134" t="s">
        <v>1151</v>
      </c>
      <c r="F376" s="134" t="s">
        <v>1151</v>
      </c>
    </row>
    <row r="377" spans="2:6" ht="13.2">
      <c r="B377" s="132">
        <v>461</v>
      </c>
      <c r="D377" s="134" t="s">
        <v>192</v>
      </c>
      <c r="E377" s="134" t="s">
        <v>1152</v>
      </c>
      <c r="F377" s="134" t="s">
        <v>1152</v>
      </c>
    </row>
    <row r="378" spans="2:6" ht="13.2">
      <c r="B378" s="132">
        <v>462</v>
      </c>
      <c r="D378" s="134" t="s">
        <v>625</v>
      </c>
      <c r="E378" s="134" t="s">
        <v>1153</v>
      </c>
      <c r="F378" s="134" t="s">
        <v>1153</v>
      </c>
    </row>
    <row r="379" spans="2:6" ht="13.2">
      <c r="B379" s="132">
        <v>463</v>
      </c>
      <c r="D379" s="134" t="s">
        <v>193</v>
      </c>
      <c r="E379" s="134" t="s">
        <v>1154</v>
      </c>
      <c r="F379" s="134" t="s">
        <v>1154</v>
      </c>
    </row>
    <row r="380" spans="2:6">
      <c r="B380" s="132">
        <v>464</v>
      </c>
      <c r="D380" s="134" t="s">
        <v>194</v>
      </c>
      <c r="F380" s="134"/>
    </row>
    <row r="381" spans="2:6" ht="13.2">
      <c r="B381" s="132">
        <v>465</v>
      </c>
      <c r="D381" s="134" t="s">
        <v>395</v>
      </c>
      <c r="E381" s="134" t="s">
        <v>1155</v>
      </c>
      <c r="F381" s="134" t="s">
        <v>1155</v>
      </c>
    </row>
    <row r="382" spans="2:6" ht="24">
      <c r="B382" s="132">
        <v>466</v>
      </c>
      <c r="D382" s="134" t="s">
        <v>615</v>
      </c>
      <c r="E382" s="134" t="s">
        <v>1156</v>
      </c>
      <c r="F382" s="134" t="s">
        <v>1156</v>
      </c>
    </row>
    <row r="383" spans="2:6" ht="24">
      <c r="B383" s="132">
        <v>467</v>
      </c>
      <c r="D383" s="134" t="s">
        <v>195</v>
      </c>
      <c r="E383" s="134" t="s">
        <v>1157</v>
      </c>
      <c r="F383" s="134" t="s">
        <v>1157</v>
      </c>
    </row>
    <row r="384" spans="2:6" ht="13.2">
      <c r="B384" s="132">
        <v>468</v>
      </c>
      <c r="D384" s="134" t="s">
        <v>196</v>
      </c>
      <c r="E384" s="134" t="s">
        <v>1158</v>
      </c>
      <c r="F384" s="134" t="s">
        <v>1158</v>
      </c>
    </row>
    <row r="385" spans="2:6" ht="13.2">
      <c r="B385" s="132">
        <v>469</v>
      </c>
      <c r="D385" s="134" t="s">
        <v>197</v>
      </c>
      <c r="E385" s="134" t="s">
        <v>1159</v>
      </c>
      <c r="F385" s="134" t="s">
        <v>1159</v>
      </c>
    </row>
    <row r="386" spans="2:6" ht="13.2">
      <c r="B386" s="132">
        <v>470</v>
      </c>
      <c r="C386" s="133" t="s">
        <v>544</v>
      </c>
      <c r="D386" s="134" t="s">
        <v>557</v>
      </c>
      <c r="E386" s="134" t="s">
        <v>1160</v>
      </c>
      <c r="F386" s="134" t="s">
        <v>1160</v>
      </c>
    </row>
    <row r="387" spans="2:6" ht="13.2">
      <c r="B387" s="132">
        <v>471</v>
      </c>
      <c r="C387" s="133" t="s">
        <v>544</v>
      </c>
      <c r="D387" s="134" t="s">
        <v>561</v>
      </c>
      <c r="E387" s="134" t="s">
        <v>1161</v>
      </c>
      <c r="F387" s="134" t="s">
        <v>1161</v>
      </c>
    </row>
    <row r="388" spans="2:6" ht="13.2">
      <c r="B388" s="132">
        <v>472</v>
      </c>
      <c r="D388" s="134" t="s">
        <v>198</v>
      </c>
      <c r="E388" s="134" t="s">
        <v>1162</v>
      </c>
      <c r="F388" s="134" t="s">
        <v>1162</v>
      </c>
    </row>
    <row r="389" spans="2:6" ht="13.2">
      <c r="B389" s="132">
        <v>473</v>
      </c>
      <c r="C389" s="133" t="s">
        <v>544</v>
      </c>
      <c r="D389" s="134" t="s">
        <v>553</v>
      </c>
      <c r="E389" s="134" t="s">
        <v>1163</v>
      </c>
      <c r="F389" s="134" t="s">
        <v>1163</v>
      </c>
    </row>
    <row r="390" spans="2:6" ht="24">
      <c r="B390" s="132">
        <v>474</v>
      </c>
      <c r="C390" s="133" t="s">
        <v>544</v>
      </c>
      <c r="D390" s="134" t="s">
        <v>555</v>
      </c>
      <c r="E390" s="134" t="s">
        <v>1164</v>
      </c>
      <c r="F390" s="134" t="s">
        <v>1164</v>
      </c>
    </row>
    <row r="391" spans="2:6" ht="13.2">
      <c r="B391" s="132">
        <v>475</v>
      </c>
      <c r="C391" s="133" t="s">
        <v>544</v>
      </c>
      <c r="D391" s="134" t="s">
        <v>556</v>
      </c>
      <c r="E391" s="134" t="s">
        <v>1165</v>
      </c>
      <c r="F391" s="134" t="s">
        <v>1165</v>
      </c>
    </row>
    <row r="392" spans="2:6" ht="13.2">
      <c r="B392" s="132">
        <v>476</v>
      </c>
      <c r="D392" s="134" t="s">
        <v>199</v>
      </c>
      <c r="E392" s="134" t="s">
        <v>1166</v>
      </c>
      <c r="F392" s="134" t="s">
        <v>1166</v>
      </c>
    </row>
    <row r="393" spans="2:6" ht="13.2">
      <c r="B393" s="132">
        <v>477</v>
      </c>
      <c r="D393" s="134" t="s">
        <v>200</v>
      </c>
      <c r="E393" s="134" t="s">
        <v>1167</v>
      </c>
      <c r="F393" s="134" t="s">
        <v>1167</v>
      </c>
    </row>
    <row r="394" spans="2:6" ht="39.6">
      <c r="B394" s="132">
        <v>478</v>
      </c>
      <c r="C394" s="133" t="s">
        <v>544</v>
      </c>
      <c r="D394" s="134" t="s">
        <v>574</v>
      </c>
      <c r="E394" s="134" t="s">
        <v>1168</v>
      </c>
      <c r="F394" s="134" t="s">
        <v>1168</v>
      </c>
    </row>
    <row r="395" spans="2:6" ht="13.2">
      <c r="B395" s="132">
        <v>479</v>
      </c>
      <c r="D395" s="134" t="s">
        <v>201</v>
      </c>
      <c r="E395" s="134" t="s">
        <v>1169</v>
      </c>
      <c r="F395" s="134" t="s">
        <v>1169</v>
      </c>
    </row>
    <row r="396" spans="2:6" ht="13.2">
      <c r="B396" s="132">
        <v>480</v>
      </c>
      <c r="D396" s="134" t="s">
        <v>629</v>
      </c>
      <c r="E396" s="134" t="s">
        <v>1170</v>
      </c>
      <c r="F396" s="134" t="s">
        <v>1170</v>
      </c>
    </row>
    <row r="397" spans="2:6" ht="13.2">
      <c r="B397" s="132">
        <v>481</v>
      </c>
      <c r="D397" s="134" t="s">
        <v>202</v>
      </c>
      <c r="E397" s="134" t="s">
        <v>1171</v>
      </c>
      <c r="F397" s="134" t="s">
        <v>1171</v>
      </c>
    </row>
    <row r="398" spans="2:6" ht="13.2">
      <c r="B398" s="132">
        <v>482</v>
      </c>
      <c r="D398" s="134" t="s">
        <v>203</v>
      </c>
      <c r="E398" s="134" t="s">
        <v>1172</v>
      </c>
      <c r="F398" s="134" t="s">
        <v>1172</v>
      </c>
    </row>
    <row r="399" spans="2:6" ht="13.2">
      <c r="B399" s="132">
        <v>483</v>
      </c>
      <c r="D399" s="134" t="s">
        <v>204</v>
      </c>
      <c r="E399" s="134" t="s">
        <v>1173</v>
      </c>
      <c r="F399" s="134" t="s">
        <v>1173</v>
      </c>
    </row>
    <row r="400" spans="2:6" ht="13.2">
      <c r="B400" s="132">
        <v>484</v>
      </c>
      <c r="D400" s="134" t="s">
        <v>205</v>
      </c>
      <c r="E400" s="134" t="s">
        <v>1174</v>
      </c>
      <c r="F400" s="134" t="s">
        <v>1174</v>
      </c>
    </row>
    <row r="401" spans="2:6" ht="26.4">
      <c r="B401" s="132">
        <v>485</v>
      </c>
      <c r="D401" s="134" t="s">
        <v>206</v>
      </c>
      <c r="E401" s="134" t="s">
        <v>1175</v>
      </c>
      <c r="F401" s="134" t="s">
        <v>1175</v>
      </c>
    </row>
    <row r="402" spans="2:6" ht="13.2">
      <c r="B402" s="132">
        <v>486</v>
      </c>
      <c r="D402" s="134" t="s">
        <v>628</v>
      </c>
      <c r="E402" s="134" t="s">
        <v>1176</v>
      </c>
      <c r="F402" s="134" t="s">
        <v>1176</v>
      </c>
    </row>
    <row r="403" spans="2:6" ht="13.2">
      <c r="B403" s="132">
        <v>487</v>
      </c>
      <c r="D403" s="134" t="s">
        <v>626</v>
      </c>
      <c r="E403" s="134" t="s">
        <v>1177</v>
      </c>
      <c r="F403" s="134" t="s">
        <v>1177</v>
      </c>
    </row>
    <row r="404" spans="2:6" ht="13.2">
      <c r="B404" s="132">
        <v>488</v>
      </c>
      <c r="D404" s="134" t="s">
        <v>627</v>
      </c>
      <c r="E404" s="134" t="s">
        <v>1178</v>
      </c>
      <c r="F404" s="134" t="s">
        <v>1178</v>
      </c>
    </row>
    <row r="405" spans="2:6" ht="13.2">
      <c r="B405" s="132">
        <v>489</v>
      </c>
      <c r="D405" s="134" t="s">
        <v>207</v>
      </c>
      <c r="E405" s="134" t="s">
        <v>1179</v>
      </c>
      <c r="F405" s="134" t="s">
        <v>1179</v>
      </c>
    </row>
    <row r="406" spans="2:6" ht="13.2">
      <c r="B406" s="132">
        <v>490</v>
      </c>
      <c r="C406" s="133" t="s">
        <v>467</v>
      </c>
      <c r="D406" s="134" t="s">
        <v>471</v>
      </c>
      <c r="E406" s="134" t="s">
        <v>1180</v>
      </c>
      <c r="F406" s="134" t="s">
        <v>1180</v>
      </c>
    </row>
    <row r="407" spans="2:6" ht="13.2">
      <c r="B407" s="132">
        <v>491</v>
      </c>
      <c r="D407" s="134" t="s">
        <v>208</v>
      </c>
      <c r="E407" s="134" t="s">
        <v>1181</v>
      </c>
      <c r="F407" s="134" t="s">
        <v>1181</v>
      </c>
    </row>
    <row r="408" spans="2:6" ht="13.2">
      <c r="B408" s="132">
        <v>492</v>
      </c>
      <c r="C408" s="133" t="s">
        <v>485</v>
      </c>
      <c r="D408" s="134" t="s">
        <v>483</v>
      </c>
      <c r="E408" s="134" t="s">
        <v>1182</v>
      </c>
      <c r="F408" s="134" t="s">
        <v>1182</v>
      </c>
    </row>
    <row r="409" spans="2:6" ht="13.2">
      <c r="B409" s="132">
        <v>493</v>
      </c>
      <c r="C409" s="133" t="s">
        <v>485</v>
      </c>
      <c r="D409" s="134" t="s">
        <v>482</v>
      </c>
      <c r="E409" s="134" t="s">
        <v>1183</v>
      </c>
      <c r="F409" s="134" t="s">
        <v>1183</v>
      </c>
    </row>
    <row r="410" spans="2:6" ht="13.2">
      <c r="B410" s="132">
        <v>494</v>
      </c>
      <c r="D410" s="134" t="s">
        <v>209</v>
      </c>
      <c r="E410" s="134" t="s">
        <v>1184</v>
      </c>
      <c r="F410" s="134" t="s">
        <v>1184</v>
      </c>
    </row>
    <row r="411" spans="2:6" ht="13.2">
      <c r="B411" s="132">
        <v>495</v>
      </c>
      <c r="D411" s="134" t="s">
        <v>210</v>
      </c>
      <c r="E411" s="134" t="s">
        <v>1185</v>
      </c>
      <c r="F411" s="134" t="s">
        <v>1185</v>
      </c>
    </row>
    <row r="412" spans="2:6" ht="13.2">
      <c r="B412" s="132">
        <v>496</v>
      </c>
      <c r="C412" s="133" t="s">
        <v>544</v>
      </c>
      <c r="D412" s="134" t="s">
        <v>656</v>
      </c>
      <c r="E412" s="134" t="s">
        <v>1186</v>
      </c>
      <c r="F412" s="134" t="s">
        <v>1186</v>
      </c>
    </row>
    <row r="413" spans="2:6" ht="13.2">
      <c r="B413" s="132">
        <v>497</v>
      </c>
      <c r="D413" s="134" t="s">
        <v>211</v>
      </c>
      <c r="E413" s="134" t="s">
        <v>1187</v>
      </c>
      <c r="F413" s="134" t="s">
        <v>1187</v>
      </c>
    </row>
    <row r="414" spans="2:6" ht="39.6">
      <c r="B414" s="132">
        <v>498</v>
      </c>
      <c r="D414" s="134" t="s">
        <v>212</v>
      </c>
      <c r="E414" s="134" t="s">
        <v>1188</v>
      </c>
      <c r="F414" s="134" t="s">
        <v>1188</v>
      </c>
    </row>
    <row r="415" spans="2:6" ht="13.2">
      <c r="B415" s="132">
        <v>499</v>
      </c>
      <c r="D415" s="134" t="s">
        <v>213</v>
      </c>
      <c r="E415" s="134" t="s">
        <v>1189</v>
      </c>
      <c r="F415" s="134" t="s">
        <v>1189</v>
      </c>
    </row>
    <row r="416" spans="2:6" ht="24">
      <c r="B416" s="132">
        <v>500</v>
      </c>
      <c r="D416" s="134" t="s">
        <v>214</v>
      </c>
      <c r="E416" s="134" t="s">
        <v>1190</v>
      </c>
      <c r="F416" s="134" t="s">
        <v>1190</v>
      </c>
    </row>
    <row r="417" spans="2:6" ht="13.2">
      <c r="B417" s="132">
        <v>501</v>
      </c>
      <c r="D417" s="134" t="s">
        <v>215</v>
      </c>
      <c r="E417" s="134" t="s">
        <v>1191</v>
      </c>
      <c r="F417" s="134" t="s">
        <v>1191</v>
      </c>
    </row>
    <row r="418" spans="2:6" ht="24">
      <c r="B418" s="132">
        <v>502</v>
      </c>
      <c r="D418" s="134" t="s">
        <v>216</v>
      </c>
      <c r="E418" s="134" t="s">
        <v>1192</v>
      </c>
      <c r="F418" s="134" t="s">
        <v>1192</v>
      </c>
    </row>
    <row r="419" spans="2:6" ht="24">
      <c r="B419" s="132">
        <v>503</v>
      </c>
      <c r="D419" s="134" t="s">
        <v>217</v>
      </c>
      <c r="E419" s="134" t="s">
        <v>1193</v>
      </c>
      <c r="F419" s="134" t="s">
        <v>1193</v>
      </c>
    </row>
    <row r="420" spans="2:6" ht="24">
      <c r="B420" s="132">
        <v>504</v>
      </c>
      <c r="D420" s="134" t="s">
        <v>218</v>
      </c>
      <c r="E420" s="134" t="s">
        <v>1194</v>
      </c>
      <c r="F420" s="134" t="s">
        <v>1194</v>
      </c>
    </row>
    <row r="421" spans="2:6" ht="24">
      <c r="B421" s="132">
        <v>505</v>
      </c>
      <c r="D421" s="134" t="s">
        <v>219</v>
      </c>
      <c r="E421" s="134" t="s">
        <v>1195</v>
      </c>
      <c r="F421" s="134" t="s">
        <v>1195</v>
      </c>
    </row>
    <row r="422" spans="2:6" ht="24">
      <c r="B422" s="132">
        <v>506</v>
      </c>
      <c r="D422" s="134" t="s">
        <v>220</v>
      </c>
      <c r="E422" s="134" t="s">
        <v>1196</v>
      </c>
      <c r="F422" s="134" t="s">
        <v>1196</v>
      </c>
    </row>
    <row r="423" spans="2:6" ht="24">
      <c r="B423" s="132">
        <v>507</v>
      </c>
      <c r="D423" s="134" t="s">
        <v>221</v>
      </c>
      <c r="E423" s="134" t="s">
        <v>1197</v>
      </c>
      <c r="F423" s="134" t="s">
        <v>1197</v>
      </c>
    </row>
    <row r="424" spans="2:6" ht="24">
      <c r="B424" s="132">
        <v>508</v>
      </c>
      <c r="D424" s="134" t="s">
        <v>222</v>
      </c>
      <c r="E424" s="134" t="s">
        <v>1198</v>
      </c>
      <c r="F424" s="134" t="s">
        <v>1198</v>
      </c>
    </row>
    <row r="425" spans="2:6" ht="24">
      <c r="B425" s="132">
        <v>509</v>
      </c>
      <c r="D425" s="134" t="s">
        <v>223</v>
      </c>
      <c r="E425" s="134" t="s">
        <v>1199</v>
      </c>
      <c r="F425" s="134" t="s">
        <v>1199</v>
      </c>
    </row>
    <row r="426" spans="2:6" ht="24">
      <c r="B426" s="132">
        <v>510</v>
      </c>
      <c r="D426" s="134" t="s">
        <v>224</v>
      </c>
      <c r="E426" s="134" t="s">
        <v>1200</v>
      </c>
      <c r="F426" s="134" t="s">
        <v>1200</v>
      </c>
    </row>
    <row r="427" spans="2:6" ht="24">
      <c r="B427" s="132">
        <v>511</v>
      </c>
      <c r="D427" s="134" t="s">
        <v>225</v>
      </c>
      <c r="E427" s="134" t="s">
        <v>1201</v>
      </c>
      <c r="F427" s="134" t="s">
        <v>1201</v>
      </c>
    </row>
    <row r="428" spans="2:6" ht="24">
      <c r="B428" s="132">
        <v>512</v>
      </c>
      <c r="D428" s="134" t="s">
        <v>226</v>
      </c>
      <c r="E428" s="134" t="s">
        <v>1202</v>
      </c>
      <c r="F428" s="134" t="s">
        <v>1202</v>
      </c>
    </row>
    <row r="429" spans="2:6" ht="24">
      <c r="B429" s="132">
        <v>513</v>
      </c>
      <c r="D429" s="134" t="s">
        <v>227</v>
      </c>
      <c r="E429" s="134" t="s">
        <v>1203</v>
      </c>
      <c r="F429" s="134" t="s">
        <v>1203</v>
      </c>
    </row>
    <row r="430" spans="2:6" ht="24">
      <c r="B430" s="132">
        <v>514</v>
      </c>
      <c r="D430" s="134" t="s">
        <v>228</v>
      </c>
      <c r="E430" s="134" t="s">
        <v>1204</v>
      </c>
      <c r="F430" s="134" t="s">
        <v>1204</v>
      </c>
    </row>
    <row r="431" spans="2:6" ht="24">
      <c r="B431" s="132">
        <v>515</v>
      </c>
      <c r="D431" s="134" t="s">
        <v>229</v>
      </c>
      <c r="E431" s="134" t="s">
        <v>1205</v>
      </c>
      <c r="F431" s="134" t="s">
        <v>1205</v>
      </c>
    </row>
    <row r="432" spans="2:6" ht="24">
      <c r="B432" s="132">
        <v>516</v>
      </c>
      <c r="D432" s="134" t="s">
        <v>230</v>
      </c>
      <c r="E432" s="134" t="s">
        <v>1206</v>
      </c>
      <c r="F432" s="134" t="s">
        <v>1206</v>
      </c>
    </row>
    <row r="433" spans="1:27" ht="24">
      <c r="B433" s="132">
        <v>517</v>
      </c>
      <c r="D433" s="134" t="s">
        <v>231</v>
      </c>
      <c r="E433" s="134" t="s">
        <v>1207</v>
      </c>
      <c r="F433" s="134" t="s">
        <v>1207</v>
      </c>
    </row>
    <row r="434" spans="1:27" ht="24">
      <c r="B434" s="132">
        <v>518</v>
      </c>
      <c r="D434" s="134" t="s">
        <v>232</v>
      </c>
      <c r="E434" s="134" t="s">
        <v>1208</v>
      </c>
      <c r="F434" s="134" t="s">
        <v>1208</v>
      </c>
    </row>
    <row r="435" spans="1:27" ht="24">
      <c r="B435" s="132">
        <v>519</v>
      </c>
      <c r="D435" s="134" t="s">
        <v>233</v>
      </c>
      <c r="E435" s="134" t="s">
        <v>1209</v>
      </c>
      <c r="F435" s="134" t="s">
        <v>1209</v>
      </c>
    </row>
    <row r="436" spans="1:27" ht="24">
      <c r="B436" s="132">
        <v>520</v>
      </c>
      <c r="D436" s="134" t="s">
        <v>234</v>
      </c>
      <c r="E436" s="134" t="s">
        <v>1210</v>
      </c>
      <c r="F436" s="134" t="s">
        <v>1210</v>
      </c>
    </row>
    <row r="437" spans="1:27" ht="24">
      <c r="B437" s="132">
        <v>521</v>
      </c>
      <c r="D437" s="134" t="s">
        <v>396</v>
      </c>
      <c r="E437" s="134" t="s">
        <v>1211</v>
      </c>
      <c r="F437" s="134" t="s">
        <v>1211</v>
      </c>
    </row>
    <row r="438" spans="1:27" ht="24">
      <c r="B438" s="132">
        <v>522</v>
      </c>
      <c r="D438" s="134" t="s">
        <v>397</v>
      </c>
      <c r="E438" s="134" t="s">
        <v>1211</v>
      </c>
      <c r="F438" s="134" t="s">
        <v>1211</v>
      </c>
    </row>
    <row r="439" spans="1:27" ht="26.4">
      <c r="B439" s="132">
        <v>523</v>
      </c>
      <c r="D439" s="134" t="s">
        <v>235</v>
      </c>
      <c r="E439" s="134" t="s">
        <v>1212</v>
      </c>
      <c r="F439" s="134" t="s">
        <v>1212</v>
      </c>
    </row>
    <row r="440" spans="1:27" ht="24">
      <c r="B440" s="132">
        <v>524</v>
      </c>
      <c r="D440" s="134" t="s">
        <v>236</v>
      </c>
      <c r="E440" s="134" t="s">
        <v>1213</v>
      </c>
      <c r="F440" s="134" t="s">
        <v>1213</v>
      </c>
    </row>
    <row r="441" spans="1:27" ht="26.4">
      <c r="B441" s="132">
        <v>525</v>
      </c>
      <c r="D441" s="134" t="s">
        <v>237</v>
      </c>
      <c r="E441" s="134" t="s">
        <v>1214</v>
      </c>
      <c r="F441" s="134" t="s">
        <v>1214</v>
      </c>
    </row>
    <row r="442" spans="1:27" ht="24">
      <c r="B442" s="132">
        <v>526</v>
      </c>
      <c r="D442" s="134" t="s">
        <v>238</v>
      </c>
      <c r="E442" s="134" t="s">
        <v>1215</v>
      </c>
      <c r="F442" s="134" t="s">
        <v>1215</v>
      </c>
    </row>
    <row r="443" spans="1:27" ht="24">
      <c r="B443" s="132">
        <v>527</v>
      </c>
      <c r="D443" s="134" t="s">
        <v>398</v>
      </c>
      <c r="E443" s="134" t="s">
        <v>1216</v>
      </c>
      <c r="F443" s="134" t="s">
        <v>1216</v>
      </c>
    </row>
    <row r="444" spans="1:27" s="135" customFormat="1" ht="24">
      <c r="A444" s="131"/>
      <c r="B444" s="132">
        <v>528</v>
      </c>
      <c r="C444" s="133"/>
      <c r="D444" s="134" t="s">
        <v>399</v>
      </c>
      <c r="E444" s="134" t="s">
        <v>1217</v>
      </c>
      <c r="F444" s="134" t="s">
        <v>1217</v>
      </c>
      <c r="G444" s="131"/>
      <c r="H444" s="131"/>
      <c r="I444" s="131"/>
      <c r="J444" s="131"/>
      <c r="K444" s="131"/>
      <c r="L444" s="131"/>
      <c r="M444" s="131"/>
      <c r="N444" s="131"/>
      <c r="O444" s="131"/>
      <c r="P444" s="131"/>
      <c r="Q444" s="131"/>
      <c r="R444" s="131"/>
      <c r="S444" s="131"/>
      <c r="T444" s="131"/>
      <c r="U444" s="131"/>
      <c r="V444" s="131"/>
      <c r="W444" s="131"/>
      <c r="X444" s="131"/>
      <c r="Y444" s="131"/>
      <c r="Z444" s="131"/>
      <c r="AA444" s="131"/>
    </row>
    <row r="445" spans="1:27" s="135" customFormat="1" ht="13.2">
      <c r="A445" s="131"/>
      <c r="B445" s="132">
        <v>529</v>
      </c>
      <c r="C445" s="133"/>
      <c r="D445" s="134" t="s">
        <v>239</v>
      </c>
      <c r="E445" s="134" t="s">
        <v>1218</v>
      </c>
      <c r="F445" s="134" t="s">
        <v>1218</v>
      </c>
      <c r="G445" s="131"/>
      <c r="H445" s="131"/>
      <c r="I445" s="131"/>
      <c r="J445" s="131"/>
      <c r="K445" s="131"/>
      <c r="L445" s="131"/>
      <c r="M445" s="131"/>
      <c r="N445" s="131"/>
      <c r="O445" s="131"/>
      <c r="P445" s="131"/>
      <c r="Q445" s="131"/>
      <c r="R445" s="131"/>
      <c r="S445" s="131"/>
      <c r="T445" s="131"/>
      <c r="U445" s="131"/>
      <c r="V445" s="131"/>
      <c r="W445" s="131"/>
      <c r="X445" s="131"/>
      <c r="Y445" s="131"/>
      <c r="Z445" s="131"/>
      <c r="AA445" s="131"/>
    </row>
    <row r="446" spans="1:27" s="136" customFormat="1" ht="26.4">
      <c r="A446" s="131"/>
      <c r="B446" s="132">
        <v>530</v>
      </c>
      <c r="C446" s="133"/>
      <c r="D446" s="134" t="s">
        <v>240</v>
      </c>
      <c r="E446" s="134" t="s">
        <v>1219</v>
      </c>
      <c r="F446" s="134" t="s">
        <v>1219</v>
      </c>
      <c r="G446" s="131"/>
      <c r="H446" s="131"/>
      <c r="I446" s="131"/>
      <c r="J446" s="131"/>
      <c r="K446" s="131"/>
      <c r="L446" s="131"/>
      <c r="M446" s="131"/>
      <c r="N446" s="131"/>
      <c r="O446" s="131"/>
      <c r="P446" s="131"/>
      <c r="Q446" s="131"/>
      <c r="R446" s="131"/>
      <c r="S446" s="131"/>
      <c r="T446" s="131"/>
      <c r="U446" s="131"/>
      <c r="V446" s="131"/>
      <c r="W446" s="131"/>
      <c r="X446" s="131"/>
      <c r="Y446" s="131"/>
      <c r="Z446" s="131"/>
      <c r="AA446" s="131"/>
    </row>
    <row r="447" spans="1:27" s="136" customFormat="1" ht="13.2">
      <c r="A447" s="131"/>
      <c r="B447" s="132">
        <v>531</v>
      </c>
      <c r="C447" s="133"/>
      <c r="D447" s="134" t="s">
        <v>241</v>
      </c>
      <c r="E447" s="134" t="s">
        <v>1220</v>
      </c>
      <c r="F447" s="134" t="s">
        <v>1220</v>
      </c>
      <c r="G447" s="131"/>
      <c r="H447" s="131"/>
      <c r="I447" s="131"/>
      <c r="J447" s="131"/>
      <c r="K447" s="131"/>
      <c r="L447" s="131"/>
      <c r="M447" s="131"/>
      <c r="N447" s="131"/>
      <c r="O447" s="131"/>
      <c r="P447" s="131"/>
      <c r="Q447" s="131"/>
      <c r="R447" s="131"/>
      <c r="S447" s="131"/>
      <c r="T447" s="131"/>
      <c r="U447" s="131"/>
      <c r="V447" s="131"/>
      <c r="W447" s="131"/>
      <c r="X447" s="131"/>
      <c r="Y447" s="131"/>
      <c r="Z447" s="131"/>
      <c r="AA447" s="131"/>
    </row>
    <row r="448" spans="1:27" s="136" customFormat="1" ht="39.6">
      <c r="A448" s="131"/>
      <c r="B448" s="132">
        <v>532</v>
      </c>
      <c r="C448" s="133"/>
      <c r="D448" s="134" t="s">
        <v>242</v>
      </c>
      <c r="E448" s="134" t="s">
        <v>1221</v>
      </c>
      <c r="F448" s="134" t="s">
        <v>1221</v>
      </c>
      <c r="G448" s="131"/>
      <c r="H448" s="131"/>
      <c r="I448" s="131"/>
      <c r="J448" s="131"/>
      <c r="K448" s="131"/>
      <c r="L448" s="131"/>
      <c r="M448" s="131"/>
      <c r="N448" s="131"/>
      <c r="O448" s="131"/>
      <c r="P448" s="131"/>
      <c r="Q448" s="131"/>
      <c r="R448" s="131"/>
      <c r="S448" s="131"/>
      <c r="T448" s="131"/>
      <c r="U448" s="131"/>
      <c r="V448" s="131"/>
      <c r="W448" s="131"/>
      <c r="X448" s="131"/>
      <c r="Y448" s="131"/>
      <c r="Z448" s="131"/>
      <c r="AA448" s="131"/>
    </row>
    <row r="449" spans="1:27" s="136" customFormat="1" ht="13.2">
      <c r="A449" s="131"/>
      <c r="B449" s="132">
        <v>533</v>
      </c>
      <c r="C449" s="133"/>
      <c r="D449" s="134" t="s">
        <v>243</v>
      </c>
      <c r="E449" s="134" t="s">
        <v>1222</v>
      </c>
      <c r="F449" s="134" t="s">
        <v>1222</v>
      </c>
      <c r="G449" s="131"/>
      <c r="H449" s="131"/>
      <c r="I449" s="131"/>
      <c r="J449" s="131"/>
      <c r="K449" s="131"/>
      <c r="L449" s="131"/>
      <c r="M449" s="131"/>
      <c r="N449" s="131"/>
      <c r="O449" s="131"/>
      <c r="P449" s="131"/>
      <c r="Q449" s="131"/>
      <c r="R449" s="131"/>
      <c r="S449" s="131"/>
      <c r="T449" s="131"/>
      <c r="U449" s="131"/>
      <c r="V449" s="131"/>
      <c r="W449" s="131"/>
      <c r="X449" s="131"/>
      <c r="Y449" s="131"/>
      <c r="Z449" s="131"/>
      <c r="AA449" s="131"/>
    </row>
    <row r="450" spans="1:27" s="136" customFormat="1" ht="24">
      <c r="A450" s="131"/>
      <c r="B450" s="132">
        <v>534</v>
      </c>
      <c r="C450" s="133"/>
      <c r="D450" s="134" t="s">
        <v>244</v>
      </c>
      <c r="E450" s="134" t="s">
        <v>1223</v>
      </c>
      <c r="F450" s="134" t="s">
        <v>1223</v>
      </c>
      <c r="G450" s="131"/>
      <c r="H450" s="131"/>
      <c r="I450" s="131"/>
      <c r="J450" s="131"/>
      <c r="K450" s="131"/>
      <c r="L450" s="131"/>
      <c r="M450" s="131"/>
      <c r="N450" s="131"/>
      <c r="O450" s="131"/>
      <c r="P450" s="131"/>
      <c r="Q450" s="131"/>
      <c r="R450" s="131"/>
      <c r="S450" s="131"/>
      <c r="T450" s="131"/>
      <c r="U450" s="131"/>
      <c r="V450" s="131"/>
      <c r="W450" s="131"/>
      <c r="X450" s="131"/>
      <c r="Y450" s="131"/>
      <c r="Z450" s="131"/>
      <c r="AA450" s="131"/>
    </row>
    <row r="451" spans="1:27" s="136" customFormat="1" ht="24">
      <c r="A451" s="131"/>
      <c r="B451" s="132">
        <v>535</v>
      </c>
      <c r="C451" s="133"/>
      <c r="D451" s="134" t="s">
        <v>245</v>
      </c>
      <c r="E451" s="134" t="s">
        <v>1224</v>
      </c>
      <c r="F451" s="134" t="s">
        <v>1224</v>
      </c>
      <c r="G451" s="131"/>
      <c r="H451" s="131"/>
      <c r="I451" s="131"/>
      <c r="J451" s="131"/>
      <c r="K451" s="131"/>
      <c r="L451" s="131"/>
      <c r="M451" s="131"/>
      <c r="N451" s="131"/>
      <c r="O451" s="131"/>
      <c r="P451" s="131"/>
      <c r="Q451" s="131"/>
      <c r="R451" s="131"/>
      <c r="S451" s="131"/>
      <c r="T451" s="131"/>
      <c r="U451" s="131"/>
      <c r="V451" s="131"/>
      <c r="W451" s="131"/>
      <c r="X451" s="131"/>
      <c r="Y451" s="131"/>
      <c r="Z451" s="131"/>
      <c r="AA451" s="131"/>
    </row>
    <row r="452" spans="1:27" s="136" customFormat="1" ht="26.4">
      <c r="A452" s="131"/>
      <c r="B452" s="132">
        <v>536</v>
      </c>
      <c r="C452" s="133"/>
      <c r="D452" s="134" t="s">
        <v>246</v>
      </c>
      <c r="E452" s="134" t="s">
        <v>1225</v>
      </c>
      <c r="F452" s="134" t="s">
        <v>1225</v>
      </c>
      <c r="G452" s="131"/>
      <c r="H452" s="131"/>
      <c r="I452" s="131"/>
      <c r="J452" s="131"/>
      <c r="K452" s="131"/>
      <c r="L452" s="131"/>
      <c r="M452" s="131"/>
      <c r="N452" s="131"/>
      <c r="O452" s="131"/>
      <c r="P452" s="131"/>
      <c r="Q452" s="131"/>
      <c r="R452" s="131"/>
      <c r="S452" s="131"/>
      <c r="T452" s="131"/>
      <c r="U452" s="131"/>
      <c r="V452" s="131"/>
      <c r="W452" s="131"/>
      <c r="X452" s="131"/>
      <c r="Y452" s="131"/>
      <c r="Z452" s="131"/>
      <c r="AA452" s="131"/>
    </row>
    <row r="453" spans="1:27" s="136" customFormat="1" ht="13.2">
      <c r="A453" s="131"/>
      <c r="B453" s="132">
        <v>537</v>
      </c>
      <c r="C453" s="133"/>
      <c r="D453" s="134" t="s">
        <v>247</v>
      </c>
      <c r="E453" s="134" t="s">
        <v>1226</v>
      </c>
      <c r="F453" s="134" t="s">
        <v>1226</v>
      </c>
      <c r="G453" s="131"/>
      <c r="H453" s="131"/>
      <c r="I453" s="131"/>
      <c r="J453" s="131"/>
      <c r="K453" s="131"/>
      <c r="L453" s="131"/>
      <c r="M453" s="131"/>
      <c r="N453" s="131"/>
      <c r="O453" s="131"/>
      <c r="P453" s="131"/>
      <c r="Q453" s="131"/>
      <c r="R453" s="131"/>
      <c r="S453" s="131"/>
      <c r="T453" s="131"/>
      <c r="U453" s="131"/>
      <c r="V453" s="131"/>
      <c r="W453" s="131"/>
      <c r="X453" s="131"/>
      <c r="Y453" s="131"/>
      <c r="Z453" s="131"/>
      <c r="AA453" s="131"/>
    </row>
    <row r="454" spans="1:27" s="136" customFormat="1" ht="13.2">
      <c r="A454" s="131"/>
      <c r="B454" s="132">
        <v>538</v>
      </c>
      <c r="C454" s="133"/>
      <c r="D454" s="134" t="s">
        <v>248</v>
      </c>
      <c r="E454" s="134" t="s">
        <v>1227</v>
      </c>
      <c r="F454" s="134" t="s">
        <v>1227</v>
      </c>
      <c r="G454" s="131"/>
      <c r="H454" s="131"/>
      <c r="I454" s="131"/>
      <c r="J454" s="131"/>
      <c r="K454" s="131"/>
      <c r="L454" s="131"/>
      <c r="M454" s="131"/>
      <c r="N454" s="131"/>
      <c r="O454" s="131"/>
      <c r="P454" s="131"/>
      <c r="Q454" s="131"/>
      <c r="R454" s="131"/>
      <c r="S454" s="131"/>
      <c r="T454" s="131"/>
      <c r="U454" s="131"/>
      <c r="V454" s="131"/>
      <c r="W454" s="131"/>
      <c r="X454" s="131"/>
      <c r="Y454" s="131"/>
      <c r="Z454" s="131"/>
      <c r="AA454" s="131"/>
    </row>
    <row r="455" spans="1:27" s="136" customFormat="1" ht="24">
      <c r="A455" s="131"/>
      <c r="B455" s="132">
        <v>539</v>
      </c>
      <c r="C455" s="133"/>
      <c r="D455" s="134" t="s">
        <v>249</v>
      </c>
      <c r="E455" s="134" t="s">
        <v>1228</v>
      </c>
      <c r="F455" s="134" t="s">
        <v>1228</v>
      </c>
      <c r="G455" s="131"/>
      <c r="H455" s="131"/>
      <c r="I455" s="131"/>
      <c r="J455" s="131"/>
      <c r="K455" s="131"/>
      <c r="L455" s="131"/>
      <c r="M455" s="131"/>
      <c r="N455" s="131"/>
      <c r="O455" s="131"/>
      <c r="P455" s="131"/>
      <c r="Q455" s="131"/>
      <c r="R455" s="131"/>
      <c r="S455" s="131"/>
      <c r="T455" s="131"/>
      <c r="U455" s="131"/>
      <c r="V455" s="131"/>
      <c r="W455" s="131"/>
      <c r="X455" s="131"/>
      <c r="Y455" s="131"/>
      <c r="Z455" s="131"/>
      <c r="AA455" s="131"/>
    </row>
    <row r="456" spans="1:27" s="136" customFormat="1" ht="13.2">
      <c r="A456" s="131"/>
      <c r="B456" s="132">
        <v>540</v>
      </c>
      <c r="C456" s="133"/>
      <c r="D456" s="134" t="s">
        <v>250</v>
      </c>
      <c r="E456" s="134" t="s">
        <v>1229</v>
      </c>
      <c r="F456" s="134" t="s">
        <v>1229</v>
      </c>
      <c r="G456" s="131"/>
      <c r="H456" s="131"/>
      <c r="I456" s="131"/>
      <c r="J456" s="131"/>
      <c r="K456" s="131"/>
      <c r="L456" s="131"/>
      <c r="M456" s="131"/>
      <c r="N456" s="131"/>
      <c r="O456" s="131"/>
      <c r="P456" s="131"/>
      <c r="Q456" s="131"/>
      <c r="R456" s="131"/>
      <c r="S456" s="131"/>
      <c r="T456" s="131"/>
      <c r="U456" s="131"/>
      <c r="V456" s="131"/>
      <c r="W456" s="131"/>
      <c r="X456" s="131"/>
      <c r="Y456" s="131"/>
      <c r="Z456" s="131"/>
      <c r="AA456" s="131"/>
    </row>
    <row r="457" spans="1:27" ht="13.2">
      <c r="B457" s="132">
        <v>541</v>
      </c>
      <c r="D457" s="134" t="s">
        <v>251</v>
      </c>
      <c r="E457" s="134" t="s">
        <v>1230</v>
      </c>
      <c r="F457" s="134" t="s">
        <v>1230</v>
      </c>
    </row>
    <row r="458" spans="1:27" ht="13.2">
      <c r="B458" s="132">
        <v>542</v>
      </c>
      <c r="D458" s="134" t="s">
        <v>252</v>
      </c>
      <c r="E458" s="134" t="s">
        <v>1231</v>
      </c>
      <c r="F458" s="134" t="s">
        <v>1231</v>
      </c>
    </row>
    <row r="459" spans="1:27" ht="24">
      <c r="B459" s="132">
        <v>543</v>
      </c>
      <c r="D459" s="134" t="s">
        <v>400</v>
      </c>
      <c r="E459" s="134" t="s">
        <v>1232</v>
      </c>
      <c r="F459" s="134" t="s">
        <v>1232</v>
      </c>
    </row>
    <row r="460" spans="1:27" ht="48">
      <c r="A460" s="135"/>
      <c r="B460" s="132">
        <v>544</v>
      </c>
      <c r="C460" s="141" t="s">
        <v>432</v>
      </c>
      <c r="D460" s="135" t="s">
        <v>445</v>
      </c>
      <c r="E460" s="135" t="s">
        <v>1233</v>
      </c>
      <c r="F460" s="135" t="s">
        <v>1233</v>
      </c>
    </row>
    <row r="461" spans="1:27" ht="39.6">
      <c r="B461" s="132">
        <v>545</v>
      </c>
      <c r="D461" s="134" t="s">
        <v>253</v>
      </c>
      <c r="E461" s="134" t="s">
        <v>1234</v>
      </c>
      <c r="F461" s="134" t="s">
        <v>1234</v>
      </c>
    </row>
    <row r="462" spans="1:27" ht="13.2">
      <c r="B462" s="132">
        <v>546</v>
      </c>
      <c r="D462" s="134" t="s">
        <v>254</v>
      </c>
      <c r="E462" s="134" t="s">
        <v>1235</v>
      </c>
      <c r="F462" s="134" t="s">
        <v>1235</v>
      </c>
    </row>
    <row r="463" spans="1:27" ht="13.2">
      <c r="B463" s="132">
        <v>547</v>
      </c>
      <c r="D463" s="134" t="s">
        <v>255</v>
      </c>
      <c r="E463" s="134" t="s">
        <v>1236</v>
      </c>
      <c r="F463" s="134" t="s">
        <v>1236</v>
      </c>
    </row>
    <row r="464" spans="1:27" ht="13.2">
      <c r="B464" s="132">
        <v>548</v>
      </c>
      <c r="D464" s="134" t="s">
        <v>256</v>
      </c>
      <c r="E464" s="134" t="s">
        <v>1237</v>
      </c>
      <c r="F464" s="134" t="s">
        <v>1237</v>
      </c>
    </row>
    <row r="465" spans="2:6" ht="24">
      <c r="B465" s="132">
        <v>549</v>
      </c>
      <c r="D465" s="134" t="s">
        <v>480</v>
      </c>
      <c r="E465" s="134" t="s">
        <v>1238</v>
      </c>
      <c r="F465" s="134" t="s">
        <v>1238</v>
      </c>
    </row>
    <row r="466" spans="2:6" ht="13.2">
      <c r="B466" s="132">
        <v>550</v>
      </c>
      <c r="D466" s="134" t="s">
        <v>257</v>
      </c>
      <c r="E466" s="134" t="s">
        <v>1239</v>
      </c>
      <c r="F466" s="134" t="s">
        <v>1239</v>
      </c>
    </row>
    <row r="467" spans="2:6" ht="13.2">
      <c r="B467" s="132">
        <v>551</v>
      </c>
      <c r="D467" s="134" t="s">
        <v>258</v>
      </c>
      <c r="E467" s="134" t="s">
        <v>1240</v>
      </c>
      <c r="F467" s="134" t="s">
        <v>1240</v>
      </c>
    </row>
    <row r="468" spans="2:6" ht="13.2">
      <c r="B468" s="132">
        <v>552</v>
      </c>
      <c r="D468" s="134" t="s">
        <v>259</v>
      </c>
      <c r="E468" s="134" t="s">
        <v>1241</v>
      </c>
      <c r="F468" s="134" t="s">
        <v>1241</v>
      </c>
    </row>
    <row r="469" spans="2:6" ht="24">
      <c r="B469" s="132">
        <v>553</v>
      </c>
      <c r="D469" s="134" t="s">
        <v>607</v>
      </c>
      <c r="E469" s="134" t="s">
        <v>1242</v>
      </c>
      <c r="F469" s="134" t="s">
        <v>1242</v>
      </c>
    </row>
    <row r="470" spans="2:6" ht="13.2">
      <c r="B470" s="132">
        <v>554</v>
      </c>
      <c r="D470" s="134" t="s">
        <v>608</v>
      </c>
      <c r="E470" s="134" t="s">
        <v>1243</v>
      </c>
      <c r="F470" s="134" t="s">
        <v>1243</v>
      </c>
    </row>
    <row r="471" spans="2:6" ht="13.2">
      <c r="B471" s="132">
        <v>555</v>
      </c>
      <c r="D471" s="134" t="s">
        <v>260</v>
      </c>
      <c r="E471" s="134" t="s">
        <v>1244</v>
      </c>
      <c r="F471" s="134" t="s">
        <v>1244</v>
      </c>
    </row>
    <row r="472" spans="2:6" ht="13.2">
      <c r="B472" s="132">
        <v>556</v>
      </c>
      <c r="D472" s="134" t="s">
        <v>401</v>
      </c>
      <c r="E472" s="134" t="s">
        <v>1245</v>
      </c>
      <c r="F472" s="134" t="s">
        <v>1245</v>
      </c>
    </row>
    <row r="473" spans="2:6" ht="24">
      <c r="B473" s="132">
        <v>557</v>
      </c>
      <c r="D473" s="134" t="s">
        <v>261</v>
      </c>
      <c r="E473" s="134" t="s">
        <v>1246</v>
      </c>
      <c r="F473" s="134" t="s">
        <v>1246</v>
      </c>
    </row>
    <row r="474" spans="2:6" ht="24">
      <c r="B474" s="132">
        <v>558</v>
      </c>
      <c r="D474" s="134" t="s">
        <v>402</v>
      </c>
      <c r="E474" s="134" t="s">
        <v>1247</v>
      </c>
      <c r="F474" s="134" t="s">
        <v>1247</v>
      </c>
    </row>
    <row r="475" spans="2:6" ht="26.4">
      <c r="B475" s="132">
        <v>559</v>
      </c>
      <c r="D475" s="134" t="s">
        <v>262</v>
      </c>
      <c r="E475" s="134" t="s">
        <v>1248</v>
      </c>
      <c r="F475" s="134" t="s">
        <v>1248</v>
      </c>
    </row>
    <row r="476" spans="2:6" ht="13.2">
      <c r="B476" s="132">
        <v>560</v>
      </c>
      <c r="D476" s="134" t="s">
        <v>263</v>
      </c>
      <c r="E476" s="134" t="s">
        <v>1249</v>
      </c>
      <c r="F476" s="134" t="s">
        <v>1249</v>
      </c>
    </row>
    <row r="477" spans="2:6" ht="13.2">
      <c r="B477" s="132">
        <v>561</v>
      </c>
      <c r="C477" s="133" t="s">
        <v>485</v>
      </c>
      <c r="D477" s="134" t="s">
        <v>484</v>
      </c>
      <c r="E477" s="134" t="s">
        <v>1250</v>
      </c>
      <c r="F477" s="134" t="s">
        <v>1250</v>
      </c>
    </row>
    <row r="478" spans="2:6" ht="26.4">
      <c r="B478" s="132">
        <v>562</v>
      </c>
      <c r="C478" s="133" t="s">
        <v>485</v>
      </c>
      <c r="D478" s="134" t="s">
        <v>481</v>
      </c>
      <c r="E478" s="134" t="s">
        <v>1251</v>
      </c>
      <c r="F478" s="134" t="s">
        <v>1251</v>
      </c>
    </row>
    <row r="479" spans="2:6" ht="13.2">
      <c r="B479" s="132">
        <v>563</v>
      </c>
      <c r="D479" s="134" t="s">
        <v>264</v>
      </c>
      <c r="E479" s="134" t="s">
        <v>1252</v>
      </c>
      <c r="F479" s="134" t="s">
        <v>1252</v>
      </c>
    </row>
    <row r="480" spans="2:6" ht="13.2">
      <c r="B480" s="132">
        <v>564</v>
      </c>
      <c r="D480" s="134" t="s">
        <v>265</v>
      </c>
      <c r="E480" s="134" t="s">
        <v>1253</v>
      </c>
      <c r="F480" s="134" t="s">
        <v>1253</v>
      </c>
    </row>
    <row r="481" spans="2:6" ht="36">
      <c r="B481" s="132">
        <v>565</v>
      </c>
      <c r="D481" s="134" t="s">
        <v>332</v>
      </c>
      <c r="E481" s="134" t="s">
        <v>1254</v>
      </c>
      <c r="F481" s="134" t="s">
        <v>1254</v>
      </c>
    </row>
    <row r="482" spans="2:6" ht="13.2">
      <c r="B482" s="132">
        <v>566</v>
      </c>
      <c r="D482" s="134" t="s">
        <v>266</v>
      </c>
      <c r="E482" s="134" t="s">
        <v>1255</v>
      </c>
      <c r="F482" s="134" t="s">
        <v>1255</v>
      </c>
    </row>
    <row r="483" spans="2:6" ht="13.2">
      <c r="B483" s="132">
        <v>567</v>
      </c>
      <c r="D483" s="134" t="s">
        <v>267</v>
      </c>
      <c r="E483" s="134" t="s">
        <v>1256</v>
      </c>
      <c r="F483" s="134" t="s">
        <v>1256</v>
      </c>
    </row>
    <row r="484" spans="2:6" ht="13.2">
      <c r="B484" s="132">
        <v>568</v>
      </c>
      <c r="D484" s="134" t="s">
        <v>268</v>
      </c>
      <c r="E484" s="134" t="s">
        <v>1257</v>
      </c>
      <c r="F484" s="134" t="s">
        <v>1257</v>
      </c>
    </row>
    <row r="485" spans="2:6" ht="13.2">
      <c r="B485" s="132">
        <v>569</v>
      </c>
      <c r="D485" s="134" t="s">
        <v>269</v>
      </c>
      <c r="E485" s="134" t="s">
        <v>1258</v>
      </c>
      <c r="F485" s="134" t="s">
        <v>1258</v>
      </c>
    </row>
    <row r="486" spans="2:6" ht="13.2">
      <c r="B486" s="132">
        <v>570</v>
      </c>
      <c r="D486" s="134" t="s">
        <v>270</v>
      </c>
      <c r="E486" s="134" t="s">
        <v>1259</v>
      </c>
      <c r="F486" s="134" t="s">
        <v>1259</v>
      </c>
    </row>
    <row r="487" spans="2:6" ht="36">
      <c r="B487" s="132">
        <v>571</v>
      </c>
      <c r="D487" s="134" t="s">
        <v>271</v>
      </c>
      <c r="E487" s="134" t="s">
        <v>1260</v>
      </c>
      <c r="F487" s="134" t="s">
        <v>1260</v>
      </c>
    </row>
    <row r="488" spans="2:6" ht="13.2">
      <c r="B488" s="132">
        <v>572</v>
      </c>
      <c r="D488" s="134" t="s">
        <v>272</v>
      </c>
      <c r="E488" s="134" t="s">
        <v>1261</v>
      </c>
      <c r="F488" s="134" t="s">
        <v>1261</v>
      </c>
    </row>
    <row r="489" spans="2:6" ht="13.2">
      <c r="B489" s="132">
        <v>573</v>
      </c>
      <c r="D489" s="134" t="s">
        <v>273</v>
      </c>
      <c r="E489" s="134" t="s">
        <v>1262</v>
      </c>
      <c r="F489" s="134" t="s">
        <v>1262</v>
      </c>
    </row>
    <row r="490" spans="2:6" ht="13.2">
      <c r="B490" s="132">
        <v>574</v>
      </c>
      <c r="D490" s="134" t="s">
        <v>274</v>
      </c>
      <c r="E490" s="134" t="s">
        <v>1263</v>
      </c>
      <c r="F490" s="134" t="s">
        <v>1263</v>
      </c>
    </row>
    <row r="491" spans="2:6" ht="26.4">
      <c r="B491" s="132">
        <v>575</v>
      </c>
      <c r="D491" s="134" t="s">
        <v>403</v>
      </c>
      <c r="E491" s="134" t="s">
        <v>1264</v>
      </c>
      <c r="F491" s="134" t="s">
        <v>1264</v>
      </c>
    </row>
    <row r="492" spans="2:6" ht="13.2">
      <c r="B492" s="132">
        <v>576</v>
      </c>
      <c r="D492" s="134" t="s">
        <v>275</v>
      </c>
      <c r="E492" s="134" t="s">
        <v>1265</v>
      </c>
      <c r="F492" s="134" t="s">
        <v>1265</v>
      </c>
    </row>
    <row r="493" spans="2:6" ht="13.2">
      <c r="B493" s="132">
        <v>577</v>
      </c>
      <c r="D493" s="134" t="s">
        <v>276</v>
      </c>
      <c r="E493" s="134" t="s">
        <v>1266</v>
      </c>
      <c r="F493" s="134" t="s">
        <v>1266</v>
      </c>
    </row>
    <row r="494" spans="2:6" ht="13.2">
      <c r="B494" s="132">
        <v>578</v>
      </c>
      <c r="D494" s="134" t="s">
        <v>613</v>
      </c>
      <c r="E494" s="134" t="s">
        <v>1267</v>
      </c>
      <c r="F494" s="134" t="s">
        <v>1267</v>
      </c>
    </row>
    <row r="495" spans="2:6" ht="13.2">
      <c r="B495" s="132">
        <v>579</v>
      </c>
      <c r="D495" s="134" t="s">
        <v>611</v>
      </c>
      <c r="E495" s="134" t="s">
        <v>1268</v>
      </c>
      <c r="F495" s="134" t="s">
        <v>1268</v>
      </c>
    </row>
    <row r="496" spans="2:6" ht="13.2">
      <c r="B496" s="132">
        <v>580</v>
      </c>
      <c r="D496" s="134" t="s">
        <v>277</v>
      </c>
      <c r="E496" s="134" t="s">
        <v>1269</v>
      </c>
      <c r="F496" s="134" t="s">
        <v>1269</v>
      </c>
    </row>
    <row r="497" spans="1:6" ht="13.2">
      <c r="B497" s="132">
        <v>581</v>
      </c>
      <c r="D497" s="134" t="s">
        <v>404</v>
      </c>
      <c r="E497" s="134" t="s">
        <v>1270</v>
      </c>
      <c r="F497" s="134" t="s">
        <v>1270</v>
      </c>
    </row>
    <row r="498" spans="1:6" ht="39.6">
      <c r="B498" s="132">
        <v>582</v>
      </c>
      <c r="D498" s="134" t="s">
        <v>405</v>
      </c>
      <c r="E498" s="134" t="s">
        <v>1271</v>
      </c>
      <c r="F498" s="134" t="s">
        <v>1271</v>
      </c>
    </row>
    <row r="499" spans="1:6" ht="13.2">
      <c r="B499" s="132">
        <v>583</v>
      </c>
      <c r="D499" s="134" t="s">
        <v>278</v>
      </c>
      <c r="E499" s="134" t="s">
        <v>1272</v>
      </c>
      <c r="F499" s="134" t="s">
        <v>1272</v>
      </c>
    </row>
    <row r="500" spans="1:6" ht="13.2">
      <c r="B500" s="132">
        <v>584</v>
      </c>
      <c r="D500" s="134" t="s">
        <v>279</v>
      </c>
      <c r="E500" s="134" t="s">
        <v>1273</v>
      </c>
      <c r="F500" s="134" t="s">
        <v>1273</v>
      </c>
    </row>
    <row r="501" spans="1:6" ht="13.2">
      <c r="B501" s="132">
        <v>585</v>
      </c>
      <c r="C501" s="133" t="s">
        <v>467</v>
      </c>
      <c r="D501" s="131" t="s">
        <v>462</v>
      </c>
      <c r="E501" s="139" t="s">
        <v>1274</v>
      </c>
      <c r="F501" s="139" t="s">
        <v>1274</v>
      </c>
    </row>
    <row r="502" spans="1:6" ht="13.2">
      <c r="B502" s="132">
        <v>586</v>
      </c>
      <c r="C502" s="133" t="s">
        <v>467</v>
      </c>
      <c r="D502" s="134" t="s">
        <v>460</v>
      </c>
      <c r="E502" s="139" t="s">
        <v>1275</v>
      </c>
      <c r="F502" s="139" t="s">
        <v>1275</v>
      </c>
    </row>
    <row r="503" spans="1:6" ht="13.2">
      <c r="B503" s="132">
        <v>587</v>
      </c>
      <c r="D503" s="134" t="s">
        <v>280</v>
      </c>
      <c r="E503" s="134" t="s">
        <v>1276</v>
      </c>
      <c r="F503" s="134" t="s">
        <v>1276</v>
      </c>
    </row>
    <row r="504" spans="1:6" ht="39.6">
      <c r="B504" s="132">
        <v>588</v>
      </c>
      <c r="D504" s="134" t="s">
        <v>281</v>
      </c>
      <c r="E504" s="134" t="s">
        <v>1277</v>
      </c>
      <c r="F504" s="134" t="s">
        <v>1277</v>
      </c>
    </row>
    <row r="505" spans="1:6" ht="13.2">
      <c r="B505" s="132">
        <v>589</v>
      </c>
      <c r="D505" s="134" t="s">
        <v>282</v>
      </c>
      <c r="E505" s="134" t="s">
        <v>1278</v>
      </c>
      <c r="F505" s="134" t="s">
        <v>1278</v>
      </c>
    </row>
    <row r="506" spans="1:6" ht="13.2">
      <c r="A506" s="136"/>
      <c r="B506" s="132">
        <v>590</v>
      </c>
      <c r="C506" s="137" t="s">
        <v>414</v>
      </c>
      <c r="D506" s="135" t="s">
        <v>420</v>
      </c>
      <c r="E506" s="135" t="s">
        <v>1279</v>
      </c>
      <c r="F506" s="135" t="s">
        <v>1279</v>
      </c>
    </row>
    <row r="507" spans="1:6" ht="13.2">
      <c r="A507" s="136"/>
      <c r="B507" s="132">
        <v>591</v>
      </c>
      <c r="C507" s="137" t="s">
        <v>414</v>
      </c>
      <c r="D507" s="135" t="s">
        <v>446</v>
      </c>
      <c r="E507" s="135" t="s">
        <v>1280</v>
      </c>
      <c r="F507" s="135" t="s">
        <v>1280</v>
      </c>
    </row>
    <row r="508" spans="1:6" ht="13.2">
      <c r="B508" s="132">
        <v>592</v>
      </c>
      <c r="D508" s="134" t="s">
        <v>283</v>
      </c>
      <c r="E508" s="135" t="s">
        <v>1281</v>
      </c>
      <c r="F508" s="135" t="s">
        <v>1281</v>
      </c>
    </row>
    <row r="509" spans="1:6" ht="13.2">
      <c r="B509" s="132">
        <v>593</v>
      </c>
      <c r="D509" s="134" t="s">
        <v>284</v>
      </c>
      <c r="E509" s="134" t="s">
        <v>1282</v>
      </c>
      <c r="F509" s="134" t="s">
        <v>1282</v>
      </c>
    </row>
    <row r="510" spans="1:6" ht="13.2">
      <c r="B510" s="132">
        <v>594</v>
      </c>
      <c r="D510" s="134" t="s">
        <v>285</v>
      </c>
      <c r="E510" s="134" t="s">
        <v>1283</v>
      </c>
      <c r="F510" s="134" t="s">
        <v>1283</v>
      </c>
    </row>
    <row r="511" spans="1:6" ht="24">
      <c r="B511" s="132">
        <v>595</v>
      </c>
      <c r="D511" s="134" t="s">
        <v>286</v>
      </c>
      <c r="E511" s="134" t="s">
        <v>1284</v>
      </c>
      <c r="F511" s="134" t="s">
        <v>1284</v>
      </c>
    </row>
    <row r="512" spans="1:6" ht="13.2">
      <c r="B512" s="132">
        <v>596</v>
      </c>
      <c r="D512" s="134" t="s">
        <v>287</v>
      </c>
      <c r="E512" s="134" t="s">
        <v>1285</v>
      </c>
      <c r="F512" s="134" t="s">
        <v>1285</v>
      </c>
    </row>
    <row r="513" spans="2:6" ht="36">
      <c r="B513" s="132">
        <v>597</v>
      </c>
      <c r="D513" s="134" t="s">
        <v>288</v>
      </c>
      <c r="E513" s="134" t="s">
        <v>1286</v>
      </c>
      <c r="F513" s="134" t="s">
        <v>1286</v>
      </c>
    </row>
    <row r="514" spans="2:6" ht="13.2">
      <c r="B514" s="132">
        <v>598</v>
      </c>
      <c r="D514" s="134" t="s">
        <v>289</v>
      </c>
      <c r="E514" s="134" t="s">
        <v>1287</v>
      </c>
      <c r="F514" s="134" t="s">
        <v>1287</v>
      </c>
    </row>
    <row r="515" spans="2:6" ht="13.2">
      <c r="B515" s="132">
        <v>599</v>
      </c>
      <c r="D515" s="134" t="s">
        <v>290</v>
      </c>
      <c r="E515" s="134" t="s">
        <v>1288</v>
      </c>
      <c r="F515" s="134" t="s">
        <v>1288</v>
      </c>
    </row>
    <row r="516" spans="2:6" ht="13.2">
      <c r="B516" s="132">
        <v>600</v>
      </c>
      <c r="D516" s="134" t="s">
        <v>291</v>
      </c>
      <c r="E516" s="134" t="s">
        <v>1289</v>
      </c>
      <c r="F516" s="134" t="s">
        <v>1289</v>
      </c>
    </row>
    <row r="517" spans="2:6" ht="13.2">
      <c r="B517" s="132">
        <v>601</v>
      </c>
      <c r="D517" s="134" t="s">
        <v>292</v>
      </c>
      <c r="E517" s="134" t="s">
        <v>1290</v>
      </c>
      <c r="F517" s="134" t="s">
        <v>1290</v>
      </c>
    </row>
    <row r="518" spans="2:6" ht="13.2">
      <c r="B518" s="132">
        <v>602</v>
      </c>
      <c r="D518" s="134" t="s">
        <v>293</v>
      </c>
      <c r="E518" s="134" t="s">
        <v>1291</v>
      </c>
      <c r="F518" s="134" t="s">
        <v>1291</v>
      </c>
    </row>
    <row r="519" spans="2:6" ht="13.2">
      <c r="B519" s="132">
        <v>603</v>
      </c>
      <c r="D519" s="134" t="s">
        <v>294</v>
      </c>
      <c r="E519" s="134" t="s">
        <v>1292</v>
      </c>
      <c r="F519" s="134" t="s">
        <v>1292</v>
      </c>
    </row>
    <row r="520" spans="2:6">
      <c r="B520" s="132">
        <v>604</v>
      </c>
      <c r="D520" s="134" t="s">
        <v>295</v>
      </c>
      <c r="E520" s="134" t="s">
        <v>295</v>
      </c>
      <c r="F520" s="134" t="s">
        <v>295</v>
      </c>
    </row>
    <row r="521" spans="2:6" ht="13.2">
      <c r="B521" s="132">
        <v>605</v>
      </c>
      <c r="D521" s="134" t="s">
        <v>406</v>
      </c>
      <c r="E521" s="134" t="s">
        <v>1293</v>
      </c>
      <c r="F521" s="134" t="s">
        <v>1293</v>
      </c>
    </row>
    <row r="522" spans="2:6" ht="26.4">
      <c r="B522" s="132">
        <v>606</v>
      </c>
      <c r="D522" s="134" t="s">
        <v>296</v>
      </c>
      <c r="E522" s="134" t="s">
        <v>1294</v>
      </c>
      <c r="F522" s="134" t="s">
        <v>1294</v>
      </c>
    </row>
    <row r="523" spans="2:6">
      <c r="B523" s="132">
        <v>607</v>
      </c>
      <c r="D523" s="134" t="s">
        <v>297</v>
      </c>
      <c r="E523" s="134" t="s">
        <v>297</v>
      </c>
      <c r="F523" s="134" t="s">
        <v>297</v>
      </c>
    </row>
    <row r="524" spans="2:6" ht="13.2">
      <c r="B524" s="132">
        <v>608</v>
      </c>
      <c r="D524" s="134" t="s">
        <v>596</v>
      </c>
      <c r="E524" s="134" t="s">
        <v>1295</v>
      </c>
      <c r="F524" s="134" t="s">
        <v>1295</v>
      </c>
    </row>
    <row r="525" spans="2:6" ht="13.2">
      <c r="B525" s="132">
        <v>609</v>
      </c>
      <c r="D525" s="134" t="s">
        <v>595</v>
      </c>
      <c r="E525" s="134" t="s">
        <v>1296</v>
      </c>
      <c r="F525" s="134" t="s">
        <v>1296</v>
      </c>
    </row>
    <row r="526" spans="2:6">
      <c r="B526" s="132">
        <v>610</v>
      </c>
      <c r="D526" s="134" t="s">
        <v>407</v>
      </c>
      <c r="F526" s="134"/>
    </row>
    <row r="527" spans="2:6" ht="13.2">
      <c r="B527" s="132">
        <v>611</v>
      </c>
      <c r="D527" s="134" t="s">
        <v>298</v>
      </c>
      <c r="E527" s="134" t="s">
        <v>1297</v>
      </c>
      <c r="F527" s="134" t="s">
        <v>1297</v>
      </c>
    </row>
    <row r="528" spans="2:6" ht="13.2">
      <c r="B528" s="132">
        <v>612</v>
      </c>
      <c r="C528" s="133" t="s">
        <v>485</v>
      </c>
      <c r="D528" s="134" t="s">
        <v>487</v>
      </c>
      <c r="E528" s="134" t="s">
        <v>1298</v>
      </c>
      <c r="F528" s="134" t="s">
        <v>1298</v>
      </c>
    </row>
    <row r="529" spans="2:6" ht="13.2">
      <c r="B529" s="132">
        <v>613</v>
      </c>
      <c r="D529" s="134" t="s">
        <v>408</v>
      </c>
      <c r="E529" s="134" t="s">
        <v>1299</v>
      </c>
      <c r="F529" s="134" t="s">
        <v>1299</v>
      </c>
    </row>
    <row r="530" spans="2:6" ht="13.2">
      <c r="B530" s="132">
        <v>614</v>
      </c>
      <c r="D530" s="134" t="s">
        <v>409</v>
      </c>
      <c r="E530" s="134" t="s">
        <v>1300</v>
      </c>
      <c r="F530" s="134" t="s">
        <v>1300</v>
      </c>
    </row>
    <row r="531" spans="2:6" ht="13.2">
      <c r="B531" s="132">
        <v>615</v>
      </c>
      <c r="D531" s="134" t="s">
        <v>410</v>
      </c>
      <c r="E531" s="134" t="s">
        <v>1299</v>
      </c>
      <c r="F531" s="134" t="s">
        <v>1299</v>
      </c>
    </row>
    <row r="532" spans="2:6" ht="13.2">
      <c r="B532" s="132">
        <v>616</v>
      </c>
      <c r="D532" s="134" t="s">
        <v>299</v>
      </c>
      <c r="E532" s="134" t="s">
        <v>1301</v>
      </c>
      <c r="F532" s="134" t="s">
        <v>1301</v>
      </c>
    </row>
    <row r="533" spans="2:6" ht="13.2">
      <c r="B533" s="132">
        <v>617</v>
      </c>
      <c r="D533" s="134" t="s">
        <v>300</v>
      </c>
      <c r="E533" s="134" t="s">
        <v>1302</v>
      </c>
      <c r="F533" s="134" t="s">
        <v>1302</v>
      </c>
    </row>
    <row r="534" spans="2:6" ht="13.2">
      <c r="B534" s="132">
        <v>618</v>
      </c>
      <c r="D534" s="134" t="s">
        <v>301</v>
      </c>
      <c r="E534" s="134" t="s">
        <v>1303</v>
      </c>
      <c r="F534" s="134" t="s">
        <v>1303</v>
      </c>
    </row>
    <row r="535" spans="2:6" ht="13.2">
      <c r="B535" s="132">
        <v>619</v>
      </c>
      <c r="D535" s="134" t="s">
        <v>619</v>
      </c>
      <c r="E535" s="134" t="s">
        <v>1304</v>
      </c>
      <c r="F535" s="134" t="s">
        <v>1304</v>
      </c>
    </row>
    <row r="536" spans="2:6" ht="13.2">
      <c r="B536" s="132">
        <v>620</v>
      </c>
      <c r="D536" s="134" t="s">
        <v>618</v>
      </c>
      <c r="E536" s="134" t="s">
        <v>1305</v>
      </c>
      <c r="F536" s="134" t="s">
        <v>1305</v>
      </c>
    </row>
    <row r="537" spans="2:6" ht="24">
      <c r="B537" s="132">
        <v>621</v>
      </c>
      <c r="C537" s="133" t="s">
        <v>544</v>
      </c>
      <c r="D537" s="134" t="s">
        <v>554</v>
      </c>
      <c r="E537" s="134" t="s">
        <v>1306</v>
      </c>
      <c r="F537" s="134" t="s">
        <v>1306</v>
      </c>
    </row>
    <row r="538" spans="2:6" ht="36">
      <c r="B538" s="132">
        <v>622</v>
      </c>
      <c r="C538" s="133" t="s">
        <v>544</v>
      </c>
      <c r="D538" s="134" t="s">
        <v>569</v>
      </c>
      <c r="E538" s="134" t="s">
        <v>1307</v>
      </c>
      <c r="F538" s="134" t="s">
        <v>1307</v>
      </c>
    </row>
    <row r="539" spans="2:6" ht="13.2">
      <c r="B539" s="132">
        <v>623</v>
      </c>
      <c r="D539" s="134" t="s">
        <v>302</v>
      </c>
      <c r="E539" s="134" t="s">
        <v>1308</v>
      </c>
      <c r="F539" s="134" t="s">
        <v>1308</v>
      </c>
    </row>
    <row r="540" spans="2:6" ht="13.2">
      <c r="B540" s="132">
        <v>624</v>
      </c>
      <c r="D540" s="134" t="s">
        <v>597</v>
      </c>
      <c r="E540" s="134" t="s">
        <v>1309</v>
      </c>
      <c r="F540" s="134" t="s">
        <v>1309</v>
      </c>
    </row>
    <row r="541" spans="2:6">
      <c r="B541" s="132">
        <v>625</v>
      </c>
      <c r="D541" s="134" t="s">
        <v>539</v>
      </c>
      <c r="E541" s="134" t="s">
        <v>539</v>
      </c>
      <c r="F541" s="134" t="s">
        <v>539</v>
      </c>
    </row>
    <row r="542" spans="2:6">
      <c r="B542" s="132">
        <v>626</v>
      </c>
      <c r="D542" s="134" t="s">
        <v>303</v>
      </c>
      <c r="F542" s="134"/>
    </row>
    <row r="543" spans="2:6">
      <c r="B543" s="132">
        <v>627</v>
      </c>
      <c r="D543" s="134" t="s">
        <v>304</v>
      </c>
      <c r="F543" s="134"/>
    </row>
    <row r="544" spans="2:6">
      <c r="B544" s="132">
        <v>628</v>
      </c>
      <c r="D544" s="134" t="s">
        <v>537</v>
      </c>
      <c r="E544" s="134" t="s">
        <v>538</v>
      </c>
      <c r="F544" s="134" t="s">
        <v>538</v>
      </c>
    </row>
    <row r="545" spans="1:6" ht="13.2">
      <c r="B545" s="132">
        <v>629</v>
      </c>
      <c r="D545" s="134" t="s">
        <v>305</v>
      </c>
      <c r="E545" s="134" t="s">
        <v>1310</v>
      </c>
      <c r="F545" s="134" t="s">
        <v>1310</v>
      </c>
    </row>
    <row r="546" spans="1:6" ht="13.2">
      <c r="B546" s="132">
        <v>630</v>
      </c>
      <c r="D546" s="134" t="s">
        <v>411</v>
      </c>
      <c r="E546" s="134" t="s">
        <v>1311</v>
      </c>
      <c r="F546" s="134" t="s">
        <v>1311</v>
      </c>
    </row>
    <row r="547" spans="1:6" ht="13.2">
      <c r="B547" s="132">
        <v>631</v>
      </c>
      <c r="D547" s="134" t="s">
        <v>306</v>
      </c>
      <c r="E547" s="134" t="s">
        <v>1312</v>
      </c>
      <c r="F547" s="134" t="s">
        <v>1312</v>
      </c>
    </row>
    <row r="548" spans="1:6" ht="13.2">
      <c r="B548" s="132">
        <v>632</v>
      </c>
      <c r="D548" s="134" t="s">
        <v>340</v>
      </c>
      <c r="E548" s="134" t="s">
        <v>1313</v>
      </c>
      <c r="F548" s="134" t="s">
        <v>1313</v>
      </c>
    </row>
    <row r="549" spans="1:6" ht="13.2">
      <c r="B549" s="132">
        <v>633</v>
      </c>
      <c r="D549" s="134" t="s">
        <v>307</v>
      </c>
      <c r="E549" s="134" t="s">
        <v>1312</v>
      </c>
      <c r="F549" s="134" t="s">
        <v>1312</v>
      </c>
    </row>
    <row r="550" spans="1:6" ht="26.4">
      <c r="A550" s="135"/>
      <c r="B550" s="132">
        <v>634</v>
      </c>
      <c r="C550" s="135"/>
      <c r="D550" s="135" t="s">
        <v>447</v>
      </c>
      <c r="E550" s="135" t="s">
        <v>1314</v>
      </c>
      <c r="F550" s="135" t="s">
        <v>1314</v>
      </c>
    </row>
    <row r="551" spans="1:6" ht="13.2">
      <c r="B551" s="132">
        <v>635</v>
      </c>
      <c r="C551" s="133" t="s">
        <v>544</v>
      </c>
      <c r="D551" s="134" t="s">
        <v>551</v>
      </c>
      <c r="E551" s="134" t="s">
        <v>1315</v>
      </c>
      <c r="F551" s="134" t="s">
        <v>1315</v>
      </c>
    </row>
    <row r="552" spans="1:6" ht="13.2">
      <c r="B552" s="132">
        <v>636</v>
      </c>
      <c r="C552" s="133" t="s">
        <v>544</v>
      </c>
      <c r="D552" s="134" t="s">
        <v>645</v>
      </c>
      <c r="E552" s="134" t="s">
        <v>1316</v>
      </c>
      <c r="F552" s="134" t="s">
        <v>1316</v>
      </c>
    </row>
    <row r="553" spans="1:6">
      <c r="B553" s="132">
        <v>637</v>
      </c>
      <c r="D553" s="134" t="s">
        <v>308</v>
      </c>
      <c r="E553" s="134" t="s">
        <v>308</v>
      </c>
      <c r="F553" s="134" t="s">
        <v>308</v>
      </c>
    </row>
    <row r="554" spans="1:6" ht="13.2">
      <c r="B554" s="132">
        <v>638</v>
      </c>
      <c r="D554" s="134" t="s">
        <v>309</v>
      </c>
      <c r="E554" s="134" t="s">
        <v>1317</v>
      </c>
      <c r="F554" s="134" t="s">
        <v>1317</v>
      </c>
    </row>
    <row r="555" spans="1:6" ht="13.2">
      <c r="B555" s="132">
        <v>639</v>
      </c>
      <c r="D555" s="134" t="s">
        <v>310</v>
      </c>
      <c r="E555" s="134" t="s">
        <v>1318</v>
      </c>
      <c r="F555" s="134" t="s">
        <v>1318</v>
      </c>
    </row>
    <row r="556" spans="1:6" ht="13.2">
      <c r="B556" s="132">
        <v>640</v>
      </c>
      <c r="D556" s="134" t="s">
        <v>412</v>
      </c>
      <c r="E556" s="134" t="s">
        <v>1319</v>
      </c>
      <c r="F556" s="134" t="s">
        <v>1319</v>
      </c>
    </row>
    <row r="557" spans="1:6" ht="24">
      <c r="B557" s="132">
        <v>641</v>
      </c>
      <c r="C557" s="133" t="s">
        <v>544</v>
      </c>
      <c r="D557" s="134" t="s">
        <v>570</v>
      </c>
      <c r="E557" s="134" t="s">
        <v>1320</v>
      </c>
      <c r="F557" s="134" t="s">
        <v>1320</v>
      </c>
    </row>
    <row r="558" spans="1:6" ht="13.2">
      <c r="B558" s="132">
        <v>642</v>
      </c>
      <c r="D558" s="134" t="s">
        <v>311</v>
      </c>
      <c r="E558" s="134" t="s">
        <v>1321</v>
      </c>
      <c r="F558" s="134" t="s">
        <v>1321</v>
      </c>
    </row>
    <row r="559" spans="1:6" ht="39.6">
      <c r="B559" s="132">
        <v>643</v>
      </c>
      <c r="C559" s="133" t="s">
        <v>544</v>
      </c>
      <c r="D559" s="134" t="s">
        <v>577</v>
      </c>
      <c r="E559" s="134" t="s">
        <v>1322</v>
      </c>
      <c r="F559" s="134" t="s">
        <v>1322</v>
      </c>
    </row>
    <row r="560" spans="1:6" ht="13.2">
      <c r="B560" s="132">
        <v>644</v>
      </c>
      <c r="D560" s="134" t="s">
        <v>312</v>
      </c>
      <c r="E560" s="134" t="s">
        <v>1323</v>
      </c>
      <c r="F560" s="134" t="s">
        <v>1323</v>
      </c>
    </row>
    <row r="561" spans="2:27" ht="13.2">
      <c r="B561" s="132">
        <v>645</v>
      </c>
      <c r="D561" s="134" t="s">
        <v>313</v>
      </c>
      <c r="E561" s="134" t="s">
        <v>1324</v>
      </c>
      <c r="F561" s="134" t="s">
        <v>1324</v>
      </c>
    </row>
    <row r="562" spans="2:27" ht="13.2">
      <c r="B562" s="132">
        <v>646</v>
      </c>
      <c r="D562" s="134" t="s">
        <v>413</v>
      </c>
      <c r="E562" s="134" t="s">
        <v>1325</v>
      </c>
      <c r="F562" s="134" t="s">
        <v>1325</v>
      </c>
    </row>
    <row r="563" spans="2:27" ht="26.4">
      <c r="B563" s="132">
        <v>647</v>
      </c>
      <c r="D563" s="134" t="s">
        <v>314</v>
      </c>
      <c r="E563" s="134" t="s">
        <v>1326</v>
      </c>
      <c r="F563" s="134" t="s">
        <v>1326</v>
      </c>
    </row>
    <row r="564" spans="2:27" ht="13.2">
      <c r="B564" s="132">
        <v>648</v>
      </c>
      <c r="D564" s="134" t="s">
        <v>315</v>
      </c>
      <c r="E564" s="134" t="s">
        <v>1324</v>
      </c>
      <c r="F564" s="134" t="s">
        <v>1324</v>
      </c>
    </row>
    <row r="565" spans="2:27" ht="13.2">
      <c r="B565" s="132">
        <v>649</v>
      </c>
      <c r="D565" s="134" t="s">
        <v>316</v>
      </c>
      <c r="E565" s="134" t="s">
        <v>1327</v>
      </c>
      <c r="F565" s="134" t="s">
        <v>1327</v>
      </c>
    </row>
    <row r="566" spans="2:27" ht="13.2">
      <c r="B566" s="132">
        <v>650</v>
      </c>
      <c r="D566" s="134" t="s">
        <v>317</v>
      </c>
      <c r="E566" s="134" t="s">
        <v>1328</v>
      </c>
      <c r="F566" s="134" t="s">
        <v>1328</v>
      </c>
    </row>
    <row r="567" spans="2:27" ht="13.2">
      <c r="B567" s="132">
        <v>651</v>
      </c>
      <c r="D567" s="134" t="s">
        <v>318</v>
      </c>
      <c r="E567" s="134" t="s">
        <v>1329</v>
      </c>
      <c r="F567" s="134" t="s">
        <v>1329</v>
      </c>
    </row>
    <row r="568" spans="2:27" ht="13.2">
      <c r="B568" s="132">
        <v>652</v>
      </c>
      <c r="D568" s="134" t="s">
        <v>319</v>
      </c>
      <c r="E568" s="134" t="s">
        <v>1330</v>
      </c>
      <c r="F568" s="134" t="s">
        <v>1330</v>
      </c>
      <c r="G568" s="135"/>
      <c r="H568" s="135"/>
      <c r="I568" s="135"/>
      <c r="J568" s="135"/>
      <c r="K568" s="135"/>
      <c r="L568" s="135"/>
      <c r="M568" s="135"/>
      <c r="N568" s="135"/>
      <c r="O568" s="135"/>
      <c r="P568" s="135"/>
      <c r="Q568" s="135"/>
      <c r="R568" s="135"/>
      <c r="S568" s="135"/>
      <c r="T568" s="135"/>
      <c r="U568" s="135"/>
      <c r="V568" s="135"/>
      <c r="W568" s="135"/>
      <c r="X568" s="135"/>
      <c r="Y568" s="135"/>
      <c r="Z568" s="135"/>
      <c r="AA568" s="135"/>
    </row>
    <row r="569" spans="2:27" ht="13.2">
      <c r="B569" s="132">
        <v>653</v>
      </c>
      <c r="D569" s="134" t="s">
        <v>320</v>
      </c>
      <c r="E569" s="134" t="s">
        <v>1331</v>
      </c>
      <c r="F569" s="134" t="s">
        <v>1331</v>
      </c>
      <c r="G569" s="135"/>
      <c r="H569" s="135"/>
      <c r="I569" s="135"/>
      <c r="J569" s="135"/>
      <c r="K569" s="135"/>
      <c r="L569" s="135"/>
      <c r="M569" s="135"/>
      <c r="N569" s="135"/>
      <c r="O569" s="135"/>
      <c r="P569" s="135"/>
      <c r="Q569" s="135"/>
      <c r="R569" s="135"/>
      <c r="S569" s="135"/>
      <c r="T569" s="135"/>
      <c r="U569" s="135"/>
      <c r="V569" s="135"/>
      <c r="W569" s="135"/>
      <c r="X569" s="135"/>
      <c r="Y569" s="135"/>
      <c r="Z569" s="135"/>
      <c r="AA569" s="135"/>
    </row>
    <row r="570" spans="2:27" ht="13.2">
      <c r="B570" s="132">
        <v>654</v>
      </c>
      <c r="D570" s="134" t="s">
        <v>321</v>
      </c>
      <c r="E570" s="134" t="s">
        <v>1323</v>
      </c>
      <c r="F570" s="134" t="s">
        <v>1323</v>
      </c>
      <c r="G570" s="136"/>
      <c r="H570" s="136"/>
      <c r="I570" s="136"/>
      <c r="J570" s="136"/>
      <c r="K570" s="136"/>
      <c r="L570" s="136"/>
      <c r="M570" s="136"/>
      <c r="N570" s="136"/>
      <c r="O570" s="136"/>
      <c r="P570" s="136"/>
      <c r="Q570" s="136"/>
      <c r="R570" s="136"/>
      <c r="S570" s="136"/>
      <c r="T570" s="136"/>
      <c r="U570" s="136"/>
      <c r="V570" s="136"/>
      <c r="W570" s="136"/>
      <c r="X570" s="136"/>
      <c r="Y570" s="136"/>
      <c r="Z570" s="136"/>
      <c r="AA570" s="136"/>
    </row>
    <row r="571" spans="2:27" ht="13.2">
      <c r="B571" s="132">
        <v>655</v>
      </c>
      <c r="C571" s="133" t="s">
        <v>544</v>
      </c>
      <c r="D571" s="134" t="s">
        <v>571</v>
      </c>
      <c r="E571" s="134" t="s">
        <v>1332</v>
      </c>
      <c r="F571" s="134" t="s">
        <v>1332</v>
      </c>
    </row>
    <row r="572" spans="2:27" ht="26.4">
      <c r="B572" s="132">
        <v>656</v>
      </c>
      <c r="D572" s="134" t="s">
        <v>322</v>
      </c>
      <c r="E572" s="134" t="s">
        <v>1333</v>
      </c>
      <c r="F572" s="134" t="s">
        <v>1333</v>
      </c>
      <c r="G572" s="136"/>
      <c r="H572" s="136"/>
      <c r="I572" s="136"/>
      <c r="J572" s="136"/>
      <c r="K572" s="136"/>
      <c r="L572" s="136"/>
      <c r="M572" s="136"/>
      <c r="N572" s="136"/>
      <c r="O572" s="136"/>
      <c r="P572" s="136"/>
      <c r="Q572" s="136"/>
      <c r="R572" s="136"/>
      <c r="S572" s="136"/>
      <c r="T572" s="136"/>
      <c r="U572" s="136"/>
      <c r="V572" s="136"/>
      <c r="W572" s="136"/>
      <c r="X572" s="136"/>
      <c r="Y572" s="136"/>
      <c r="Z572" s="136"/>
      <c r="AA572" s="136"/>
    </row>
    <row r="573" spans="2:27" ht="39.6">
      <c r="B573" s="132">
        <v>657</v>
      </c>
      <c r="D573" s="134" t="s">
        <v>323</v>
      </c>
      <c r="E573" s="134" t="s">
        <v>1334</v>
      </c>
      <c r="F573" s="134" t="s">
        <v>1334</v>
      </c>
      <c r="G573" s="136"/>
      <c r="H573" s="136"/>
      <c r="I573" s="136"/>
      <c r="J573" s="136"/>
      <c r="K573" s="136"/>
      <c r="L573" s="136"/>
      <c r="M573" s="136"/>
      <c r="N573" s="136"/>
      <c r="O573" s="136"/>
      <c r="P573" s="136"/>
      <c r="Q573" s="136"/>
      <c r="R573" s="136"/>
      <c r="S573" s="136"/>
      <c r="T573" s="136"/>
      <c r="U573" s="136"/>
      <c r="V573" s="136"/>
      <c r="W573" s="136"/>
      <c r="X573" s="136"/>
      <c r="Y573" s="136"/>
      <c r="Z573" s="136"/>
      <c r="AA573" s="136"/>
    </row>
    <row r="574" spans="2:27" ht="13.2">
      <c r="B574" s="132">
        <v>658</v>
      </c>
      <c r="D574" s="134" t="s">
        <v>324</v>
      </c>
      <c r="E574" s="134" t="s">
        <v>1335</v>
      </c>
      <c r="F574" s="134" t="s">
        <v>1335</v>
      </c>
      <c r="G574" s="136"/>
      <c r="H574" s="136"/>
      <c r="I574" s="136"/>
      <c r="J574" s="136"/>
      <c r="K574" s="136"/>
      <c r="L574" s="136"/>
      <c r="M574" s="136"/>
      <c r="N574" s="136"/>
      <c r="O574" s="136"/>
      <c r="P574" s="136"/>
      <c r="Q574" s="136"/>
      <c r="R574" s="136"/>
      <c r="S574" s="136"/>
      <c r="T574" s="136"/>
      <c r="U574" s="136"/>
      <c r="V574" s="136"/>
      <c r="W574" s="136"/>
      <c r="X574" s="136"/>
      <c r="Y574" s="136"/>
      <c r="Z574" s="136"/>
      <c r="AA574" s="136"/>
    </row>
    <row r="575" spans="2:27" ht="39.6">
      <c r="B575" s="132">
        <v>659</v>
      </c>
      <c r="D575" s="134" t="s">
        <v>325</v>
      </c>
      <c r="E575" s="134" t="s">
        <v>1336</v>
      </c>
      <c r="F575" s="134" t="s">
        <v>1336</v>
      </c>
      <c r="G575" s="136"/>
      <c r="H575" s="136"/>
      <c r="I575" s="136"/>
      <c r="J575" s="136"/>
      <c r="K575" s="136"/>
      <c r="L575" s="136"/>
      <c r="M575" s="136"/>
      <c r="N575" s="136"/>
      <c r="O575" s="136"/>
      <c r="P575" s="136"/>
      <c r="Q575" s="136"/>
      <c r="R575" s="136"/>
      <c r="S575" s="136"/>
      <c r="T575" s="136"/>
      <c r="U575" s="136"/>
      <c r="V575" s="136"/>
      <c r="W575" s="136"/>
      <c r="X575" s="136"/>
      <c r="Y575" s="136"/>
      <c r="Z575" s="136"/>
      <c r="AA575" s="136"/>
    </row>
    <row r="576" spans="2:27" ht="13.2">
      <c r="B576" s="132">
        <v>660</v>
      </c>
      <c r="D576" s="134" t="s">
        <v>326</v>
      </c>
      <c r="E576" s="134" t="s">
        <v>1337</v>
      </c>
      <c r="F576" s="134" t="s">
        <v>1337</v>
      </c>
      <c r="G576" s="136"/>
      <c r="H576" s="136"/>
      <c r="I576" s="136"/>
      <c r="J576" s="136"/>
      <c r="K576" s="136"/>
      <c r="L576" s="136"/>
      <c r="M576" s="136"/>
      <c r="N576" s="136"/>
      <c r="O576" s="136"/>
      <c r="P576" s="136"/>
      <c r="Q576" s="136"/>
      <c r="R576" s="136"/>
      <c r="S576" s="136"/>
      <c r="T576" s="136"/>
      <c r="U576" s="136"/>
      <c r="V576" s="136"/>
      <c r="W576" s="136"/>
      <c r="X576" s="136"/>
      <c r="Y576" s="136"/>
      <c r="Z576" s="136"/>
      <c r="AA576" s="136"/>
    </row>
    <row r="577" spans="2:27" ht="13.2">
      <c r="B577" s="132">
        <v>661</v>
      </c>
      <c r="D577" s="134" t="s">
        <v>327</v>
      </c>
      <c r="E577" s="134" t="s">
        <v>1338</v>
      </c>
      <c r="F577" s="134" t="s">
        <v>1338</v>
      </c>
      <c r="G577" s="136"/>
      <c r="H577" s="136"/>
      <c r="I577" s="136"/>
      <c r="J577" s="136"/>
      <c r="K577" s="136"/>
      <c r="L577" s="136"/>
      <c r="M577" s="136"/>
      <c r="N577" s="136"/>
      <c r="O577" s="136"/>
      <c r="P577" s="136"/>
      <c r="Q577" s="136"/>
      <c r="R577" s="136"/>
      <c r="S577" s="136"/>
      <c r="T577" s="136"/>
      <c r="U577" s="136"/>
      <c r="V577" s="136"/>
      <c r="W577" s="136"/>
      <c r="X577" s="136"/>
      <c r="Y577" s="136"/>
      <c r="Z577" s="136"/>
      <c r="AA577" s="136"/>
    </row>
    <row r="578" spans="2:27" ht="13.2">
      <c r="B578" s="132">
        <v>662</v>
      </c>
      <c r="D578" s="134" t="s">
        <v>328</v>
      </c>
      <c r="E578" s="134" t="s">
        <v>1339</v>
      </c>
      <c r="F578" s="134" t="s">
        <v>1339</v>
      </c>
      <c r="G578" s="136"/>
      <c r="H578" s="136"/>
      <c r="I578" s="136"/>
      <c r="J578" s="136"/>
      <c r="K578" s="136"/>
      <c r="L578" s="136"/>
      <c r="M578" s="136"/>
      <c r="N578" s="136"/>
      <c r="O578" s="136"/>
      <c r="P578" s="136"/>
      <c r="Q578" s="136"/>
      <c r="R578" s="136"/>
      <c r="S578" s="136"/>
      <c r="T578" s="136"/>
      <c r="U578" s="136"/>
      <c r="V578" s="136"/>
      <c r="W578" s="136"/>
      <c r="X578" s="136"/>
      <c r="Y578" s="136"/>
      <c r="Z578" s="136"/>
      <c r="AA578" s="136"/>
    </row>
    <row r="579" spans="2:27" ht="13.2">
      <c r="B579" s="132">
        <v>663</v>
      </c>
      <c r="D579" s="134" t="s">
        <v>329</v>
      </c>
      <c r="E579" s="134" t="s">
        <v>1340</v>
      </c>
      <c r="F579" s="134" t="s">
        <v>1340</v>
      </c>
      <c r="G579" s="136"/>
      <c r="H579" s="136"/>
      <c r="I579" s="136"/>
      <c r="J579" s="136"/>
      <c r="K579" s="136"/>
      <c r="L579" s="136"/>
      <c r="M579" s="136"/>
      <c r="N579" s="136"/>
      <c r="O579" s="136"/>
      <c r="P579" s="136"/>
      <c r="Q579" s="136"/>
      <c r="R579" s="136"/>
      <c r="S579" s="136"/>
      <c r="T579" s="136"/>
      <c r="U579" s="136"/>
      <c r="V579" s="136"/>
      <c r="W579" s="136"/>
      <c r="X579" s="136"/>
      <c r="Y579" s="136"/>
      <c r="Z579" s="136"/>
      <c r="AA579" s="136"/>
    </row>
    <row r="580" spans="2:27" ht="13.2">
      <c r="B580" s="132">
        <v>664</v>
      </c>
      <c r="D580" s="134" t="s">
        <v>330</v>
      </c>
      <c r="E580" s="134" t="s">
        <v>1341</v>
      </c>
      <c r="F580" s="134" t="s">
        <v>1341</v>
      </c>
      <c r="G580" s="136"/>
      <c r="H580" s="136"/>
      <c r="I580" s="136"/>
      <c r="J580" s="136"/>
      <c r="K580" s="136"/>
      <c r="L580" s="136"/>
      <c r="M580" s="136"/>
      <c r="N580" s="136"/>
      <c r="O580" s="136"/>
      <c r="P580" s="136"/>
      <c r="Q580" s="136"/>
      <c r="R580" s="136"/>
      <c r="S580" s="136"/>
      <c r="T580" s="136"/>
      <c r="U580" s="136"/>
      <c r="V580" s="136"/>
      <c r="W580" s="136"/>
      <c r="X580" s="136"/>
      <c r="Y580" s="136"/>
      <c r="Z580" s="136"/>
      <c r="AA580" s="136"/>
    </row>
    <row r="581" spans="2:27" ht="13.2">
      <c r="B581" s="132">
        <v>665</v>
      </c>
      <c r="D581" s="134" t="s">
        <v>331</v>
      </c>
      <c r="E581" s="134" t="s">
        <v>1342</v>
      </c>
      <c r="F581" s="134" t="s">
        <v>1342</v>
      </c>
      <c r="G581" s="136"/>
      <c r="H581" s="136"/>
      <c r="I581" s="136"/>
      <c r="J581" s="136"/>
      <c r="K581" s="136"/>
      <c r="L581" s="136"/>
      <c r="M581" s="136"/>
      <c r="N581" s="136"/>
      <c r="O581" s="136"/>
      <c r="P581" s="136"/>
      <c r="Q581" s="136"/>
      <c r="R581" s="136"/>
      <c r="S581" s="136"/>
      <c r="T581" s="136"/>
      <c r="U581" s="136"/>
      <c r="V581" s="136"/>
      <c r="W581" s="136"/>
      <c r="X581" s="136"/>
      <c r="Y581" s="136"/>
      <c r="Z581" s="136"/>
      <c r="AA581" s="136"/>
    </row>
    <row r="582" spans="2:27" ht="13.2">
      <c r="B582" s="132">
        <v>666</v>
      </c>
      <c r="D582" s="134" t="s">
        <v>653</v>
      </c>
      <c r="E582" s="134" t="s">
        <v>1343</v>
      </c>
      <c r="F582" s="134" t="s">
        <v>1343</v>
      </c>
    </row>
    <row r="583" spans="2:27" ht="13.2">
      <c r="B583" s="132">
        <v>667</v>
      </c>
      <c r="D583" s="134" t="s">
        <v>654</v>
      </c>
      <c r="E583" s="134" t="s">
        <v>1344</v>
      </c>
      <c r="F583" s="134" t="s">
        <v>1344</v>
      </c>
    </row>
    <row r="584" spans="2:27" ht="13.2">
      <c r="B584" s="132">
        <v>668</v>
      </c>
      <c r="D584" s="134" t="s">
        <v>646</v>
      </c>
      <c r="E584" s="134" t="s">
        <v>1345</v>
      </c>
      <c r="F584" s="134" t="s">
        <v>1345</v>
      </c>
    </row>
    <row r="585" spans="2:27" ht="13.2">
      <c r="B585" s="132">
        <v>669</v>
      </c>
      <c r="D585" s="134" t="s">
        <v>652</v>
      </c>
      <c r="E585" s="134" t="s">
        <v>1346</v>
      </c>
      <c r="F585" s="134" t="s">
        <v>1346</v>
      </c>
    </row>
    <row r="586" spans="2:27" ht="13.2">
      <c r="B586" s="132">
        <v>670</v>
      </c>
      <c r="D586" s="134" t="s">
        <v>649</v>
      </c>
      <c r="E586" s="134" t="s">
        <v>1347</v>
      </c>
      <c r="F586" s="134" t="s">
        <v>1347</v>
      </c>
    </row>
    <row r="587" spans="2:27" ht="13.2">
      <c r="B587" s="132">
        <v>671</v>
      </c>
      <c r="D587" s="134" t="s">
        <v>650</v>
      </c>
      <c r="E587" s="134" t="s">
        <v>1348</v>
      </c>
      <c r="F587" s="134" t="s">
        <v>1348</v>
      </c>
    </row>
    <row r="588" spans="2:27" ht="13.2">
      <c r="B588" s="132">
        <v>672</v>
      </c>
      <c r="D588" s="134" t="s">
        <v>651</v>
      </c>
      <c r="E588" s="134" t="s">
        <v>1349</v>
      </c>
      <c r="F588" s="134" t="s">
        <v>1349</v>
      </c>
    </row>
    <row r="589" spans="2:27" ht="13.2">
      <c r="B589" s="132">
        <v>673</v>
      </c>
      <c r="D589" s="134" t="s">
        <v>655</v>
      </c>
      <c r="E589" s="134" t="s">
        <v>1350</v>
      </c>
      <c r="F589" s="134" t="s">
        <v>1350</v>
      </c>
    </row>
    <row r="590" spans="2:27" ht="13.2">
      <c r="B590" s="132">
        <v>674</v>
      </c>
      <c r="D590" s="134" t="s">
        <v>739</v>
      </c>
      <c r="E590" s="134" t="s">
        <v>1351</v>
      </c>
      <c r="F590" s="134" t="s">
        <v>1351</v>
      </c>
    </row>
    <row r="591" spans="2:27" ht="13.2">
      <c r="B591" s="132">
        <v>675</v>
      </c>
      <c r="D591" s="134" t="s">
        <v>743</v>
      </c>
      <c r="E591" s="134" t="s">
        <v>1352</v>
      </c>
      <c r="F591" s="134" t="s">
        <v>1352</v>
      </c>
    </row>
    <row r="592" spans="2:27" ht="13.2">
      <c r="B592" s="132">
        <v>676</v>
      </c>
      <c r="D592" s="134" t="s">
        <v>744</v>
      </c>
      <c r="E592" s="134" t="s">
        <v>1353</v>
      </c>
      <c r="F592" s="134" t="s">
        <v>1353</v>
      </c>
    </row>
    <row r="593" spans="2:6" ht="13.2">
      <c r="B593" s="132">
        <v>677</v>
      </c>
      <c r="D593" s="134" t="s">
        <v>745</v>
      </c>
      <c r="E593" s="134" t="s">
        <v>1354</v>
      </c>
      <c r="F593" s="131" t="s">
        <v>1354</v>
      </c>
    </row>
    <row r="594" spans="2:6" ht="13.2">
      <c r="B594" s="132">
        <v>678</v>
      </c>
      <c r="D594" s="134" t="s">
        <v>746</v>
      </c>
      <c r="E594" s="134" t="s">
        <v>1355</v>
      </c>
      <c r="F594" s="134" t="s">
        <v>1355</v>
      </c>
    </row>
    <row r="595" spans="2:6" ht="13.2">
      <c r="B595" s="132">
        <v>679</v>
      </c>
      <c r="D595" s="134" t="s">
        <v>1356</v>
      </c>
      <c r="E595" s="134" t="s">
        <v>1357</v>
      </c>
      <c r="F595" s="134" t="s">
        <v>1357</v>
      </c>
    </row>
    <row r="596" spans="2:6" ht="13.2">
      <c r="B596" s="132">
        <v>680</v>
      </c>
      <c r="D596" s="134" t="s">
        <v>1358</v>
      </c>
      <c r="E596" s="149" t="s">
        <v>1360</v>
      </c>
      <c r="F596" s="149" t="s">
        <v>1360</v>
      </c>
    </row>
    <row r="597" spans="2:6" ht="13.2">
      <c r="B597" s="132">
        <v>681</v>
      </c>
      <c r="D597" s="134" t="s">
        <v>1359</v>
      </c>
      <c r="E597" s="149" t="s">
        <v>1361</v>
      </c>
      <c r="F597" s="149" t="s">
        <v>1361</v>
      </c>
    </row>
    <row r="598" spans="2:6" ht="13.2">
      <c r="B598" s="132">
        <v>682</v>
      </c>
      <c r="D598" s="134" t="s">
        <v>1372</v>
      </c>
      <c r="E598" s="155" t="s">
        <v>1373</v>
      </c>
      <c r="F598" s="155" t="s">
        <v>1373</v>
      </c>
    </row>
    <row r="599" spans="2:6" ht="13.2">
      <c r="B599" s="132">
        <v>683</v>
      </c>
      <c r="D599" s="134" t="s">
        <v>1374</v>
      </c>
      <c r="E599" s="155" t="s">
        <v>1377</v>
      </c>
      <c r="F599" s="155" t="s">
        <v>1377</v>
      </c>
    </row>
    <row r="600" spans="2:6">
      <c r="B600" s="132">
        <v>684</v>
      </c>
      <c r="D600" s="134" t="s">
        <v>1375</v>
      </c>
      <c r="E600" s="134" t="s">
        <v>1376</v>
      </c>
      <c r="F600" s="134" t="s">
        <v>1376</v>
      </c>
    </row>
  </sheetData>
  <sortState ref="A17:AA581">
    <sortCondition ref="D17:D581"/>
  </sortState>
  <phoneticPr fontId="4" type="noConversion"/>
  <hyperlinks>
    <hyperlink ref="E600" r:id="rId1"/>
    <hyperlink ref="F600" r:id="rId2"/>
  </hyperlinks>
  <pageMargins left="0.7" right="0.7" top="0.75" bottom="0.75" header="0.3" footer="0.3"/>
  <pageSetup paperSize="9"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89"/>
  <sheetViews>
    <sheetView zoomScale="81" zoomScaleNormal="81" workbookViewId="0">
      <selection activeCell="P12" sqref="P12"/>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536</v>
      </c>
      <c r="B1" s="106" t="s">
        <v>333</v>
      </c>
      <c r="C1" s="106" t="s">
        <v>525</v>
      </c>
      <c r="D1" s="106" t="s">
        <v>526</v>
      </c>
      <c r="E1" s="106" t="s">
        <v>527</v>
      </c>
      <c r="F1" s="106" t="s">
        <v>528</v>
      </c>
      <c r="G1" s="106" t="s">
        <v>529</v>
      </c>
      <c r="H1" s="106" t="s">
        <v>530</v>
      </c>
      <c r="I1" s="106" t="s">
        <v>531</v>
      </c>
      <c r="J1" s="106" t="s">
        <v>532</v>
      </c>
      <c r="K1" s="106" t="s">
        <v>533</v>
      </c>
      <c r="L1" s="106" t="s">
        <v>534</v>
      </c>
      <c r="M1" s="106" t="s">
        <v>334</v>
      </c>
      <c r="N1" s="106" t="s">
        <v>335</v>
      </c>
      <c r="O1" s="106" t="s">
        <v>336</v>
      </c>
      <c r="P1" s="106" t="s">
        <v>337</v>
      </c>
      <c r="Q1" s="106" t="s">
        <v>502</v>
      </c>
      <c r="R1" s="106" t="s">
        <v>503</v>
      </c>
      <c r="S1" s="106" t="s">
        <v>535</v>
      </c>
      <c r="T1" s="106" t="s">
        <v>612</v>
      </c>
      <c r="U1" s="106" t="s">
        <v>489</v>
      </c>
      <c r="V1" s="106" t="s">
        <v>490</v>
      </c>
      <c r="W1" s="106" t="s">
        <v>492</v>
      </c>
      <c r="X1" s="107" t="s">
        <v>603</v>
      </c>
      <c r="Y1" s="107" t="s">
        <v>493</v>
      </c>
      <c r="Z1" s="107" t="s">
        <v>494</v>
      </c>
      <c r="AA1" s="106" t="s">
        <v>504</v>
      </c>
      <c r="AB1" s="106" t="s">
        <v>505</v>
      </c>
      <c r="AC1" s="106" t="s">
        <v>523</v>
      </c>
      <c r="AD1" s="106" t="s">
        <v>491</v>
      </c>
    </row>
    <row r="2" spans="1:30">
      <c r="A2" s="105" t="s">
        <v>1542</v>
      </c>
      <c r="B2" s="105" t="s">
        <v>1446</v>
      </c>
      <c r="C2" s="105" t="s">
        <v>496</v>
      </c>
      <c r="D2" s="105" t="s">
        <v>542</v>
      </c>
      <c r="E2" s="105" t="s">
        <v>1446</v>
      </c>
      <c r="M2" s="105" t="s">
        <v>1460</v>
      </c>
      <c r="N2" s="105" t="s">
        <v>1448</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1542</v>
      </c>
      <c r="B3" s="105" t="s">
        <v>1446</v>
      </c>
      <c r="C3" s="105" t="s">
        <v>496</v>
      </c>
      <c r="D3" s="105" t="s">
        <v>542</v>
      </c>
      <c r="E3" s="105" t="s">
        <v>1446</v>
      </c>
      <c r="M3" s="105" t="s">
        <v>1460</v>
      </c>
      <c r="N3" s="105" t="s">
        <v>1543</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1544</v>
      </c>
      <c r="B4" s="105" t="s">
        <v>1466</v>
      </c>
      <c r="C4" s="105" t="s">
        <v>496</v>
      </c>
      <c r="D4" s="105" t="s">
        <v>542</v>
      </c>
      <c r="E4" s="105" t="s">
        <v>1447</v>
      </c>
      <c r="F4" s="105" t="s">
        <v>1466</v>
      </c>
      <c r="M4" s="105" t="s">
        <v>1467</v>
      </c>
      <c r="N4" s="105" t="s">
        <v>1448</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1544</v>
      </c>
      <c r="B5" s="105" t="s">
        <v>1466</v>
      </c>
      <c r="C5" s="105" t="s">
        <v>496</v>
      </c>
      <c r="D5" s="105" t="s">
        <v>542</v>
      </c>
      <c r="E5" s="105" t="s">
        <v>1447</v>
      </c>
      <c r="F5" s="105" t="s">
        <v>1466</v>
      </c>
      <c r="M5" s="105" t="s">
        <v>1467</v>
      </c>
      <c r="N5" s="105" t="s">
        <v>1448</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1544</v>
      </c>
      <c r="B6" s="105" t="s">
        <v>1468</v>
      </c>
      <c r="C6" s="105" t="s">
        <v>496</v>
      </c>
      <c r="D6" s="105" t="s">
        <v>542</v>
      </c>
      <c r="E6" s="105" t="s">
        <v>1447</v>
      </c>
      <c r="F6" s="105" t="s">
        <v>1468</v>
      </c>
      <c r="M6" s="105" t="s">
        <v>1469</v>
      </c>
      <c r="N6" s="105" t="s">
        <v>1448</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1542</v>
      </c>
      <c r="B7" s="105" t="s">
        <v>1450</v>
      </c>
      <c r="C7" s="105" t="s">
        <v>496</v>
      </c>
      <c r="D7" s="105" t="s">
        <v>1456</v>
      </c>
      <c r="E7" s="105" t="s">
        <v>1450</v>
      </c>
      <c r="M7" s="105" t="s">
        <v>1471</v>
      </c>
      <c r="N7" s="105" t="s">
        <v>1545</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1542</v>
      </c>
      <c r="B8" s="105" t="s">
        <v>1450</v>
      </c>
      <c r="C8" s="105" t="s">
        <v>496</v>
      </c>
      <c r="D8" s="105" t="s">
        <v>1456</v>
      </c>
      <c r="E8" s="105" t="s">
        <v>1450</v>
      </c>
      <c r="M8" s="105" t="s">
        <v>1471</v>
      </c>
      <c r="N8" s="105" t="s">
        <v>1545</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1542</v>
      </c>
      <c r="B9" s="105" t="s">
        <v>1451</v>
      </c>
      <c r="C9" s="105" t="s">
        <v>496</v>
      </c>
      <c r="D9" s="105" t="s">
        <v>1456</v>
      </c>
      <c r="E9" s="105" t="s">
        <v>1451</v>
      </c>
      <c r="M9" s="105" t="s">
        <v>1472</v>
      </c>
      <c r="N9" s="105" t="s">
        <v>1545</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1542</v>
      </c>
      <c r="B10" s="105" t="s">
        <v>1473</v>
      </c>
      <c r="C10" s="105" t="s">
        <v>496</v>
      </c>
      <c r="D10" s="105" t="s">
        <v>1456</v>
      </c>
      <c r="E10" s="105" t="s">
        <v>1473</v>
      </c>
      <c r="M10" s="105" t="s">
        <v>1474</v>
      </c>
      <c r="N10" s="105" t="s">
        <v>1545</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1542</v>
      </c>
      <c r="B11" s="105" t="s">
        <v>1473</v>
      </c>
      <c r="C11" s="105" t="s">
        <v>496</v>
      </c>
      <c r="D11" s="105" t="s">
        <v>1456</v>
      </c>
      <c r="E11" s="105" t="s">
        <v>1473</v>
      </c>
      <c r="M11" s="105" t="s">
        <v>1474</v>
      </c>
      <c r="N11" s="105" t="s">
        <v>1545</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1542</v>
      </c>
      <c r="B12" s="105" t="s">
        <v>1473</v>
      </c>
      <c r="C12" s="105" t="s">
        <v>496</v>
      </c>
      <c r="D12" s="105" t="s">
        <v>1456</v>
      </c>
      <c r="E12" s="105" t="s">
        <v>1473</v>
      </c>
      <c r="M12" s="105" t="s">
        <v>1474</v>
      </c>
      <c r="N12" s="105" t="s">
        <v>1545</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1542</v>
      </c>
      <c r="B13" s="105" t="s">
        <v>1473</v>
      </c>
      <c r="C13" s="105" t="s">
        <v>496</v>
      </c>
      <c r="D13" s="105" t="s">
        <v>1456</v>
      </c>
      <c r="E13" s="105" t="s">
        <v>1473</v>
      </c>
      <c r="M13" s="105" t="s">
        <v>1474</v>
      </c>
      <c r="N13" s="105" t="s">
        <v>1545</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1542</v>
      </c>
      <c r="B14" s="105" t="s">
        <v>1475</v>
      </c>
      <c r="C14" s="105" t="s">
        <v>496</v>
      </c>
      <c r="D14" s="105" t="s">
        <v>1456</v>
      </c>
      <c r="E14" s="105" t="s">
        <v>1475</v>
      </c>
      <c r="M14" s="105" t="s">
        <v>1476</v>
      </c>
      <c r="N14" s="105" t="s">
        <v>1436</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1542</v>
      </c>
      <c r="B15" s="105" t="s">
        <v>1452</v>
      </c>
      <c r="C15" s="105" t="s">
        <v>496</v>
      </c>
      <c r="D15" s="105" t="s">
        <v>1457</v>
      </c>
      <c r="E15" s="105" t="s">
        <v>1452</v>
      </c>
      <c r="M15" s="105" t="s">
        <v>1477</v>
      </c>
      <c r="N15" s="105" t="s">
        <v>1543</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1542</v>
      </c>
      <c r="B16" s="105" t="s">
        <v>1452</v>
      </c>
      <c r="C16" s="105" t="s">
        <v>496</v>
      </c>
      <c r="D16" s="105" t="s">
        <v>1457</v>
      </c>
      <c r="E16" s="105" t="s">
        <v>1452</v>
      </c>
      <c r="M16" s="105" t="s">
        <v>1477</v>
      </c>
      <c r="N16" s="105" t="s">
        <v>1448</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1542</v>
      </c>
      <c r="B17" s="105" t="s">
        <v>1452</v>
      </c>
      <c r="C17" s="105" t="s">
        <v>496</v>
      </c>
      <c r="D17" s="105" t="s">
        <v>1457</v>
      </c>
      <c r="E17" s="105" t="s">
        <v>1452</v>
      </c>
      <c r="M17" s="105" t="s">
        <v>1477</v>
      </c>
      <c r="N17" s="105" t="s">
        <v>1543</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1542</v>
      </c>
      <c r="B18" s="105" t="s">
        <v>1452</v>
      </c>
      <c r="C18" s="105" t="s">
        <v>496</v>
      </c>
      <c r="D18" s="105" t="s">
        <v>1457</v>
      </c>
      <c r="E18" s="105" t="s">
        <v>1452</v>
      </c>
      <c r="M18" s="105" t="s">
        <v>1477</v>
      </c>
      <c r="N18" s="105" t="s">
        <v>1448</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1542</v>
      </c>
      <c r="B19" s="105" t="s">
        <v>1453</v>
      </c>
      <c r="C19" s="105" t="s">
        <v>496</v>
      </c>
      <c r="D19" s="105" t="s">
        <v>1457</v>
      </c>
      <c r="E19" s="105" t="s">
        <v>1453</v>
      </c>
      <c r="M19" s="105" t="s">
        <v>1478</v>
      </c>
      <c r="N19" s="105" t="s">
        <v>1454</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1542</v>
      </c>
      <c r="B20" s="105" t="s">
        <v>1453</v>
      </c>
      <c r="C20" s="105" t="s">
        <v>496</v>
      </c>
      <c r="D20" s="105" t="s">
        <v>1457</v>
      </c>
      <c r="E20" s="105" t="s">
        <v>1453</v>
      </c>
      <c r="M20" s="105" t="s">
        <v>1478</v>
      </c>
      <c r="N20" s="105" t="s">
        <v>1454</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1542</v>
      </c>
      <c r="B21" s="105" t="s">
        <v>1479</v>
      </c>
      <c r="C21" s="105" t="s">
        <v>496</v>
      </c>
      <c r="D21" s="105" t="s">
        <v>1457</v>
      </c>
      <c r="E21" s="105" t="s">
        <v>1479</v>
      </c>
      <c r="M21" s="105" t="s">
        <v>1480</v>
      </c>
      <c r="N21" s="105" t="s">
        <v>1546</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1542</v>
      </c>
      <c r="B22" s="105" t="s">
        <v>1479</v>
      </c>
      <c r="C22" s="105" t="s">
        <v>496</v>
      </c>
      <c r="D22" s="105" t="s">
        <v>1457</v>
      </c>
      <c r="E22" s="105" t="s">
        <v>1479</v>
      </c>
      <c r="M22" s="105" t="s">
        <v>1480</v>
      </c>
      <c r="N22" s="105" t="s">
        <v>1547</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1542</v>
      </c>
      <c r="B23" s="105" t="s">
        <v>1481</v>
      </c>
      <c r="C23" s="105" t="s">
        <v>496</v>
      </c>
      <c r="D23" s="105" t="s">
        <v>1457</v>
      </c>
      <c r="E23" s="105" t="s">
        <v>1481</v>
      </c>
      <c r="M23" s="105" t="s">
        <v>1482</v>
      </c>
      <c r="N23" s="105" t="s">
        <v>1436</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1542</v>
      </c>
      <c r="B24" s="105" t="s">
        <v>1462</v>
      </c>
      <c r="C24" s="105" t="s">
        <v>790</v>
      </c>
      <c r="D24" s="105" t="s">
        <v>1461</v>
      </c>
      <c r="E24" s="105" t="s">
        <v>1462</v>
      </c>
      <c r="M24" s="105" t="s">
        <v>1483</v>
      </c>
      <c r="N24" s="105" t="s">
        <v>1436</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1542</v>
      </c>
      <c r="B25" s="105" t="s">
        <v>1462</v>
      </c>
      <c r="C25" s="105" t="s">
        <v>790</v>
      </c>
      <c r="D25" s="105" t="s">
        <v>1461</v>
      </c>
      <c r="E25" s="105" t="s">
        <v>1462</v>
      </c>
      <c r="M25" s="105" t="s">
        <v>1483</v>
      </c>
      <c r="N25" s="105" t="s">
        <v>1436</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1542</v>
      </c>
      <c r="B26" s="105" t="s">
        <v>1462</v>
      </c>
      <c r="C26" s="105" t="s">
        <v>790</v>
      </c>
      <c r="D26" s="105" t="s">
        <v>1461</v>
      </c>
      <c r="E26" s="105" t="s">
        <v>1462</v>
      </c>
      <c r="M26" s="105" t="s">
        <v>1483</v>
      </c>
      <c r="N26" s="105" t="s">
        <v>1436</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1544</v>
      </c>
      <c r="B27" s="105" t="s">
        <v>1464</v>
      </c>
      <c r="C27" s="105" t="s">
        <v>790</v>
      </c>
      <c r="D27" s="105" t="s">
        <v>1461</v>
      </c>
      <c r="E27" s="105" t="s">
        <v>1463</v>
      </c>
      <c r="F27" s="105" t="s">
        <v>1464</v>
      </c>
      <c r="M27" s="105" t="s">
        <v>1484</v>
      </c>
      <c r="N27" s="105" t="s">
        <v>1436</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1544</v>
      </c>
      <c r="B28" s="105" t="s">
        <v>1464</v>
      </c>
      <c r="C28" s="105" t="s">
        <v>790</v>
      </c>
      <c r="D28" s="105" t="s">
        <v>1461</v>
      </c>
      <c r="E28" s="105" t="s">
        <v>1463</v>
      </c>
      <c r="F28" s="105" t="s">
        <v>1464</v>
      </c>
      <c r="M28" s="105" t="s">
        <v>1484</v>
      </c>
      <c r="N28" s="105" t="s">
        <v>1436</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1544</v>
      </c>
      <c r="B29" s="105" t="s">
        <v>1465</v>
      </c>
      <c r="C29" s="105" t="s">
        <v>790</v>
      </c>
      <c r="D29" s="105" t="s">
        <v>1461</v>
      </c>
      <c r="E29" s="105" t="s">
        <v>1463</v>
      </c>
      <c r="F29" s="105" t="s">
        <v>1465</v>
      </c>
      <c r="M29" s="105" t="s">
        <v>1485</v>
      </c>
      <c r="N29" s="105" t="s">
        <v>1548</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1544</v>
      </c>
      <c r="B30" s="105" t="s">
        <v>1465</v>
      </c>
      <c r="C30" s="105" t="s">
        <v>790</v>
      </c>
      <c r="D30" s="105" t="s">
        <v>1461</v>
      </c>
      <c r="E30" s="105" t="s">
        <v>1463</v>
      </c>
      <c r="F30" s="105" t="s">
        <v>1465</v>
      </c>
      <c r="M30" s="105" t="s">
        <v>1485</v>
      </c>
      <c r="N30" s="105" t="s">
        <v>1448</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1544</v>
      </c>
      <c r="B31" s="105" t="s">
        <v>1465</v>
      </c>
      <c r="C31" s="105" t="s">
        <v>790</v>
      </c>
      <c r="D31" s="105" t="s">
        <v>1461</v>
      </c>
      <c r="E31" s="105" t="s">
        <v>1463</v>
      </c>
      <c r="F31" s="105" t="s">
        <v>1465</v>
      </c>
      <c r="M31" s="105" t="s">
        <v>1485</v>
      </c>
      <c r="N31" s="105" t="s">
        <v>1548</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1544</v>
      </c>
      <c r="B32" s="105" t="s">
        <v>1465</v>
      </c>
      <c r="C32" s="105" t="s">
        <v>790</v>
      </c>
      <c r="D32" s="105" t="s">
        <v>1461</v>
      </c>
      <c r="E32" s="105" t="s">
        <v>1463</v>
      </c>
      <c r="F32" s="105" t="s">
        <v>1465</v>
      </c>
      <c r="M32" s="105" t="s">
        <v>1485</v>
      </c>
      <c r="N32" s="105" t="s">
        <v>1448</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1542</v>
      </c>
      <c r="B33" s="105" t="s">
        <v>1486</v>
      </c>
      <c r="C33" s="105" t="s">
        <v>790</v>
      </c>
      <c r="D33" s="105" t="s">
        <v>1532</v>
      </c>
      <c r="E33" s="105" t="s">
        <v>1486</v>
      </c>
      <c r="M33" s="105" t="s">
        <v>1487</v>
      </c>
      <c r="N33" s="105" t="s">
        <v>1436</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1542</v>
      </c>
      <c r="B34" s="105" t="s">
        <v>1486</v>
      </c>
      <c r="C34" s="105" t="s">
        <v>790</v>
      </c>
      <c r="D34" s="105" t="s">
        <v>1532</v>
      </c>
      <c r="E34" s="105" t="s">
        <v>1486</v>
      </c>
      <c r="M34" s="105" t="s">
        <v>1487</v>
      </c>
      <c r="N34" s="105" t="s">
        <v>1436</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1542</v>
      </c>
      <c r="B35" s="105" t="s">
        <v>1486</v>
      </c>
      <c r="C35" s="105" t="s">
        <v>790</v>
      </c>
      <c r="D35" s="105" t="s">
        <v>1532</v>
      </c>
      <c r="E35" s="105" t="s">
        <v>1486</v>
      </c>
      <c r="M35" s="105" t="s">
        <v>1487</v>
      </c>
      <c r="N35" s="105" t="s">
        <v>1436</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1544</v>
      </c>
      <c r="B36" s="105" t="s">
        <v>1489</v>
      </c>
      <c r="C36" s="105" t="s">
        <v>790</v>
      </c>
      <c r="D36" s="105" t="s">
        <v>1532</v>
      </c>
      <c r="E36" s="105" t="s">
        <v>1488</v>
      </c>
      <c r="F36" s="105" t="s">
        <v>1489</v>
      </c>
      <c r="M36" s="105" t="s">
        <v>1490</v>
      </c>
      <c r="N36" s="105" t="s">
        <v>1436</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1544</v>
      </c>
      <c r="B37" s="105" t="s">
        <v>1489</v>
      </c>
      <c r="C37" s="105" t="s">
        <v>790</v>
      </c>
      <c r="D37" s="105" t="s">
        <v>1532</v>
      </c>
      <c r="E37" s="105" t="s">
        <v>1488</v>
      </c>
      <c r="F37" s="105" t="s">
        <v>1489</v>
      </c>
      <c r="M37" s="105" t="s">
        <v>1490</v>
      </c>
      <c r="N37" s="105" t="s">
        <v>1436</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1544</v>
      </c>
      <c r="B38" s="105" t="s">
        <v>1491</v>
      </c>
      <c r="C38" s="105" t="s">
        <v>790</v>
      </c>
      <c r="D38" s="105" t="s">
        <v>1532</v>
      </c>
      <c r="E38" s="105" t="s">
        <v>1488</v>
      </c>
      <c r="F38" s="105" t="s">
        <v>1491</v>
      </c>
      <c r="M38" s="105" t="s">
        <v>1492</v>
      </c>
      <c r="N38" s="105" t="s">
        <v>1436</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1544</v>
      </c>
      <c r="B39" s="105" t="s">
        <v>1491</v>
      </c>
      <c r="C39" s="105" t="s">
        <v>790</v>
      </c>
      <c r="D39" s="105" t="s">
        <v>1532</v>
      </c>
      <c r="E39" s="105" t="s">
        <v>1488</v>
      </c>
      <c r="F39" s="105" t="s">
        <v>1491</v>
      </c>
      <c r="M39" s="105" t="s">
        <v>1492</v>
      </c>
      <c r="N39" s="105" t="s">
        <v>1436</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1544</v>
      </c>
      <c r="B40" s="105" t="s">
        <v>1493</v>
      </c>
      <c r="C40" s="105" t="s">
        <v>790</v>
      </c>
      <c r="D40" s="105" t="s">
        <v>1532</v>
      </c>
      <c r="E40" s="105" t="s">
        <v>1488</v>
      </c>
      <c r="F40" s="105" t="s">
        <v>1493</v>
      </c>
      <c r="M40" s="105" t="s">
        <v>1494</v>
      </c>
      <c r="N40" s="105" t="s">
        <v>1436</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1544</v>
      </c>
      <c r="B41" s="105" t="s">
        <v>1493</v>
      </c>
      <c r="C41" s="105" t="s">
        <v>790</v>
      </c>
      <c r="D41" s="105" t="s">
        <v>1532</v>
      </c>
      <c r="E41" s="105" t="s">
        <v>1488</v>
      </c>
      <c r="F41" s="105" t="s">
        <v>1493</v>
      </c>
      <c r="M41" s="105" t="s">
        <v>1494</v>
      </c>
      <c r="N41" s="105" t="s">
        <v>1436</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1544</v>
      </c>
      <c r="B42" s="105" t="s">
        <v>1493</v>
      </c>
      <c r="C42" s="105" t="s">
        <v>790</v>
      </c>
      <c r="D42" s="105" t="s">
        <v>1532</v>
      </c>
      <c r="E42" s="105" t="s">
        <v>1488</v>
      </c>
      <c r="F42" s="105" t="s">
        <v>1493</v>
      </c>
      <c r="M42" s="105" t="s">
        <v>1494</v>
      </c>
      <c r="N42" s="105" t="s">
        <v>1436</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1542</v>
      </c>
      <c r="B43" s="105" t="s">
        <v>1495</v>
      </c>
      <c r="C43" s="105" t="s">
        <v>790</v>
      </c>
      <c r="D43" s="105" t="s">
        <v>1532</v>
      </c>
      <c r="E43" s="105" t="s">
        <v>1495</v>
      </c>
      <c r="M43" s="105" t="s">
        <v>1496</v>
      </c>
      <c r="N43" s="105" t="s">
        <v>1436</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1544</v>
      </c>
      <c r="B44" s="105" t="s">
        <v>1498</v>
      </c>
      <c r="C44" s="105" t="s">
        <v>790</v>
      </c>
      <c r="D44" s="105" t="s">
        <v>1533</v>
      </c>
      <c r="E44" s="105" t="s">
        <v>1497</v>
      </c>
      <c r="F44" s="105" t="s">
        <v>1498</v>
      </c>
      <c r="M44" s="105" t="s">
        <v>1499</v>
      </c>
      <c r="N44" s="105" t="s">
        <v>1436</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1549</v>
      </c>
      <c r="B45" s="105" t="s">
        <v>1502</v>
      </c>
      <c r="C45" s="105" t="s">
        <v>790</v>
      </c>
      <c r="D45" s="105" t="s">
        <v>1533</v>
      </c>
      <c r="E45" s="105" t="s">
        <v>1497</v>
      </c>
      <c r="F45" s="105" t="s">
        <v>1500</v>
      </c>
      <c r="G45" s="105" t="s">
        <v>1501</v>
      </c>
      <c r="H45" s="105" t="s">
        <v>1502</v>
      </c>
      <c r="M45" s="105" t="s">
        <v>1503</v>
      </c>
      <c r="N45" s="105" t="s">
        <v>1436</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1549</v>
      </c>
      <c r="B46" s="105" t="s">
        <v>1502</v>
      </c>
      <c r="C46" s="105" t="s">
        <v>790</v>
      </c>
      <c r="D46" s="105" t="s">
        <v>1533</v>
      </c>
      <c r="E46" s="105" t="s">
        <v>1497</v>
      </c>
      <c r="F46" s="105" t="s">
        <v>1500</v>
      </c>
      <c r="G46" s="105" t="s">
        <v>1501</v>
      </c>
      <c r="H46" s="105" t="s">
        <v>1502</v>
      </c>
      <c r="M46" s="105" t="s">
        <v>1503</v>
      </c>
      <c r="N46" s="105" t="s">
        <v>1436</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1549</v>
      </c>
      <c r="B47" s="105" t="s">
        <v>1504</v>
      </c>
      <c r="C47" s="105" t="s">
        <v>790</v>
      </c>
      <c r="D47" s="105" t="s">
        <v>1533</v>
      </c>
      <c r="E47" s="105" t="s">
        <v>1497</v>
      </c>
      <c r="F47" s="105" t="s">
        <v>1500</v>
      </c>
      <c r="G47" s="105" t="s">
        <v>1501</v>
      </c>
      <c r="H47" s="105" t="s">
        <v>1504</v>
      </c>
      <c r="M47" s="105" t="s">
        <v>1505</v>
      </c>
      <c r="N47" s="105" t="s">
        <v>1436</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1549</v>
      </c>
      <c r="B48" s="105" t="s">
        <v>1504</v>
      </c>
      <c r="C48" s="105" t="s">
        <v>790</v>
      </c>
      <c r="D48" s="105" t="s">
        <v>1533</v>
      </c>
      <c r="E48" s="105" t="s">
        <v>1497</v>
      </c>
      <c r="F48" s="105" t="s">
        <v>1500</v>
      </c>
      <c r="G48" s="105" t="s">
        <v>1501</v>
      </c>
      <c r="H48" s="105" t="s">
        <v>1504</v>
      </c>
      <c r="M48" s="105" t="s">
        <v>1505</v>
      </c>
      <c r="N48" s="105" t="s">
        <v>1436</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1549</v>
      </c>
      <c r="B49" s="105" t="s">
        <v>1504</v>
      </c>
      <c r="C49" s="105" t="s">
        <v>790</v>
      </c>
      <c r="D49" s="105" t="s">
        <v>1533</v>
      </c>
      <c r="E49" s="105" t="s">
        <v>1497</v>
      </c>
      <c r="F49" s="105" t="s">
        <v>1500</v>
      </c>
      <c r="G49" s="105" t="s">
        <v>1501</v>
      </c>
      <c r="H49" s="105" t="s">
        <v>1504</v>
      </c>
      <c r="M49" s="105" t="s">
        <v>1505</v>
      </c>
      <c r="N49" s="105" t="s">
        <v>1436</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1549</v>
      </c>
      <c r="B50" s="105" t="s">
        <v>1504</v>
      </c>
      <c r="C50" s="105" t="s">
        <v>790</v>
      </c>
      <c r="D50" s="105" t="s">
        <v>1533</v>
      </c>
      <c r="E50" s="105" t="s">
        <v>1497</v>
      </c>
      <c r="F50" s="105" t="s">
        <v>1500</v>
      </c>
      <c r="G50" s="105" t="s">
        <v>1501</v>
      </c>
      <c r="H50" s="105" t="s">
        <v>1504</v>
      </c>
      <c r="M50" s="105" t="s">
        <v>1505</v>
      </c>
      <c r="N50" s="105" t="s">
        <v>1436</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1549</v>
      </c>
      <c r="B51" s="105" t="s">
        <v>1506</v>
      </c>
      <c r="C51" s="105" t="s">
        <v>790</v>
      </c>
      <c r="D51" s="105" t="s">
        <v>1533</v>
      </c>
      <c r="E51" s="105" t="s">
        <v>1497</v>
      </c>
      <c r="F51" s="105" t="s">
        <v>1500</v>
      </c>
      <c r="G51" s="105" t="s">
        <v>1501</v>
      </c>
      <c r="H51" s="105" t="s">
        <v>1506</v>
      </c>
      <c r="M51" s="105" t="s">
        <v>1507</v>
      </c>
      <c r="N51" s="105" t="s">
        <v>1436</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1549</v>
      </c>
      <c r="B52" s="105" t="s">
        <v>1506</v>
      </c>
      <c r="C52" s="105" t="s">
        <v>790</v>
      </c>
      <c r="D52" s="105" t="s">
        <v>1533</v>
      </c>
      <c r="E52" s="105" t="s">
        <v>1497</v>
      </c>
      <c r="F52" s="105" t="s">
        <v>1500</v>
      </c>
      <c r="G52" s="105" t="s">
        <v>1501</v>
      </c>
      <c r="H52" s="105" t="s">
        <v>1506</v>
      </c>
      <c r="M52" s="105" t="s">
        <v>1507</v>
      </c>
      <c r="N52" s="105" t="s">
        <v>1436</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1549</v>
      </c>
      <c r="B53" s="105" t="s">
        <v>1506</v>
      </c>
      <c r="C53" s="105" t="s">
        <v>790</v>
      </c>
      <c r="D53" s="105" t="s">
        <v>1533</v>
      </c>
      <c r="E53" s="105" t="s">
        <v>1497</v>
      </c>
      <c r="F53" s="105" t="s">
        <v>1500</v>
      </c>
      <c r="G53" s="105" t="s">
        <v>1501</v>
      </c>
      <c r="H53" s="105" t="s">
        <v>1506</v>
      </c>
      <c r="M53" s="105" t="s">
        <v>1507</v>
      </c>
      <c r="N53" s="105" t="s">
        <v>1436</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1550</v>
      </c>
      <c r="B54" s="105" t="s">
        <v>1508</v>
      </c>
      <c r="C54" s="105" t="s">
        <v>790</v>
      </c>
      <c r="D54" s="105" t="s">
        <v>1533</v>
      </c>
      <c r="E54" s="105" t="s">
        <v>1497</v>
      </c>
      <c r="F54" s="105" t="s">
        <v>1500</v>
      </c>
      <c r="G54" s="105" t="s">
        <v>1508</v>
      </c>
      <c r="M54" s="105" t="s">
        <v>1509</v>
      </c>
      <c r="N54" s="105" t="s">
        <v>1436</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1550</v>
      </c>
      <c r="B55" s="105" t="s">
        <v>1508</v>
      </c>
      <c r="C55" s="105" t="s">
        <v>790</v>
      </c>
      <c r="D55" s="105" t="s">
        <v>1533</v>
      </c>
      <c r="E55" s="105" t="s">
        <v>1497</v>
      </c>
      <c r="F55" s="105" t="s">
        <v>1500</v>
      </c>
      <c r="G55" s="105" t="s">
        <v>1508</v>
      </c>
      <c r="M55" s="105" t="s">
        <v>1509</v>
      </c>
      <c r="N55" s="105" t="s">
        <v>1436</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1550</v>
      </c>
      <c r="B56" s="105" t="s">
        <v>1508</v>
      </c>
      <c r="C56" s="105" t="s">
        <v>790</v>
      </c>
      <c r="D56" s="105" t="s">
        <v>1533</v>
      </c>
      <c r="E56" s="105" t="s">
        <v>1497</v>
      </c>
      <c r="F56" s="105" t="s">
        <v>1500</v>
      </c>
      <c r="G56" s="105" t="s">
        <v>1508</v>
      </c>
      <c r="M56" s="105" t="s">
        <v>1509</v>
      </c>
      <c r="N56" s="105" t="s">
        <v>1436</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1550</v>
      </c>
      <c r="B57" s="105" t="s">
        <v>1508</v>
      </c>
      <c r="C57" s="105" t="s">
        <v>790</v>
      </c>
      <c r="D57" s="105" t="s">
        <v>1533</v>
      </c>
      <c r="E57" s="105" t="s">
        <v>1497</v>
      </c>
      <c r="F57" s="105" t="s">
        <v>1500</v>
      </c>
      <c r="G57" s="105" t="s">
        <v>1508</v>
      </c>
      <c r="M57" s="105" t="s">
        <v>1509</v>
      </c>
      <c r="N57" s="105" t="s">
        <v>1436</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1550</v>
      </c>
      <c r="B58" s="105" t="s">
        <v>1508</v>
      </c>
      <c r="C58" s="105" t="s">
        <v>790</v>
      </c>
      <c r="D58" s="105" t="s">
        <v>1533</v>
      </c>
      <c r="E58" s="105" t="s">
        <v>1497</v>
      </c>
      <c r="F58" s="105" t="s">
        <v>1500</v>
      </c>
      <c r="G58" s="105" t="s">
        <v>1508</v>
      </c>
      <c r="M58" s="105" t="s">
        <v>1509</v>
      </c>
      <c r="N58" s="105" t="s">
        <v>1436</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1550</v>
      </c>
      <c r="B59" s="105" t="s">
        <v>1508</v>
      </c>
      <c r="C59" s="105" t="s">
        <v>790</v>
      </c>
      <c r="D59" s="105" t="s">
        <v>1533</v>
      </c>
      <c r="E59" s="105" t="s">
        <v>1497</v>
      </c>
      <c r="F59" s="105" t="s">
        <v>1500</v>
      </c>
      <c r="G59" s="105" t="s">
        <v>1508</v>
      </c>
      <c r="M59" s="105" t="s">
        <v>1509</v>
      </c>
      <c r="N59" s="105" t="s">
        <v>1436</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1550</v>
      </c>
      <c r="B60" s="105" t="s">
        <v>1508</v>
      </c>
      <c r="C60" s="105" t="s">
        <v>790</v>
      </c>
      <c r="D60" s="105" t="s">
        <v>1533</v>
      </c>
      <c r="E60" s="105" t="s">
        <v>1497</v>
      </c>
      <c r="F60" s="105" t="s">
        <v>1500</v>
      </c>
      <c r="G60" s="105" t="s">
        <v>1508</v>
      </c>
      <c r="M60" s="105" t="s">
        <v>1509</v>
      </c>
      <c r="N60" s="105" t="s">
        <v>1436</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1550</v>
      </c>
      <c r="B61" s="105" t="s">
        <v>1508</v>
      </c>
      <c r="C61" s="105" t="s">
        <v>790</v>
      </c>
      <c r="D61" s="105" t="s">
        <v>1533</v>
      </c>
      <c r="E61" s="105" t="s">
        <v>1497</v>
      </c>
      <c r="F61" s="105" t="s">
        <v>1500</v>
      </c>
      <c r="G61" s="105" t="s">
        <v>1508</v>
      </c>
      <c r="M61" s="105" t="s">
        <v>1509</v>
      </c>
      <c r="N61" s="105" t="s">
        <v>1436</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1550</v>
      </c>
      <c r="B62" s="105" t="s">
        <v>1508</v>
      </c>
      <c r="C62" s="105" t="s">
        <v>790</v>
      </c>
      <c r="D62" s="105" t="s">
        <v>1533</v>
      </c>
      <c r="E62" s="105" t="s">
        <v>1497</v>
      </c>
      <c r="F62" s="105" t="s">
        <v>1500</v>
      </c>
      <c r="G62" s="105" t="s">
        <v>1508</v>
      </c>
      <c r="M62" s="105" t="s">
        <v>1509</v>
      </c>
      <c r="N62" s="105" t="s">
        <v>1436</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1550</v>
      </c>
      <c r="B63" s="105" t="s">
        <v>1510</v>
      </c>
      <c r="C63" s="105" t="s">
        <v>790</v>
      </c>
      <c r="D63" s="105" t="s">
        <v>1533</v>
      </c>
      <c r="E63" s="105" t="s">
        <v>1497</v>
      </c>
      <c r="F63" s="105" t="s">
        <v>1500</v>
      </c>
      <c r="G63" s="105" t="s">
        <v>1510</v>
      </c>
      <c r="M63" s="105" t="s">
        <v>1511</v>
      </c>
      <c r="N63" s="105" t="s">
        <v>1436</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1550</v>
      </c>
      <c r="B64" s="105" t="s">
        <v>1510</v>
      </c>
      <c r="C64" s="105" t="s">
        <v>790</v>
      </c>
      <c r="D64" s="105" t="s">
        <v>1533</v>
      </c>
      <c r="E64" s="105" t="s">
        <v>1497</v>
      </c>
      <c r="F64" s="105" t="s">
        <v>1500</v>
      </c>
      <c r="G64" s="105" t="s">
        <v>1510</v>
      </c>
      <c r="M64" s="105" t="s">
        <v>1511</v>
      </c>
      <c r="N64" s="105" t="s">
        <v>1436</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1550</v>
      </c>
      <c r="B65" s="105" t="s">
        <v>1510</v>
      </c>
      <c r="C65" s="105" t="s">
        <v>790</v>
      </c>
      <c r="D65" s="105" t="s">
        <v>1533</v>
      </c>
      <c r="E65" s="105" t="s">
        <v>1497</v>
      </c>
      <c r="F65" s="105" t="s">
        <v>1500</v>
      </c>
      <c r="G65" s="105" t="s">
        <v>1510</v>
      </c>
      <c r="M65" s="105" t="s">
        <v>1511</v>
      </c>
      <c r="N65" s="105" t="s">
        <v>1436</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1550</v>
      </c>
      <c r="B66" s="105" t="s">
        <v>1510</v>
      </c>
      <c r="C66" s="105" t="s">
        <v>790</v>
      </c>
      <c r="D66" s="105" t="s">
        <v>1533</v>
      </c>
      <c r="E66" s="105" t="s">
        <v>1497</v>
      </c>
      <c r="F66" s="105" t="s">
        <v>1500</v>
      </c>
      <c r="G66" s="105" t="s">
        <v>1510</v>
      </c>
      <c r="M66" s="105" t="s">
        <v>1511</v>
      </c>
      <c r="N66" s="105" t="s">
        <v>1436</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1550</v>
      </c>
      <c r="B67" s="105" t="s">
        <v>1510</v>
      </c>
      <c r="C67" s="105" t="s">
        <v>790</v>
      </c>
      <c r="D67" s="105" t="s">
        <v>1533</v>
      </c>
      <c r="E67" s="105" t="s">
        <v>1497</v>
      </c>
      <c r="F67" s="105" t="s">
        <v>1500</v>
      </c>
      <c r="G67" s="105" t="s">
        <v>1510</v>
      </c>
      <c r="M67" s="105" t="s">
        <v>1511</v>
      </c>
      <c r="N67" s="105" t="s">
        <v>1436</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1550</v>
      </c>
      <c r="B68" s="105" t="s">
        <v>1510</v>
      </c>
      <c r="C68" s="105" t="s">
        <v>790</v>
      </c>
      <c r="D68" s="105" t="s">
        <v>1533</v>
      </c>
      <c r="E68" s="105" t="s">
        <v>1497</v>
      </c>
      <c r="F68" s="105" t="s">
        <v>1500</v>
      </c>
      <c r="G68" s="105" t="s">
        <v>1510</v>
      </c>
      <c r="M68" s="105" t="s">
        <v>1511</v>
      </c>
      <c r="N68" s="105" t="s">
        <v>1436</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1550</v>
      </c>
      <c r="B69" s="105" t="s">
        <v>1510</v>
      </c>
      <c r="C69" s="105" t="s">
        <v>790</v>
      </c>
      <c r="D69" s="105" t="s">
        <v>1533</v>
      </c>
      <c r="E69" s="105" t="s">
        <v>1497</v>
      </c>
      <c r="F69" s="105" t="s">
        <v>1500</v>
      </c>
      <c r="G69" s="105" t="s">
        <v>1510</v>
      </c>
      <c r="M69" s="105" t="s">
        <v>1511</v>
      </c>
      <c r="N69" s="105" t="s">
        <v>1436</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1550</v>
      </c>
      <c r="B70" s="105" t="s">
        <v>1510</v>
      </c>
      <c r="C70" s="105" t="s">
        <v>790</v>
      </c>
      <c r="D70" s="105" t="s">
        <v>1533</v>
      </c>
      <c r="E70" s="105" t="s">
        <v>1497</v>
      </c>
      <c r="F70" s="105" t="s">
        <v>1500</v>
      </c>
      <c r="G70" s="105" t="s">
        <v>1510</v>
      </c>
      <c r="M70" s="105" t="s">
        <v>1511</v>
      </c>
      <c r="N70" s="105" t="s">
        <v>1436</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1550</v>
      </c>
      <c r="B71" s="105" t="s">
        <v>1510</v>
      </c>
      <c r="C71" s="105" t="s">
        <v>790</v>
      </c>
      <c r="D71" s="105" t="s">
        <v>1533</v>
      </c>
      <c r="E71" s="105" t="s">
        <v>1497</v>
      </c>
      <c r="F71" s="105" t="s">
        <v>1500</v>
      </c>
      <c r="G71" s="105" t="s">
        <v>1510</v>
      </c>
      <c r="M71" s="105" t="s">
        <v>1511</v>
      </c>
      <c r="N71" s="105" t="s">
        <v>1436</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1550</v>
      </c>
      <c r="B72" s="105" t="s">
        <v>1512</v>
      </c>
      <c r="C72" s="105" t="s">
        <v>790</v>
      </c>
      <c r="D72" s="105" t="s">
        <v>1533</v>
      </c>
      <c r="E72" s="105" t="s">
        <v>1497</v>
      </c>
      <c r="F72" s="105" t="s">
        <v>1500</v>
      </c>
      <c r="G72" s="105" t="s">
        <v>1512</v>
      </c>
      <c r="M72" s="105" t="s">
        <v>1513</v>
      </c>
      <c r="N72" s="105" t="s">
        <v>1436</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1550</v>
      </c>
      <c r="B73" s="105" t="s">
        <v>1512</v>
      </c>
      <c r="C73" s="105" t="s">
        <v>790</v>
      </c>
      <c r="D73" s="105" t="s">
        <v>1533</v>
      </c>
      <c r="E73" s="105" t="s">
        <v>1497</v>
      </c>
      <c r="F73" s="105" t="s">
        <v>1500</v>
      </c>
      <c r="G73" s="105" t="s">
        <v>1512</v>
      </c>
      <c r="M73" s="105" t="s">
        <v>1513</v>
      </c>
      <c r="N73" s="105" t="s">
        <v>1436</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1550</v>
      </c>
      <c r="B74" s="105" t="s">
        <v>1512</v>
      </c>
      <c r="C74" s="105" t="s">
        <v>790</v>
      </c>
      <c r="D74" s="105" t="s">
        <v>1533</v>
      </c>
      <c r="E74" s="105" t="s">
        <v>1497</v>
      </c>
      <c r="F74" s="105" t="s">
        <v>1500</v>
      </c>
      <c r="G74" s="105" t="s">
        <v>1512</v>
      </c>
      <c r="M74" s="105" t="s">
        <v>1513</v>
      </c>
      <c r="N74" s="105" t="s">
        <v>1436</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1550</v>
      </c>
      <c r="B75" s="105" t="s">
        <v>1512</v>
      </c>
      <c r="C75" s="105" t="s">
        <v>790</v>
      </c>
      <c r="D75" s="105" t="s">
        <v>1533</v>
      </c>
      <c r="E75" s="105" t="s">
        <v>1497</v>
      </c>
      <c r="F75" s="105" t="s">
        <v>1500</v>
      </c>
      <c r="G75" s="105" t="s">
        <v>1512</v>
      </c>
      <c r="M75" s="105" t="s">
        <v>1513</v>
      </c>
      <c r="N75" s="105" t="s">
        <v>1436</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1550</v>
      </c>
      <c r="B76" s="105" t="s">
        <v>1512</v>
      </c>
      <c r="C76" s="105" t="s">
        <v>790</v>
      </c>
      <c r="D76" s="105" t="s">
        <v>1533</v>
      </c>
      <c r="E76" s="105" t="s">
        <v>1497</v>
      </c>
      <c r="F76" s="105" t="s">
        <v>1500</v>
      </c>
      <c r="G76" s="105" t="s">
        <v>1512</v>
      </c>
      <c r="M76" s="105" t="s">
        <v>1513</v>
      </c>
      <c r="N76" s="105" t="s">
        <v>1436</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1550</v>
      </c>
      <c r="B77" s="105" t="s">
        <v>1512</v>
      </c>
      <c r="C77" s="105" t="s">
        <v>790</v>
      </c>
      <c r="D77" s="105" t="s">
        <v>1533</v>
      </c>
      <c r="E77" s="105" t="s">
        <v>1497</v>
      </c>
      <c r="F77" s="105" t="s">
        <v>1500</v>
      </c>
      <c r="G77" s="105" t="s">
        <v>1512</v>
      </c>
      <c r="M77" s="105" t="s">
        <v>1513</v>
      </c>
      <c r="N77" s="105" t="s">
        <v>1436</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1550</v>
      </c>
      <c r="B78" s="105" t="s">
        <v>1512</v>
      </c>
      <c r="C78" s="105" t="s">
        <v>790</v>
      </c>
      <c r="D78" s="105" t="s">
        <v>1533</v>
      </c>
      <c r="E78" s="105" t="s">
        <v>1497</v>
      </c>
      <c r="F78" s="105" t="s">
        <v>1500</v>
      </c>
      <c r="G78" s="105" t="s">
        <v>1512</v>
      </c>
      <c r="M78" s="105" t="s">
        <v>1513</v>
      </c>
      <c r="N78" s="105" t="s">
        <v>1436</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1544</v>
      </c>
      <c r="B79" s="105" t="s">
        <v>1515</v>
      </c>
      <c r="C79" s="105" t="s">
        <v>790</v>
      </c>
      <c r="D79" s="105" t="s">
        <v>1533</v>
      </c>
      <c r="E79" s="105" t="s">
        <v>1514</v>
      </c>
      <c r="F79" s="105" t="s">
        <v>1515</v>
      </c>
      <c r="M79" s="105" t="s">
        <v>1516</v>
      </c>
      <c r="N79" s="105" t="s">
        <v>1436</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1544</v>
      </c>
      <c r="B80" s="105" t="s">
        <v>1515</v>
      </c>
      <c r="C80" s="105" t="s">
        <v>790</v>
      </c>
      <c r="D80" s="105" t="s">
        <v>1533</v>
      </c>
      <c r="E80" s="105" t="s">
        <v>1514</v>
      </c>
      <c r="F80" s="105" t="s">
        <v>1515</v>
      </c>
      <c r="M80" s="105" t="s">
        <v>1516</v>
      </c>
      <c r="N80" s="105" t="s">
        <v>1436</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1544</v>
      </c>
      <c r="B81" s="105" t="s">
        <v>1515</v>
      </c>
      <c r="C81" s="105" t="s">
        <v>790</v>
      </c>
      <c r="D81" s="105" t="s">
        <v>1533</v>
      </c>
      <c r="E81" s="105" t="s">
        <v>1514</v>
      </c>
      <c r="F81" s="105" t="s">
        <v>1515</v>
      </c>
      <c r="M81" s="105" t="s">
        <v>1516</v>
      </c>
      <c r="N81" s="105" t="s">
        <v>1436</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1544</v>
      </c>
      <c r="B82" s="105" t="s">
        <v>1517</v>
      </c>
      <c r="C82" s="105" t="s">
        <v>790</v>
      </c>
      <c r="D82" s="105" t="s">
        <v>1533</v>
      </c>
      <c r="E82" s="105" t="s">
        <v>1514</v>
      </c>
      <c r="F82" s="105" t="s">
        <v>1517</v>
      </c>
      <c r="M82" s="105" t="s">
        <v>1518</v>
      </c>
      <c r="N82" s="105" t="s">
        <v>1436</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1544</v>
      </c>
      <c r="B83" s="105" t="s">
        <v>1521</v>
      </c>
      <c r="C83" s="105" t="s">
        <v>790</v>
      </c>
      <c r="D83" s="105" t="s">
        <v>1534</v>
      </c>
      <c r="E83" s="105" t="s">
        <v>1520</v>
      </c>
      <c r="F83" s="105" t="s">
        <v>1521</v>
      </c>
      <c r="M83" s="105" t="s">
        <v>1522</v>
      </c>
      <c r="N83" s="105" t="s">
        <v>1436</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1544</v>
      </c>
      <c r="B84" s="105" t="s">
        <v>1524</v>
      </c>
      <c r="C84" s="105" t="s">
        <v>790</v>
      </c>
      <c r="D84" s="105" t="s">
        <v>1534</v>
      </c>
      <c r="E84" s="105" t="s">
        <v>1523</v>
      </c>
      <c r="F84" s="105" t="s">
        <v>1524</v>
      </c>
      <c r="M84" s="105" t="s">
        <v>1525</v>
      </c>
      <c r="N84" s="105" t="s">
        <v>1436</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1544</v>
      </c>
      <c r="B85" s="105" t="s">
        <v>1524</v>
      </c>
      <c r="C85" s="105" t="s">
        <v>790</v>
      </c>
      <c r="D85" s="105" t="s">
        <v>1534</v>
      </c>
      <c r="E85" s="105" t="s">
        <v>1523</v>
      </c>
      <c r="F85" s="105" t="s">
        <v>1524</v>
      </c>
      <c r="M85" s="105" t="s">
        <v>1525</v>
      </c>
      <c r="N85" s="105" t="s">
        <v>1436</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1544</v>
      </c>
      <c r="B86" s="105" t="s">
        <v>1526</v>
      </c>
      <c r="C86" s="105" t="s">
        <v>790</v>
      </c>
      <c r="D86" s="105" t="s">
        <v>1534</v>
      </c>
      <c r="E86" s="105" t="s">
        <v>1523</v>
      </c>
      <c r="F86" s="105" t="s">
        <v>1526</v>
      </c>
      <c r="M86" s="105" t="s">
        <v>1527</v>
      </c>
      <c r="N86" s="105" t="s">
        <v>1436</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1544</v>
      </c>
      <c r="B87" s="105" t="s">
        <v>1528</v>
      </c>
      <c r="C87" s="105" t="s">
        <v>790</v>
      </c>
      <c r="D87" s="105" t="s">
        <v>1534</v>
      </c>
      <c r="E87" s="105" t="s">
        <v>1523</v>
      </c>
      <c r="F87" s="105" t="s">
        <v>1528</v>
      </c>
      <c r="M87" s="105" t="s">
        <v>1529</v>
      </c>
      <c r="N87" s="105" t="s">
        <v>1436</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1544</v>
      </c>
      <c r="B88" s="105" t="s">
        <v>1528</v>
      </c>
      <c r="C88" s="105" t="s">
        <v>790</v>
      </c>
      <c r="D88" s="105" t="s">
        <v>1534</v>
      </c>
      <c r="E88" s="105" t="s">
        <v>1523</v>
      </c>
      <c r="F88" s="105" t="s">
        <v>1528</v>
      </c>
      <c r="M88" s="105" t="s">
        <v>1529</v>
      </c>
      <c r="N88" s="105" t="s">
        <v>1436</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1544</v>
      </c>
      <c r="B89" s="105" t="s">
        <v>1530</v>
      </c>
      <c r="C89" s="105" t="s">
        <v>790</v>
      </c>
      <c r="D89" s="105" t="s">
        <v>1534</v>
      </c>
      <c r="E89" s="105" t="s">
        <v>1523</v>
      </c>
      <c r="F89" s="105" t="s">
        <v>1530</v>
      </c>
      <c r="M89" s="105" t="s">
        <v>1531</v>
      </c>
      <c r="N89" s="105" t="s">
        <v>1436</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4"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zoomScale="90" zoomScaleNormal="90" workbookViewId="0">
      <selection activeCell="L18" sqref="L18"/>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315" t="s">
        <v>1382</v>
      </c>
      <c r="B1" s="316"/>
      <c r="C1" s="316"/>
      <c r="D1" s="316"/>
      <c r="E1" s="316"/>
      <c r="F1" s="316"/>
      <c r="G1" s="316"/>
      <c r="H1" s="108"/>
      <c r="I1" s="108"/>
      <c r="J1" s="319" t="s">
        <v>741</v>
      </c>
      <c r="K1" s="320"/>
      <c r="L1" s="320"/>
    </row>
    <row r="2" spans="1:12" s="32" customFormat="1" ht="33.75" customHeight="1">
      <c r="A2" s="317"/>
      <c r="B2" s="318"/>
      <c r="C2" s="318"/>
      <c r="D2" s="318"/>
      <c r="E2" s="318"/>
      <c r="F2" s="318"/>
      <c r="G2" s="318"/>
      <c r="H2" s="313" t="s">
        <v>1383</v>
      </c>
      <c r="I2" s="314"/>
      <c r="J2" s="314"/>
      <c r="K2" s="314"/>
      <c r="L2" s="314"/>
    </row>
    <row r="4" spans="1:12" ht="17.25" customHeight="1">
      <c r="B4" s="321" t="s">
        <v>1384</v>
      </c>
      <c r="C4" s="322"/>
      <c r="D4" s="322"/>
      <c r="E4" s="322"/>
      <c r="F4" s="322"/>
      <c r="G4" s="322"/>
      <c r="H4" s="322"/>
      <c r="I4" s="322"/>
      <c r="J4" s="322"/>
      <c r="K4" s="322"/>
      <c r="L4" s="322"/>
    </row>
    <row r="5" spans="1:12" ht="27.75" customHeight="1">
      <c r="B5" s="322"/>
      <c r="C5" s="322"/>
      <c r="D5" s="322"/>
      <c r="E5" s="322"/>
      <c r="F5" s="322"/>
      <c r="G5" s="322"/>
      <c r="H5" s="322"/>
      <c r="I5" s="322"/>
      <c r="J5" s="322"/>
      <c r="K5" s="322"/>
      <c r="L5" s="322"/>
    </row>
    <row r="6" spans="1:12" s="32" customFormat="1" ht="13.8">
      <c r="B6" s="80"/>
    </row>
    <row r="7" spans="1:12" s="32" customFormat="1" ht="18">
      <c r="B7" s="81" t="s">
        <v>1385</v>
      </c>
      <c r="D7" s="82"/>
    </row>
    <row r="8" spans="1:12" s="32" customFormat="1" ht="7.5" customHeight="1">
      <c r="B8" s="80"/>
    </row>
    <row r="9" spans="1:12" s="32" customFormat="1" ht="29.25" customHeight="1" thickBot="1">
      <c r="A9" s="83"/>
      <c r="B9" s="84" t="s">
        <v>449</v>
      </c>
      <c r="C9" s="83"/>
      <c r="D9" s="312" t="s">
        <v>1386</v>
      </c>
      <c r="E9" s="312"/>
      <c r="F9" s="312"/>
      <c r="G9" s="312"/>
      <c r="H9" s="312"/>
      <c r="I9" s="312"/>
      <c r="J9" s="312"/>
      <c r="K9" s="312"/>
      <c r="L9" s="312"/>
    </row>
    <row r="10" spans="1:12" s="32" customFormat="1" ht="29.25" customHeight="1" thickTop="1" thickBot="1">
      <c r="A10" s="83"/>
      <c r="B10" s="85" t="s">
        <v>450</v>
      </c>
      <c r="C10" s="83"/>
      <c r="D10" s="312" t="s">
        <v>1387</v>
      </c>
      <c r="E10" s="312"/>
      <c r="F10" s="312"/>
      <c r="G10" s="312"/>
      <c r="H10" s="312"/>
      <c r="I10" s="312"/>
      <c r="J10" s="312"/>
      <c r="K10" s="312"/>
      <c r="L10" s="312"/>
    </row>
    <row r="11" spans="1:12" s="32" customFormat="1" ht="29.25" customHeight="1" thickTop="1" thickBot="1">
      <c r="A11" s="83"/>
      <c r="B11" s="86" t="s">
        <v>451</v>
      </c>
      <c r="C11" s="83"/>
      <c r="D11" s="312" t="s">
        <v>1388</v>
      </c>
      <c r="E11" s="312"/>
      <c r="F11" s="312"/>
      <c r="G11" s="312"/>
      <c r="H11" s="312"/>
      <c r="I11" s="312"/>
      <c r="J11" s="312"/>
      <c r="K11" s="312"/>
      <c r="L11" s="312"/>
    </row>
    <row r="12" spans="1:12" s="32" customFormat="1" ht="29.25" customHeight="1" thickTop="1" thickBot="1">
      <c r="A12" s="83"/>
      <c r="B12" s="87" t="s">
        <v>452</v>
      </c>
      <c r="C12" s="83"/>
      <c r="D12" s="312" t="s">
        <v>1389</v>
      </c>
      <c r="E12" s="312"/>
      <c r="F12" s="312"/>
      <c r="G12" s="312"/>
      <c r="H12" s="312"/>
      <c r="I12" s="312"/>
      <c r="J12" s="312"/>
      <c r="K12" s="312"/>
      <c r="L12" s="312"/>
    </row>
    <row r="13" spans="1:12" s="32" customFormat="1" ht="29.25" customHeight="1" thickTop="1" thickBot="1">
      <c r="A13" s="83"/>
      <c r="B13" s="88" t="s">
        <v>538</v>
      </c>
      <c r="C13" s="83"/>
      <c r="D13" s="312" t="s">
        <v>1390</v>
      </c>
      <c r="E13" s="312"/>
      <c r="F13" s="312"/>
      <c r="G13" s="312"/>
      <c r="H13" s="312"/>
      <c r="I13" s="312"/>
      <c r="J13" s="312"/>
      <c r="K13" s="312"/>
      <c r="L13" s="312"/>
    </row>
    <row r="14" spans="1:12" s="32" customFormat="1" ht="29.25" customHeight="1" thickTop="1" thickBot="1">
      <c r="A14" s="83"/>
      <c r="B14" s="89" t="s">
        <v>453</v>
      </c>
      <c r="C14" s="83"/>
      <c r="D14" s="312" t="s">
        <v>1391</v>
      </c>
      <c r="E14" s="312"/>
      <c r="F14" s="312"/>
      <c r="G14" s="312"/>
      <c r="H14" s="312"/>
      <c r="I14" s="312"/>
      <c r="J14" s="312"/>
      <c r="K14" s="312"/>
      <c r="L14" s="312"/>
    </row>
    <row r="15" spans="1:12" ht="16.2" thickTop="1">
      <c r="A15" s="90"/>
      <c r="B15" s="91"/>
      <c r="C15" s="90"/>
      <c r="D15" s="92"/>
      <c r="E15" s="92"/>
      <c r="F15" s="92"/>
      <c r="G15" s="92"/>
      <c r="H15" s="92"/>
      <c r="I15" s="92"/>
      <c r="J15" s="92"/>
      <c r="K15" s="92"/>
      <c r="L15" s="92"/>
    </row>
    <row r="16" spans="1:12" s="32" customFormat="1" ht="18">
      <c r="B16" s="81" t="s">
        <v>1392</v>
      </c>
      <c r="D16" s="82"/>
    </row>
    <row r="17" spans="2:12" s="32" customFormat="1" ht="5.25" customHeight="1">
      <c r="B17" s="93"/>
      <c r="D17" s="82"/>
    </row>
    <row r="18" spans="2:12" s="32" customFormat="1" ht="26.25" customHeight="1" thickBot="1">
      <c r="B18" s="94" t="s">
        <v>1393</v>
      </c>
      <c r="D18" s="311" t="s">
        <v>1405</v>
      </c>
      <c r="E18" s="311"/>
      <c r="F18" s="311"/>
      <c r="G18" s="311"/>
      <c r="H18" s="311"/>
      <c r="I18" s="311"/>
      <c r="J18" s="311"/>
      <c r="K18" s="311"/>
      <c r="L18" s="101" t="s">
        <v>1417</v>
      </c>
    </row>
    <row r="19" spans="2:12" s="32" customFormat="1" ht="53.25" customHeight="1" thickTop="1" thickBot="1">
      <c r="B19" s="94" t="s">
        <v>560</v>
      </c>
      <c r="D19" s="311" t="s">
        <v>1406</v>
      </c>
      <c r="E19" s="311"/>
      <c r="F19" s="311"/>
      <c r="G19" s="311"/>
      <c r="H19" s="311"/>
      <c r="I19" s="311"/>
      <c r="J19" s="311"/>
      <c r="K19" s="311"/>
      <c r="L19" s="101" t="s">
        <v>1417</v>
      </c>
    </row>
    <row r="20" spans="2:12" s="32" customFormat="1" ht="26.25" customHeight="1" thickTop="1" thickBot="1">
      <c r="B20" s="94" t="s">
        <v>1394</v>
      </c>
      <c r="D20" s="311" t="s">
        <v>1407</v>
      </c>
      <c r="E20" s="311"/>
      <c r="F20" s="311"/>
      <c r="G20" s="311"/>
      <c r="H20" s="311"/>
      <c r="I20" s="311"/>
      <c r="J20" s="311"/>
      <c r="K20" s="311"/>
      <c r="L20" s="101" t="s">
        <v>1417</v>
      </c>
    </row>
    <row r="21" spans="2:12" s="32" customFormat="1" ht="26.25" customHeight="1" thickTop="1" thickBot="1">
      <c r="B21" s="94" t="s">
        <v>1395</v>
      </c>
      <c r="D21" s="311" t="s">
        <v>1408</v>
      </c>
      <c r="E21" s="311"/>
      <c r="F21" s="311"/>
      <c r="G21" s="311"/>
      <c r="H21" s="311"/>
      <c r="I21" s="311"/>
      <c r="J21" s="311"/>
      <c r="K21" s="311"/>
      <c r="L21" s="101" t="s">
        <v>1417</v>
      </c>
    </row>
    <row r="22" spans="2:12" s="32" customFormat="1" ht="33.75" customHeight="1" thickTop="1" thickBot="1">
      <c r="B22" s="94" t="s">
        <v>1396</v>
      </c>
      <c r="D22" s="311" t="s">
        <v>1409</v>
      </c>
      <c r="E22" s="311"/>
      <c r="F22" s="311"/>
      <c r="G22" s="311"/>
      <c r="H22" s="311"/>
      <c r="I22" s="311"/>
      <c r="J22" s="311"/>
      <c r="K22" s="311"/>
      <c r="L22" s="101" t="s">
        <v>1417</v>
      </c>
    </row>
    <row r="23" spans="2:12" s="32" customFormat="1" ht="52.5" customHeight="1" thickTop="1" thickBot="1">
      <c r="B23" s="94" t="s">
        <v>1397</v>
      </c>
      <c r="D23" s="311" t="s">
        <v>1410</v>
      </c>
      <c r="E23" s="311"/>
      <c r="F23" s="311"/>
      <c r="G23" s="311"/>
      <c r="H23" s="311"/>
      <c r="I23" s="311"/>
      <c r="J23" s="311"/>
      <c r="K23" s="311"/>
      <c r="L23" s="101" t="s">
        <v>1417</v>
      </c>
    </row>
    <row r="24" spans="2:12" s="32" customFormat="1" ht="47.25" customHeight="1" thickTop="1" thickBot="1">
      <c r="B24" s="94" t="s">
        <v>1398</v>
      </c>
      <c r="D24" s="311" t="s">
        <v>1411</v>
      </c>
      <c r="E24" s="311"/>
      <c r="F24" s="311"/>
      <c r="G24" s="311"/>
      <c r="H24" s="311"/>
      <c r="I24" s="311"/>
      <c r="J24" s="311"/>
      <c r="K24" s="311"/>
      <c r="L24" s="101" t="s">
        <v>1417</v>
      </c>
    </row>
    <row r="25" spans="2:12" s="32" customFormat="1" ht="33.75" customHeight="1" thickTop="1" thickBot="1">
      <c r="B25" s="94" t="s">
        <v>1399</v>
      </c>
      <c r="D25" s="311" t="s">
        <v>1412</v>
      </c>
      <c r="E25" s="311"/>
      <c r="F25" s="311"/>
      <c r="G25" s="311"/>
      <c r="H25" s="311"/>
      <c r="I25" s="311"/>
      <c r="J25" s="311"/>
      <c r="K25" s="311"/>
      <c r="L25" s="101" t="s">
        <v>1417</v>
      </c>
    </row>
    <row r="26" spans="2:12" s="32" customFormat="1" ht="53.25" customHeight="1" thickTop="1" thickBot="1">
      <c r="B26" s="94" t="s">
        <v>1400</v>
      </c>
      <c r="D26" s="311" t="s">
        <v>1413</v>
      </c>
      <c r="E26" s="311"/>
      <c r="F26" s="311"/>
      <c r="G26" s="311"/>
      <c r="H26" s="311"/>
      <c r="I26" s="311"/>
      <c r="J26" s="311"/>
      <c r="K26" s="311"/>
      <c r="L26" s="101" t="s">
        <v>1417</v>
      </c>
    </row>
    <row r="27" spans="2:12" s="32" customFormat="1" ht="35.25" customHeight="1" thickTop="1" thickBot="1">
      <c r="B27" s="94" t="s">
        <v>1401</v>
      </c>
      <c r="D27" s="311" t="s">
        <v>1414</v>
      </c>
      <c r="E27" s="311"/>
      <c r="F27" s="311"/>
      <c r="G27" s="311"/>
      <c r="H27" s="311"/>
      <c r="I27" s="311"/>
      <c r="J27" s="311"/>
      <c r="K27" s="311"/>
      <c r="L27" s="101" t="s">
        <v>1417</v>
      </c>
    </row>
    <row r="28" spans="2:12" s="32" customFormat="1" ht="43.5" customHeight="1" thickTop="1" thickBot="1">
      <c r="B28" s="94" t="s">
        <v>452</v>
      </c>
      <c r="D28" s="311" t="s">
        <v>1415</v>
      </c>
      <c r="E28" s="311"/>
      <c r="F28" s="311"/>
      <c r="G28" s="311"/>
      <c r="H28" s="311"/>
      <c r="I28" s="311"/>
      <c r="J28" s="311"/>
      <c r="K28" s="311"/>
      <c r="L28" s="101" t="s">
        <v>1417</v>
      </c>
    </row>
    <row r="29" spans="2:12" s="32" customFormat="1" ht="49.5" customHeight="1" thickTop="1" thickBot="1">
      <c r="B29" s="94" t="s">
        <v>1402</v>
      </c>
      <c r="D29" s="311" t="s">
        <v>1416</v>
      </c>
      <c r="E29" s="311"/>
      <c r="F29" s="311"/>
      <c r="G29" s="311"/>
      <c r="H29" s="311"/>
      <c r="I29" s="311"/>
      <c r="J29" s="311"/>
      <c r="K29" s="311"/>
      <c r="L29" s="101" t="s">
        <v>1417</v>
      </c>
    </row>
    <row r="30" spans="2:12" s="32" customFormat="1" ht="24.75" customHeight="1" thickTop="1" thickBot="1">
      <c r="B30" s="142" t="s">
        <v>1403</v>
      </c>
      <c r="D30" s="311" t="s">
        <v>1360</v>
      </c>
      <c r="E30" s="311"/>
      <c r="F30" s="311"/>
      <c r="G30" s="311"/>
      <c r="H30" s="311"/>
      <c r="I30" s="311"/>
      <c r="J30" s="311"/>
      <c r="K30" s="311"/>
      <c r="L30" s="101" t="s">
        <v>1417</v>
      </c>
    </row>
    <row r="31" spans="2:12" s="32" customFormat="1" ht="24.75" customHeight="1" thickTop="1" thickBot="1">
      <c r="B31" s="94" t="s">
        <v>1404</v>
      </c>
      <c r="D31" s="311" t="s">
        <v>1361</v>
      </c>
      <c r="E31" s="311"/>
      <c r="F31" s="311"/>
      <c r="G31" s="311"/>
      <c r="H31" s="311"/>
      <c r="I31" s="311"/>
      <c r="J31" s="311"/>
      <c r="K31" s="311"/>
      <c r="L31" s="101" t="s">
        <v>1417</v>
      </c>
    </row>
    <row r="32" spans="2:12" s="32" customFormat="1" ht="24.75" customHeight="1" thickTop="1" thickBot="1">
      <c r="B32" s="94" t="s">
        <v>1373</v>
      </c>
      <c r="D32" s="311" t="s">
        <v>1377</v>
      </c>
      <c r="E32" s="311"/>
      <c r="F32" s="311"/>
      <c r="G32" s="311"/>
      <c r="H32" s="311"/>
      <c r="I32" s="311"/>
      <c r="J32" s="311"/>
      <c r="K32" s="311"/>
      <c r="L32" s="101" t="s">
        <v>1417</v>
      </c>
    </row>
    <row r="33" spans="2:12" s="32" customFormat="1" ht="15" thickTop="1">
      <c r="B33" s="95"/>
      <c r="D33" s="82"/>
      <c r="L33" s="83"/>
    </row>
    <row r="34" spans="2:12" s="32" customFormat="1" ht="18.75" customHeight="1">
      <c r="B34" s="96" t="s">
        <v>1418</v>
      </c>
      <c r="C34" s="97"/>
      <c r="D34" s="98"/>
      <c r="E34" s="97"/>
      <c r="F34" s="97"/>
      <c r="G34" s="97"/>
      <c r="H34" s="97"/>
      <c r="I34" s="97"/>
      <c r="J34" s="97"/>
      <c r="K34" s="97"/>
      <c r="L34" s="99"/>
    </row>
    <row r="35" spans="2:12" s="32" customFormat="1" ht="59.25" customHeight="1">
      <c r="B35" s="323" t="s">
        <v>1419</v>
      </c>
      <c r="C35" s="323"/>
      <c r="D35" s="323"/>
      <c r="E35" s="323"/>
      <c r="F35" s="323"/>
      <c r="G35" s="323"/>
      <c r="H35" s="323"/>
      <c r="I35" s="323"/>
      <c r="J35" s="323"/>
      <c r="K35" s="323"/>
      <c r="L35" s="323"/>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4" type="noConversion"/>
  <hyperlinks>
    <hyperlink ref="B9" location="Schedule!A1" display="Schedule"/>
    <hyperlink ref="B10" location="Progress!A1" display="Progress"/>
    <hyperlink ref="B11" location="AnalysisReport!A1" display="AnalysisReport"/>
    <hyperlink ref="B13" location="Workload!A1" display="Workload"/>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s>
  <pageMargins left="0.7" right="0.7" top="0.75" bottom="0.75" header="0.3" footer="0.3"/>
  <pageSetup paperSize="9" orientation="portrait" horizontalDpi="300" verticalDpi="300" r:id="rId1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662</v>
      </c>
      <c r="B1" s="67" t="s">
        <v>659</v>
      </c>
      <c r="C1" s="67" t="s">
        <v>660</v>
      </c>
      <c r="D1" s="67" t="s">
        <v>661</v>
      </c>
      <c r="E1" s="67" t="s">
        <v>3</v>
      </c>
      <c r="F1" s="67" t="s">
        <v>4</v>
      </c>
      <c r="G1" s="67" t="s">
        <v>5</v>
      </c>
      <c r="H1" s="67" t="s">
        <v>663</v>
      </c>
    </row>
    <row r="2" spans="1:8">
      <c r="A2" s="127" t="s">
        <v>658</v>
      </c>
      <c r="B2" s="127" t="s">
        <v>6</v>
      </c>
      <c r="C2" s="128" t="s">
        <v>7</v>
      </c>
      <c r="D2" s="128"/>
      <c r="E2" s="128"/>
      <c r="F2" s="128"/>
      <c r="G2" s="128"/>
      <c r="H2" s="128" t="s">
        <v>8</v>
      </c>
    </row>
    <row r="3" spans="1:8">
      <c r="A3" s="127" t="s">
        <v>658</v>
      </c>
      <c r="B3" s="127" t="s">
        <v>338</v>
      </c>
      <c r="C3" s="128" t="s">
        <v>7</v>
      </c>
      <c r="D3" s="128"/>
      <c r="E3" s="128"/>
      <c r="F3" s="128"/>
      <c r="G3" s="128"/>
      <c r="H3" s="128" t="s">
        <v>8</v>
      </c>
    </row>
    <row r="4" spans="1:8">
      <c r="A4" s="127" t="s">
        <v>658</v>
      </c>
      <c r="B4" s="127" t="s">
        <v>9</v>
      </c>
      <c r="C4" s="143" t="s">
        <v>339</v>
      </c>
      <c r="D4" s="128"/>
      <c r="E4" s="128"/>
      <c r="F4" s="128"/>
      <c r="G4" s="128"/>
      <c r="H4" s="128" t="s">
        <v>8</v>
      </c>
    </row>
    <row r="5" spans="1:8">
      <c r="A5" s="127" t="s">
        <v>658</v>
      </c>
      <c r="B5" s="127" t="s">
        <v>10</v>
      </c>
      <c r="C5" s="128" t="s">
        <v>11</v>
      </c>
      <c r="D5" s="128"/>
      <c r="E5" s="128"/>
      <c r="F5" s="128"/>
      <c r="G5" s="128"/>
      <c r="H5" s="128" t="s">
        <v>8</v>
      </c>
    </row>
    <row r="6" spans="1:8" ht="14.4">
      <c r="A6" s="127" t="s">
        <v>658</v>
      </c>
      <c r="B6" s="127" t="s">
        <v>12</v>
      </c>
      <c r="C6" s="144" t="s">
        <v>796</v>
      </c>
      <c r="D6" s="128"/>
      <c r="E6" s="128"/>
      <c r="F6" s="128"/>
      <c r="G6" s="128"/>
      <c r="H6" s="128" t="s">
        <v>8</v>
      </c>
    </row>
    <row r="7" spans="1:8">
      <c r="A7" s="127" t="s">
        <v>658</v>
      </c>
      <c r="B7" s="127" t="s">
        <v>13</v>
      </c>
      <c r="C7" s="127" t="s">
        <v>7</v>
      </c>
      <c r="D7" s="128"/>
      <c r="E7" s="128"/>
      <c r="F7" s="128"/>
      <c r="G7" s="128"/>
      <c r="H7" s="128" t="s">
        <v>8</v>
      </c>
    </row>
    <row r="8" spans="1:8">
      <c r="A8" s="146" t="s">
        <v>658</v>
      </c>
      <c r="B8" s="146" t="s">
        <v>14</v>
      </c>
      <c r="C8" s="147" t="s">
        <v>740</v>
      </c>
      <c r="D8" s="148" t="s">
        <v>1717</v>
      </c>
      <c r="E8" s="148">
        <v>82</v>
      </c>
      <c r="F8" s="148"/>
      <c r="G8" s="146"/>
      <c r="H8" s="148" t="s">
        <v>750</v>
      </c>
    </row>
    <row r="9" spans="1:8">
      <c r="A9" s="127" t="s">
        <v>658</v>
      </c>
      <c r="B9" s="127" t="s">
        <v>15</v>
      </c>
      <c r="C9" s="145">
        <v>44717</v>
      </c>
      <c r="D9" s="128"/>
      <c r="E9" s="128"/>
      <c r="F9" s="128"/>
      <c r="G9" s="128"/>
      <c r="H9" s="128" t="s">
        <v>8</v>
      </c>
    </row>
    <row r="10" spans="1:8">
      <c r="A10" s="127" t="s">
        <v>658</v>
      </c>
      <c r="B10" s="127" t="s">
        <v>16</v>
      </c>
      <c r="C10" s="128" t="s">
        <v>17</v>
      </c>
      <c r="D10" s="128"/>
      <c r="E10" s="128"/>
      <c r="F10" s="128"/>
      <c r="G10" s="128"/>
      <c r="H10" s="128" t="s">
        <v>8</v>
      </c>
    </row>
    <row r="11" spans="1:8">
      <c r="A11" s="69" t="s">
        <v>791</v>
      </c>
      <c r="B11" s="69" t="s">
        <v>765</v>
      </c>
      <c r="C11" s="68">
        <v>1</v>
      </c>
      <c r="G11" s="71">
        <v>45705.543379629627</v>
      </c>
    </row>
    <row r="12" spans="1:8">
      <c r="A12" s="69" t="s">
        <v>791</v>
      </c>
      <c r="B12" s="69" t="s">
        <v>764</v>
      </c>
      <c r="C12" s="68">
        <v>1</v>
      </c>
    </row>
    <row r="13" spans="1:8">
      <c r="A13" s="69" t="s">
        <v>791</v>
      </c>
      <c r="B13" s="69" t="s">
        <v>700</v>
      </c>
      <c r="C13" s="68">
        <v>1</v>
      </c>
      <c r="G13" s="71">
        <v>45705.543379629627</v>
      </c>
    </row>
    <row r="14" spans="1:8">
      <c r="A14" s="69" t="s">
        <v>791</v>
      </c>
      <c r="B14" s="69" t="s">
        <v>701</v>
      </c>
      <c r="C14" s="68">
        <v>0</v>
      </c>
      <c r="G14" s="71">
        <v>45705.543379629627</v>
      </c>
    </row>
    <row r="15" spans="1:8">
      <c r="A15" s="69" t="s">
        <v>791</v>
      </c>
      <c r="B15" s="69" t="s">
        <v>699</v>
      </c>
      <c r="C15" s="68">
        <v>1</v>
      </c>
      <c r="G15" s="71">
        <v>45705.543379629627</v>
      </c>
    </row>
    <row r="16" spans="1:8">
      <c r="A16" s="69" t="s">
        <v>791</v>
      </c>
      <c r="B16" s="69" t="s">
        <v>752</v>
      </c>
      <c r="C16" s="68">
        <v>1</v>
      </c>
      <c r="G16" s="71">
        <v>45705.543379629627</v>
      </c>
    </row>
    <row r="17" spans="1:7">
      <c r="A17" s="69" t="s">
        <v>791</v>
      </c>
      <c r="B17" s="69" t="s">
        <v>759</v>
      </c>
      <c r="C17" s="68">
        <v>1</v>
      </c>
      <c r="G17" s="71">
        <v>45705.543379629627</v>
      </c>
    </row>
    <row r="18" spans="1:7">
      <c r="A18" s="69" t="s">
        <v>791</v>
      </c>
      <c r="B18" s="69" t="s">
        <v>760</v>
      </c>
      <c r="C18" s="68">
        <v>1</v>
      </c>
      <c r="G18" s="71">
        <v>45705.543379629627</v>
      </c>
    </row>
    <row r="19" spans="1:7">
      <c r="A19" s="69" t="s">
        <v>791</v>
      </c>
      <c r="B19" s="69" t="s">
        <v>758</v>
      </c>
      <c r="C19" s="68" t="s">
        <v>633</v>
      </c>
      <c r="G19" s="71">
        <v>45705.535497685189</v>
      </c>
    </row>
    <row r="20" spans="1:7">
      <c r="A20" s="69" t="s">
        <v>791</v>
      </c>
      <c r="B20" s="69" t="s">
        <v>702</v>
      </c>
      <c r="C20" s="68">
        <v>0</v>
      </c>
      <c r="G20" s="71">
        <v>45705.543379629627</v>
      </c>
    </row>
    <row r="21" spans="1:7">
      <c r="A21" s="69" t="s">
        <v>791</v>
      </c>
      <c r="B21" s="69" t="s">
        <v>757</v>
      </c>
      <c r="C21" s="68">
        <v>0</v>
      </c>
      <c r="G21" s="71">
        <v>45705.543379629627</v>
      </c>
    </row>
    <row r="22" spans="1:7">
      <c r="A22" s="69" t="s">
        <v>791</v>
      </c>
      <c r="B22" s="69" t="s">
        <v>761</v>
      </c>
      <c r="C22" s="68">
        <v>1</v>
      </c>
      <c r="G22" s="71">
        <v>45705.543379629627</v>
      </c>
    </row>
    <row r="23" spans="1:7">
      <c r="A23" s="69" t="s">
        <v>791</v>
      </c>
      <c r="B23" s="69" t="s">
        <v>704</v>
      </c>
      <c r="C23" s="68">
        <v>0</v>
      </c>
      <c r="G23" s="71">
        <v>45705.543379629627</v>
      </c>
    </row>
    <row r="24" spans="1:7">
      <c r="A24" s="69" t="s">
        <v>791</v>
      </c>
      <c r="B24" s="69" t="s">
        <v>754</v>
      </c>
      <c r="C24" s="70">
        <v>46069</v>
      </c>
      <c r="G24" s="71">
        <v>45705.543379629627</v>
      </c>
    </row>
    <row r="25" spans="1:7">
      <c r="A25" s="69" t="s">
        <v>791</v>
      </c>
      <c r="B25" s="69" t="s">
        <v>751</v>
      </c>
      <c r="C25" s="68" t="s">
        <v>1556</v>
      </c>
      <c r="G25" s="71">
        <v>45705.543379629627</v>
      </c>
    </row>
    <row r="26" spans="1:7">
      <c r="A26" s="69" t="s">
        <v>791</v>
      </c>
      <c r="B26" s="69" t="s">
        <v>753</v>
      </c>
      <c r="C26" s="70">
        <v>45705</v>
      </c>
      <c r="G26" s="71">
        <v>45705.543379629627</v>
      </c>
    </row>
    <row r="27" spans="1:7">
      <c r="A27" s="69" t="s">
        <v>791</v>
      </c>
      <c r="B27" s="69" t="s">
        <v>755</v>
      </c>
      <c r="C27" s="68" t="s">
        <v>1718</v>
      </c>
      <c r="G27" s="71">
        <v>45722.358865740738</v>
      </c>
    </row>
    <row r="28" spans="1:7">
      <c r="A28" s="69" t="s">
        <v>791</v>
      </c>
      <c r="B28" s="69" t="s">
        <v>756</v>
      </c>
      <c r="C28" s="68">
        <v>0</v>
      </c>
      <c r="G28" s="71">
        <v>45705.543379629627</v>
      </c>
    </row>
    <row r="29" spans="1:7">
      <c r="A29" s="69" t="s">
        <v>791</v>
      </c>
      <c r="B29" s="69" t="s">
        <v>762</v>
      </c>
      <c r="C29" s="68">
        <v>20</v>
      </c>
      <c r="G29" s="71">
        <v>45705.543379629627</v>
      </c>
    </row>
    <row r="30" spans="1:7">
      <c r="A30" s="69" t="s">
        <v>791</v>
      </c>
      <c r="B30" s="69" t="s">
        <v>763</v>
      </c>
      <c r="C30" s="68">
        <v>10</v>
      </c>
      <c r="G30" s="71">
        <v>45705.543379629627</v>
      </c>
    </row>
    <row r="31" spans="1:7">
      <c r="A31" s="69" t="s">
        <v>1367</v>
      </c>
      <c r="B31" s="69" t="s">
        <v>1368</v>
      </c>
      <c r="C31" s="68">
        <v>-4105</v>
      </c>
      <c r="F31" s="71"/>
      <c r="G31" s="71">
        <v>45722.364745370367</v>
      </c>
    </row>
    <row r="32" spans="1:7">
      <c r="A32" s="69" t="s">
        <v>792</v>
      </c>
      <c r="B32" s="69" t="s">
        <v>773</v>
      </c>
      <c r="C32" s="68">
        <v>1</v>
      </c>
      <c r="G32" s="71">
        <v>45705.543379629627</v>
      </c>
    </row>
    <row r="33" spans="1:7">
      <c r="A33" s="69" t="s">
        <v>792</v>
      </c>
      <c r="B33" s="69" t="s">
        <v>776</v>
      </c>
      <c r="C33" s="68">
        <v>0</v>
      </c>
    </row>
    <row r="34" spans="1:7">
      <c r="A34" s="69" t="s">
        <v>792</v>
      </c>
      <c r="B34" s="69" t="s">
        <v>705</v>
      </c>
      <c r="C34" s="68">
        <v>1</v>
      </c>
      <c r="G34" s="71">
        <v>45705.543379629627</v>
      </c>
    </row>
    <row r="35" spans="1:7">
      <c r="A35" s="69" t="s">
        <v>792</v>
      </c>
      <c r="B35" s="69" t="s">
        <v>707</v>
      </c>
      <c r="C35" s="68">
        <v>1</v>
      </c>
      <c r="G35" s="71">
        <v>45705.543379629627</v>
      </c>
    </row>
    <row r="36" spans="1:7">
      <c r="A36" s="69" t="s">
        <v>792</v>
      </c>
      <c r="B36" s="69" t="s">
        <v>706</v>
      </c>
      <c r="C36" s="68">
        <v>1</v>
      </c>
      <c r="G36" s="71">
        <v>45705.543379629627</v>
      </c>
    </row>
    <row r="37" spans="1:7">
      <c r="A37" s="69" t="s">
        <v>792</v>
      </c>
      <c r="B37" s="69" t="s">
        <v>767</v>
      </c>
      <c r="C37" s="68">
        <v>0</v>
      </c>
      <c r="G37" s="71">
        <v>45705.543379629627</v>
      </c>
    </row>
    <row r="38" spans="1:7">
      <c r="A38" s="69" t="s">
        <v>792</v>
      </c>
      <c r="B38" s="69" t="s">
        <v>770</v>
      </c>
      <c r="C38" s="68">
        <v>1</v>
      </c>
      <c r="G38" s="71">
        <v>45705.543379629627</v>
      </c>
    </row>
    <row r="39" spans="1:7">
      <c r="A39" s="69" t="s">
        <v>792</v>
      </c>
      <c r="B39" s="69" t="s">
        <v>781</v>
      </c>
      <c r="C39" s="68">
        <v>2</v>
      </c>
      <c r="G39" s="71">
        <v>45705.543379629627</v>
      </c>
    </row>
    <row r="40" spans="1:7">
      <c r="A40" s="69" t="s">
        <v>792</v>
      </c>
      <c r="B40" s="69" t="s">
        <v>771</v>
      </c>
      <c r="C40" s="68">
        <v>0.7</v>
      </c>
    </row>
    <row r="41" spans="1:7">
      <c r="A41" s="69" t="s">
        <v>792</v>
      </c>
      <c r="B41" s="69" t="s">
        <v>780</v>
      </c>
      <c r="C41" s="68">
        <v>1</v>
      </c>
      <c r="G41" s="71">
        <v>45705.543379629627</v>
      </c>
    </row>
    <row r="42" spans="1:7">
      <c r="A42" s="69" t="s">
        <v>792</v>
      </c>
      <c r="B42" s="69" t="s">
        <v>774</v>
      </c>
      <c r="C42" s="68">
        <v>1</v>
      </c>
      <c r="G42" s="71">
        <v>45705.543379629627</v>
      </c>
    </row>
    <row r="43" spans="1:7">
      <c r="A43" s="69" t="s">
        <v>792</v>
      </c>
      <c r="B43" s="69" t="s">
        <v>784</v>
      </c>
      <c r="C43" s="68">
        <v>-4131</v>
      </c>
      <c r="G43" s="71">
        <v>45705.543379629627</v>
      </c>
    </row>
    <row r="44" spans="1:7">
      <c r="A44" s="69" t="s">
        <v>792</v>
      </c>
      <c r="B44" s="69" t="s">
        <v>775</v>
      </c>
      <c r="C44" s="68">
        <v>7</v>
      </c>
      <c r="G44" s="71">
        <v>45705.543379629627</v>
      </c>
    </row>
    <row r="45" spans="1:7">
      <c r="A45" s="69" t="s">
        <v>792</v>
      </c>
      <c r="B45" s="69" t="s">
        <v>777</v>
      </c>
      <c r="C45" s="68">
        <v>0</v>
      </c>
      <c r="G45" s="71">
        <v>45705.543379629627</v>
      </c>
    </row>
    <row r="46" spans="1:7">
      <c r="A46" s="69" t="s">
        <v>792</v>
      </c>
      <c r="B46" s="69" t="s">
        <v>778</v>
      </c>
      <c r="C46" s="68">
        <v>1</v>
      </c>
      <c r="G46" s="71">
        <v>45705.543379629627</v>
      </c>
    </row>
    <row r="47" spans="1:7">
      <c r="A47" s="69" t="s">
        <v>792</v>
      </c>
      <c r="B47" s="69" t="s">
        <v>779</v>
      </c>
      <c r="C47" s="68">
        <v>1</v>
      </c>
      <c r="G47" s="71">
        <v>45705.543379629627</v>
      </c>
    </row>
    <row r="48" spans="1:7">
      <c r="A48" s="69" t="s">
        <v>792</v>
      </c>
      <c r="B48" s="69" t="s">
        <v>768</v>
      </c>
      <c r="C48" s="68">
        <v>1</v>
      </c>
    </row>
    <row r="49" spans="1:7">
      <c r="A49" s="69" t="s">
        <v>792</v>
      </c>
      <c r="B49" s="69" t="s">
        <v>769</v>
      </c>
      <c r="C49" s="68">
        <v>0</v>
      </c>
    </row>
    <row r="50" spans="1:7">
      <c r="A50" s="69" t="s">
        <v>792</v>
      </c>
      <c r="B50" s="69" t="s">
        <v>772</v>
      </c>
      <c r="C50" s="68">
        <v>2</v>
      </c>
      <c r="G50" s="71">
        <v>45705.543379629627</v>
      </c>
    </row>
    <row r="51" spans="1:7">
      <c r="A51" s="69" t="s">
        <v>792</v>
      </c>
      <c r="B51" s="69" t="s">
        <v>783</v>
      </c>
      <c r="C51" s="68" t="s">
        <v>766</v>
      </c>
    </row>
    <row r="52" spans="1:7">
      <c r="A52" s="69" t="s">
        <v>792</v>
      </c>
      <c r="B52" s="69" t="s">
        <v>703</v>
      </c>
      <c r="C52" s="68">
        <v>100</v>
      </c>
      <c r="G52" s="71">
        <v>45705.543379629627</v>
      </c>
    </row>
    <row r="53" spans="1:7">
      <c r="A53" s="69" t="s">
        <v>792</v>
      </c>
      <c r="B53" s="69" t="s">
        <v>782</v>
      </c>
      <c r="C53" s="68">
        <v>9</v>
      </c>
    </row>
    <row r="54" spans="1:7">
      <c r="A54" s="69" t="s">
        <v>793</v>
      </c>
      <c r="B54" s="69" t="s">
        <v>666</v>
      </c>
      <c r="C54" s="68">
        <v>1</v>
      </c>
      <c r="G54" s="71">
        <v>45705.535497685189</v>
      </c>
    </row>
    <row r="55" spans="1:7">
      <c r="A55" s="69" t="s">
        <v>793</v>
      </c>
      <c r="B55" s="69" t="s">
        <v>785</v>
      </c>
      <c r="C55" s="68" t="s">
        <v>1540</v>
      </c>
      <c r="G55" s="71">
        <v>45705.535497685189</v>
      </c>
    </row>
    <row r="56" spans="1:7">
      <c r="A56" s="69" t="s">
        <v>793</v>
      </c>
      <c r="B56" s="69" t="s">
        <v>665</v>
      </c>
      <c r="C56" s="68" t="s">
        <v>708</v>
      </c>
      <c r="G56" s="71">
        <v>44717.947500000002</v>
      </c>
    </row>
    <row r="57" spans="1:7">
      <c r="A57" s="69" t="s">
        <v>793</v>
      </c>
      <c r="B57" s="69" t="s">
        <v>664</v>
      </c>
      <c r="C57" s="68" t="s">
        <v>708</v>
      </c>
      <c r="G57" s="71">
        <v>45705.535497685189</v>
      </c>
    </row>
    <row r="58" spans="1:7">
      <c r="A58" s="69" t="s">
        <v>738</v>
      </c>
      <c r="B58" s="69" t="s">
        <v>788</v>
      </c>
      <c r="C58" s="68">
        <v>82</v>
      </c>
      <c r="G58" s="71">
        <v>45705.535497685189</v>
      </c>
    </row>
    <row r="59" spans="1:7">
      <c r="A59" s="69" t="s">
        <v>738</v>
      </c>
      <c r="B59" s="69" t="s">
        <v>787</v>
      </c>
      <c r="C59" s="68">
        <v>1</v>
      </c>
      <c r="G59" s="71">
        <v>45705.535497685189</v>
      </c>
    </row>
    <row r="60" spans="1:7">
      <c r="A60" s="69" t="s">
        <v>738</v>
      </c>
      <c r="B60" s="69" t="s">
        <v>786</v>
      </c>
      <c r="C60" s="68">
        <v>82</v>
      </c>
      <c r="G60" s="71">
        <v>44717.85429398148</v>
      </c>
    </row>
    <row r="61" spans="1:7">
      <c r="A61" s="69" t="s">
        <v>738</v>
      </c>
      <c r="B61" s="69" t="s">
        <v>789</v>
      </c>
      <c r="C61" s="68" t="s">
        <v>617</v>
      </c>
      <c r="G61" s="71">
        <v>45705.535497685189</v>
      </c>
    </row>
    <row r="62" spans="1:7">
      <c r="A62" s="69" t="s">
        <v>794</v>
      </c>
      <c r="B62" s="69" t="s">
        <v>693</v>
      </c>
      <c r="C62" s="68" t="b">
        <v>0</v>
      </c>
      <c r="G62" s="71">
        <v>45705.535497685189</v>
      </c>
    </row>
    <row r="63" spans="1:7">
      <c r="A63" s="69" t="s">
        <v>794</v>
      </c>
      <c r="B63" s="69" t="s">
        <v>694</v>
      </c>
      <c r="C63" s="68" t="b">
        <v>0</v>
      </c>
      <c r="G63" s="71">
        <v>45705.535497685189</v>
      </c>
    </row>
    <row r="64" spans="1:7">
      <c r="A64" s="69" t="s">
        <v>794</v>
      </c>
      <c r="B64" s="69" t="s">
        <v>695</v>
      </c>
      <c r="C64" s="68" t="b">
        <v>1</v>
      </c>
      <c r="G64" s="71">
        <v>45705.535497685189</v>
      </c>
    </row>
    <row r="65" spans="1:7">
      <c r="A65" s="69" t="s">
        <v>794</v>
      </c>
      <c r="B65" s="69" t="s">
        <v>677</v>
      </c>
      <c r="C65" s="68" t="b">
        <v>1</v>
      </c>
      <c r="G65" s="71">
        <v>45705.535497685189</v>
      </c>
    </row>
    <row r="66" spans="1:7">
      <c r="A66" s="69" t="s">
        <v>794</v>
      </c>
      <c r="B66" s="69" t="s">
        <v>678</v>
      </c>
      <c r="C66" s="68" t="b">
        <v>1</v>
      </c>
      <c r="G66" s="71">
        <v>45705.535497685189</v>
      </c>
    </row>
    <row r="67" spans="1:7">
      <c r="A67" s="69" t="s">
        <v>794</v>
      </c>
      <c r="B67" s="69" t="s">
        <v>679</v>
      </c>
      <c r="C67" s="68" t="b">
        <v>1</v>
      </c>
      <c r="G67" s="71">
        <v>45705.535497685189</v>
      </c>
    </row>
    <row r="68" spans="1:7">
      <c r="A68" s="69" t="s">
        <v>794</v>
      </c>
      <c r="B68" s="69" t="s">
        <v>680</v>
      </c>
      <c r="C68" s="68" t="b">
        <v>1</v>
      </c>
      <c r="G68" s="71">
        <v>45705.535497685189</v>
      </c>
    </row>
    <row r="69" spans="1:7">
      <c r="A69" s="69" t="s">
        <v>794</v>
      </c>
      <c r="B69" s="69" t="s">
        <v>681</v>
      </c>
      <c r="G69" s="71">
        <v>45705.535497685189</v>
      </c>
    </row>
    <row r="70" spans="1:7">
      <c r="A70" s="69" t="s">
        <v>794</v>
      </c>
      <c r="B70" s="69" t="s">
        <v>696</v>
      </c>
      <c r="C70" s="68" t="s">
        <v>718</v>
      </c>
      <c r="G70" s="71">
        <v>45705.535497685189</v>
      </c>
    </row>
    <row r="71" spans="1:7">
      <c r="A71" s="69" t="s">
        <v>794</v>
      </c>
      <c r="B71" s="69" t="s">
        <v>698</v>
      </c>
      <c r="C71" s="68" t="s">
        <v>720</v>
      </c>
      <c r="G71" s="71">
        <v>45705.535497685189</v>
      </c>
    </row>
    <row r="72" spans="1:7">
      <c r="A72" s="69" t="s">
        <v>794</v>
      </c>
      <c r="B72" s="69" t="s">
        <v>697</v>
      </c>
      <c r="C72" s="68" t="s">
        <v>719</v>
      </c>
      <c r="G72" s="71">
        <v>45705.535497685189</v>
      </c>
    </row>
    <row r="73" spans="1:7">
      <c r="A73" s="69" t="s">
        <v>794</v>
      </c>
      <c r="B73" s="69" t="s">
        <v>683</v>
      </c>
      <c r="C73" s="68" t="s">
        <v>715</v>
      </c>
      <c r="G73" s="71">
        <v>45705.535497685189</v>
      </c>
    </row>
    <row r="74" spans="1:7">
      <c r="A74" s="69" t="s">
        <v>794</v>
      </c>
      <c r="B74" s="69" t="s">
        <v>686</v>
      </c>
      <c r="C74" s="68" t="s">
        <v>717</v>
      </c>
      <c r="G74" s="71">
        <v>45705.535497685189</v>
      </c>
    </row>
    <row r="75" spans="1:7">
      <c r="A75" s="69" t="s">
        <v>794</v>
      </c>
      <c r="B75" s="69" t="s">
        <v>685</v>
      </c>
      <c r="C75" s="68" t="s">
        <v>716</v>
      </c>
      <c r="G75" s="71">
        <v>45705.535497685189</v>
      </c>
    </row>
    <row r="76" spans="1:7">
      <c r="A76" s="69" t="s">
        <v>794</v>
      </c>
      <c r="B76" s="69" t="s">
        <v>684</v>
      </c>
      <c r="C76" s="68" t="s">
        <v>1370</v>
      </c>
      <c r="G76" s="71">
        <v>45705.535497685189</v>
      </c>
    </row>
    <row r="77" spans="1:7">
      <c r="A77" s="69" t="s">
        <v>794</v>
      </c>
      <c r="B77" s="69" t="s">
        <v>682</v>
      </c>
      <c r="G77" s="71">
        <v>45705.535497685189</v>
      </c>
    </row>
    <row r="78" spans="1:7">
      <c r="A78" s="69" t="s">
        <v>794</v>
      </c>
      <c r="B78" s="69" t="s">
        <v>687</v>
      </c>
      <c r="C78" s="68" t="s">
        <v>1378</v>
      </c>
      <c r="G78" s="71">
        <v>45705.535497685189</v>
      </c>
    </row>
    <row r="79" spans="1:7">
      <c r="A79" s="69" t="s">
        <v>794</v>
      </c>
      <c r="B79" s="69" t="s">
        <v>692</v>
      </c>
      <c r="C79" s="68" t="s">
        <v>1380</v>
      </c>
      <c r="G79" s="71">
        <v>45705.535497685189</v>
      </c>
    </row>
    <row r="80" spans="1:7">
      <c r="A80" s="69" t="s">
        <v>794</v>
      </c>
      <c r="B80" s="69" t="s">
        <v>691</v>
      </c>
      <c r="C80" s="68" t="s">
        <v>1381</v>
      </c>
      <c r="G80" s="71">
        <v>45705.535497685189</v>
      </c>
    </row>
    <row r="81" spans="1:7">
      <c r="A81" s="69" t="s">
        <v>794</v>
      </c>
      <c r="B81" s="69" t="s">
        <v>672</v>
      </c>
      <c r="C81" s="68" t="s">
        <v>712</v>
      </c>
      <c r="G81" s="71">
        <v>45705.535497685189</v>
      </c>
    </row>
    <row r="82" spans="1:7">
      <c r="A82" s="69" t="s">
        <v>794</v>
      </c>
      <c r="B82" s="69" t="s">
        <v>676</v>
      </c>
      <c r="C82" s="68" t="s">
        <v>714</v>
      </c>
      <c r="G82" s="71">
        <v>45705.535497685189</v>
      </c>
    </row>
    <row r="83" spans="1:7">
      <c r="A83" s="69" t="s">
        <v>794</v>
      </c>
      <c r="B83" s="69" t="s">
        <v>675</v>
      </c>
      <c r="C83" s="68" t="s">
        <v>713</v>
      </c>
      <c r="G83" s="71">
        <v>45705.535497685189</v>
      </c>
    </row>
    <row r="84" spans="1:7">
      <c r="A84" s="69" t="s">
        <v>794</v>
      </c>
      <c r="B84" s="69" t="s">
        <v>674</v>
      </c>
      <c r="C84" s="68" t="s">
        <v>1541</v>
      </c>
      <c r="G84" s="71">
        <v>45705.535497685189</v>
      </c>
    </row>
    <row r="85" spans="1:7">
      <c r="A85" s="69" t="s">
        <v>794</v>
      </c>
      <c r="B85" s="69" t="s">
        <v>673</v>
      </c>
      <c r="G85" s="71">
        <v>45705.535497685189</v>
      </c>
    </row>
    <row r="86" spans="1:7">
      <c r="A86" s="69" t="s">
        <v>794</v>
      </c>
      <c r="B86" s="69" t="s">
        <v>688</v>
      </c>
      <c r="C86" s="68" t="s">
        <v>1379</v>
      </c>
      <c r="G86" s="71">
        <v>45705.535497685189</v>
      </c>
    </row>
    <row r="87" spans="1:7">
      <c r="A87" s="69" t="s">
        <v>794</v>
      </c>
      <c r="B87" s="69" t="s">
        <v>689</v>
      </c>
      <c r="C87" s="68" t="s">
        <v>1379</v>
      </c>
      <c r="G87" s="71">
        <v>45705.535497685189</v>
      </c>
    </row>
    <row r="88" spans="1:7">
      <c r="A88" s="69" t="s">
        <v>794</v>
      </c>
      <c r="B88" s="69" t="s">
        <v>690</v>
      </c>
      <c r="C88" s="68" t="s">
        <v>1379</v>
      </c>
      <c r="G88" s="71">
        <v>45705.535497685189</v>
      </c>
    </row>
    <row r="89" spans="1:7">
      <c r="A89" s="69" t="s">
        <v>794</v>
      </c>
      <c r="B89" s="69" t="s">
        <v>667</v>
      </c>
      <c r="C89" s="68" t="s">
        <v>709</v>
      </c>
      <c r="G89" s="71">
        <v>45705.535497685189</v>
      </c>
    </row>
    <row r="90" spans="1:7">
      <c r="A90" s="69" t="s">
        <v>794</v>
      </c>
      <c r="B90" s="69" t="s">
        <v>668</v>
      </c>
      <c r="C90" s="68" t="s">
        <v>710</v>
      </c>
      <c r="G90" s="71">
        <v>45705.535497685189</v>
      </c>
    </row>
    <row r="91" spans="1:7">
      <c r="A91" s="69" t="s">
        <v>794</v>
      </c>
      <c r="B91" s="69" t="s">
        <v>669</v>
      </c>
      <c r="C91" s="68" t="s">
        <v>711</v>
      </c>
      <c r="G91" s="71">
        <v>45705.535497685189</v>
      </c>
    </row>
    <row r="92" spans="1:7">
      <c r="A92" s="69" t="s">
        <v>794</v>
      </c>
      <c r="B92" s="69" t="s">
        <v>670</v>
      </c>
      <c r="C92" s="68" t="s">
        <v>1371</v>
      </c>
      <c r="G92" s="71">
        <v>45705.535497685189</v>
      </c>
    </row>
    <row r="93" spans="1:7">
      <c r="A93" s="69" t="s">
        <v>794</v>
      </c>
      <c r="B93" s="69" t="s">
        <v>671</v>
      </c>
      <c r="G93" s="71">
        <v>45705.535497685189</v>
      </c>
    </row>
    <row r="94" spans="1:7">
      <c r="A94" s="69" t="s">
        <v>721</v>
      </c>
      <c r="B94" s="69" t="s">
        <v>726</v>
      </c>
      <c r="C94" s="68" t="b">
        <v>1</v>
      </c>
      <c r="F94" s="71"/>
      <c r="G94" s="71">
        <v>44717.850543981483</v>
      </c>
    </row>
    <row r="95" spans="1:7">
      <c r="A95" s="69" t="s">
        <v>721</v>
      </c>
      <c r="B95" s="69" t="s">
        <v>737</v>
      </c>
      <c r="C95" s="68" t="b">
        <v>1</v>
      </c>
      <c r="F95" s="71"/>
      <c r="G95" s="71">
        <v>44717.850543981483</v>
      </c>
    </row>
    <row r="96" spans="1:7">
      <c r="A96" s="69" t="s">
        <v>721</v>
      </c>
      <c r="B96" s="69" t="s">
        <v>736</v>
      </c>
      <c r="C96" s="68" t="b">
        <v>0</v>
      </c>
      <c r="F96" s="71"/>
      <c r="G96" s="71">
        <v>44717.850543981483</v>
      </c>
    </row>
    <row r="97" spans="1:7">
      <c r="A97" s="69" t="s">
        <v>721</v>
      </c>
      <c r="B97" s="69" t="s">
        <v>725</v>
      </c>
      <c r="C97" s="68" t="b">
        <v>0</v>
      </c>
      <c r="F97" s="71"/>
      <c r="G97" s="71">
        <v>44717.850543981483</v>
      </c>
    </row>
    <row r="98" spans="1:7">
      <c r="A98" s="69" t="s">
        <v>721</v>
      </c>
      <c r="B98" s="69" t="s">
        <v>735</v>
      </c>
      <c r="C98" s="68" t="b">
        <v>0</v>
      </c>
      <c r="F98" s="71"/>
      <c r="G98" s="71">
        <v>44717.850543981483</v>
      </c>
    </row>
    <row r="99" spans="1:7">
      <c r="A99" s="69" t="s">
        <v>721</v>
      </c>
      <c r="B99" s="69" t="s">
        <v>733</v>
      </c>
      <c r="C99" s="68" t="b">
        <v>1</v>
      </c>
      <c r="F99" s="71"/>
      <c r="G99" s="71">
        <v>44717.850543981483</v>
      </c>
    </row>
    <row r="100" spans="1:7">
      <c r="A100" s="69" t="s">
        <v>721</v>
      </c>
      <c r="B100" s="69" t="s">
        <v>734</v>
      </c>
      <c r="C100" s="68" t="b">
        <v>0</v>
      </c>
      <c r="F100" s="71"/>
      <c r="G100" s="71">
        <v>44717.850543981483</v>
      </c>
    </row>
    <row r="101" spans="1:7">
      <c r="A101" s="69" t="s">
        <v>721</v>
      </c>
      <c r="B101" s="69" t="s">
        <v>729</v>
      </c>
      <c r="C101" s="68" t="b">
        <v>0</v>
      </c>
      <c r="F101" s="71"/>
      <c r="G101" s="71">
        <v>44717.850543981483</v>
      </c>
    </row>
    <row r="102" spans="1:7">
      <c r="A102" s="69" t="s">
        <v>721</v>
      </c>
      <c r="B102" s="69" t="s">
        <v>724</v>
      </c>
      <c r="C102" s="68" t="b">
        <v>0</v>
      </c>
      <c r="F102" s="71"/>
      <c r="G102" s="71">
        <v>44717.850543981483</v>
      </c>
    </row>
    <row r="103" spans="1:7">
      <c r="A103" s="69" t="s">
        <v>721</v>
      </c>
      <c r="B103" s="69" t="s">
        <v>723</v>
      </c>
      <c r="C103" s="68" t="b">
        <v>0</v>
      </c>
      <c r="F103" s="71"/>
      <c r="G103" s="71">
        <v>44717.850543981483</v>
      </c>
    </row>
    <row r="104" spans="1:7">
      <c r="A104" s="69" t="s">
        <v>721</v>
      </c>
      <c r="B104" s="69" t="s">
        <v>722</v>
      </c>
      <c r="C104" s="68" t="b">
        <v>0</v>
      </c>
      <c r="F104" s="71"/>
      <c r="G104" s="71">
        <v>44717.850543981483</v>
      </c>
    </row>
    <row r="105" spans="1:7">
      <c r="A105" s="69" t="s">
        <v>721</v>
      </c>
      <c r="B105" s="69" t="s">
        <v>731</v>
      </c>
      <c r="C105" s="68">
        <v>0</v>
      </c>
      <c r="F105" s="71"/>
      <c r="G105" s="71">
        <v>44717.850543981483</v>
      </c>
    </row>
    <row r="106" spans="1:7">
      <c r="A106" s="69" t="s">
        <v>721</v>
      </c>
      <c r="B106" s="69" t="s">
        <v>730</v>
      </c>
      <c r="C106" s="68">
        <v>80</v>
      </c>
      <c r="F106" s="71"/>
      <c r="G106" s="71">
        <v>44717.850543981483</v>
      </c>
    </row>
    <row r="107" spans="1:7">
      <c r="A107" s="69" t="s">
        <v>721</v>
      </c>
      <c r="B107" s="69" t="s">
        <v>732</v>
      </c>
      <c r="F107" s="71"/>
      <c r="G107" s="71">
        <v>44717.850543981483</v>
      </c>
    </row>
    <row r="108" spans="1:7">
      <c r="A108" s="69" t="s">
        <v>721</v>
      </c>
      <c r="B108" s="69" t="s">
        <v>727</v>
      </c>
      <c r="C108" s="70">
        <v>44562</v>
      </c>
      <c r="F108" s="71"/>
      <c r="G108" s="71">
        <v>44717.850543981483</v>
      </c>
    </row>
    <row r="109" spans="1:7">
      <c r="A109" s="69" t="s">
        <v>721</v>
      </c>
      <c r="B109" s="69" t="s">
        <v>728</v>
      </c>
      <c r="C109" s="70">
        <v>44199</v>
      </c>
      <c r="F109" s="71"/>
      <c r="G109" s="71">
        <v>44717.850543981483</v>
      </c>
    </row>
  </sheetData>
  <sortState ref="A54:AB93">
    <sortCondition ref="A54:A93"/>
    <sortCondition ref="B54:B93"/>
  </sortState>
  <phoneticPr fontId="4"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10</vt:i4>
      </vt:variant>
      <vt:variant>
        <vt:lpstr>이름 지정된 범위</vt:lpstr>
      </vt:variant>
      <vt:variant>
        <vt:i4>34</vt:i4>
      </vt:variant>
    </vt:vector>
  </HeadingPairs>
  <TitlesOfParts>
    <vt:vector size="44" baseType="lpstr">
      <vt:lpstr>표지</vt:lpstr>
      <vt:lpstr>개정이력</vt:lpstr>
      <vt:lpstr>Schedule</vt:lpstr>
      <vt:lpstr>(참조)</vt:lpstr>
      <vt:lpstr>Progress</vt:lpstr>
      <vt:lpstr>AnalysisReport</vt:lpstr>
      <vt:lpstr>Calendar</vt:lpstr>
      <vt:lpstr>TranslatedLanguages</vt:lpstr>
      <vt:lpstr>Workload</vt:lpstr>
      <vt:lpstr>Help</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User</cp:lastModifiedBy>
  <cp:lastPrinted>2022-06-05T11:24:31Z</cp:lastPrinted>
  <dcterms:created xsi:type="dcterms:W3CDTF">2018-02-18T09:45:14Z</dcterms:created>
  <dcterms:modified xsi:type="dcterms:W3CDTF">2025-03-05T23:45:15Z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asoo_Trace_ID">
    <vt:lpwstr>eyAibm9kZUNvdW50IjogNCwgIm5vZGUxIiA6IHsiZHNkIjoiMDEwMDAwMDAwMDAwMjEwMyIsImxvZ1RpbWUiOiIyMDI1LTAyLTE3VDAzOjUxOjIzWiIsInBJRCI6MSwicHJvY2Vzc0lkIjoxODQwNCwicHJvY2Vzc05hbWUiOiJFWENFTC5FWEUiLCJ0cmFjZUlkIjoiQTI4MUE2MTZGQjZENDRFRDhGQjE2RTEzNzhDRTJFOTQiLCJ1c2VyQ29</vt:lpwstr>
  </property>
  <property fmtid="{D5CDD505-2E9C-101B-9397-08002B2CF9AE}" pid="3" name="MSIP_Label_d132b298-d092-4ba9-a1be-2a4de4a74ea4_Enabled">
    <vt:lpwstr>true</vt:lpwstr>
  </property>
  <property fmtid="{D5CDD505-2E9C-101B-9397-08002B2CF9AE}" pid="4" name="MSIP_Label_d132b298-d092-4ba9-a1be-2a4de4a74ea4_SetDate">
    <vt:lpwstr>2025-02-20T01:19:32Z</vt:lpwstr>
  </property>
  <property fmtid="{D5CDD505-2E9C-101B-9397-08002B2CF9AE}" pid="5" name="MSIP_Label_d132b298-d092-4ba9-a1be-2a4de4a74ea4_Method">
    <vt:lpwstr>Privileged</vt:lpwstr>
  </property>
  <property fmtid="{D5CDD505-2E9C-101B-9397-08002B2CF9AE}" pid="6" name="MSIP_Label_d132b298-d092-4ba9-a1be-2a4de4a74ea4_Name">
    <vt:lpwstr>평문화</vt:lpwstr>
  </property>
  <property fmtid="{D5CDD505-2E9C-101B-9397-08002B2CF9AE}" pid="7" name="MSIP_Label_d132b298-d092-4ba9-a1be-2a4de4a74ea4_SiteId">
    <vt:lpwstr>ee6af5c5-684f-4539-9eb6-64793af08027</vt:lpwstr>
  </property>
  <property fmtid="{D5CDD505-2E9C-101B-9397-08002B2CF9AE}" pid="8" name="MSIP_Label_d132b298-d092-4ba9-a1be-2a4de4a74ea4_ActionId">
    <vt:lpwstr>f84862bd-7c6f-4b65-b566-7fe31e8a40d5</vt:lpwstr>
  </property>
  <property fmtid="{D5CDD505-2E9C-101B-9397-08002B2CF9AE}" pid="9" name="MSIP_Label_d132b298-d092-4ba9-a1be-2a4de4a74ea4_ContentBits">
    <vt:lpwstr>0</vt:lpwstr>
  </property>
</Properties>
</file>