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.사업관리\A100.착수및계획\A200.프로젝트Tailoring대비표\"/>
    </mc:Choice>
  </mc:AlternateContent>
  <bookViews>
    <workbookView xWindow="0" yWindow="0" windowWidth="28800" windowHeight="12255" activeTab="2"/>
  </bookViews>
  <sheets>
    <sheet name="표지" sheetId="17" r:id="rId1"/>
    <sheet name="개정이력" sheetId="18" r:id="rId2"/>
    <sheet name="개발산출물(Agile)" sheetId="12" r:id="rId3"/>
    <sheet name="관리산출물" sheetId="20" r:id="rId4"/>
  </sheets>
  <definedNames>
    <definedName name="_xlnm._FilterDatabase" localSheetId="2" hidden="1">'개발산출물(Agile)'!$A$4:$P$45</definedName>
    <definedName name="_xlnm._FilterDatabase" localSheetId="3" hidden="1">관리산출물!$A$4:$K$22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20" l="1"/>
  <c r="I45" i="12"/>
  <c r="G14" i="20" l="1"/>
  <c r="G7" i="20" l="1"/>
  <c r="G17" i="20" l="1"/>
  <c r="G18" i="20"/>
  <c r="G9" i="20"/>
  <c r="G13" i="20" l="1"/>
  <c r="G22" i="20" l="1"/>
  <c r="G21" i="20"/>
  <c r="G20" i="20"/>
  <c r="G19" i="20"/>
  <c r="G16" i="20"/>
  <c r="G15" i="20"/>
  <c r="G12" i="20"/>
  <c r="G11" i="20"/>
  <c r="G10" i="20"/>
  <c r="G8" i="20"/>
  <c r="G6" i="20"/>
  <c r="G5" i="20"/>
  <c r="J26" i="12" l="1"/>
  <c r="J44" i="12" l="1"/>
  <c r="J43" i="12"/>
  <c r="J42" i="12"/>
  <c r="J41" i="12"/>
  <c r="J40" i="12"/>
  <c r="J39" i="12"/>
  <c r="J38" i="12"/>
  <c r="J37" i="12"/>
  <c r="J36" i="12"/>
  <c r="J35" i="12"/>
  <c r="J34" i="12"/>
  <c r="J33" i="12"/>
  <c r="J32" i="12"/>
  <c r="J31" i="12"/>
  <c r="J30" i="12"/>
  <c r="J29" i="12"/>
  <c r="J28" i="12"/>
  <c r="J27" i="12"/>
  <c r="J25" i="12"/>
  <c r="J24" i="12"/>
  <c r="J23" i="12"/>
  <c r="J22" i="12"/>
  <c r="J21" i="12"/>
  <c r="J20" i="12"/>
  <c r="J19" i="12"/>
  <c r="J18" i="12"/>
  <c r="J17" i="12"/>
  <c r="J16" i="12"/>
  <c r="J15" i="12"/>
  <c r="J14" i="12"/>
  <c r="J13" i="12"/>
  <c r="J12" i="12"/>
  <c r="J11" i="12"/>
  <c r="J10" i="12"/>
  <c r="J9" i="12"/>
  <c r="J7" i="12"/>
  <c r="J6" i="12"/>
  <c r="J5" i="12"/>
</calcChain>
</file>

<file path=xl/comments1.xml><?xml version="1.0" encoding="utf-8"?>
<comments xmlns="http://schemas.openxmlformats.org/spreadsheetml/2006/main">
  <authors>
    <author>JBR</author>
  </authors>
  <commentList>
    <comment ref="G4" authorId="0" shapeId="0">
      <text>
        <r>
          <rPr>
            <b/>
            <sz val="9"/>
            <color indexed="81"/>
            <rFont val="Tahoma"/>
            <family val="2"/>
          </rPr>
          <t xml:space="preserve">AG## : Agile </t>
        </r>
        <r>
          <rPr>
            <b/>
            <sz val="9"/>
            <color indexed="81"/>
            <rFont val="돋움"/>
            <family val="3"/>
            <charset val="129"/>
          </rPr>
          <t>방법론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산출물
</t>
        </r>
        <r>
          <rPr>
            <b/>
            <sz val="9"/>
            <color indexed="81"/>
            <rFont val="Tahoma"/>
            <family val="2"/>
          </rPr>
          <t xml:space="preserve">A###, D###, I###
     : IEM </t>
        </r>
        <r>
          <rPr>
            <b/>
            <sz val="9"/>
            <color indexed="81"/>
            <rFont val="돋움"/>
            <family val="3"/>
            <charset val="129"/>
          </rPr>
          <t>방법론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산출물</t>
        </r>
      </text>
    </comment>
  </commentList>
</comments>
</file>

<file path=xl/sharedStrings.xml><?xml version="1.0" encoding="utf-8"?>
<sst xmlns="http://schemas.openxmlformats.org/spreadsheetml/2006/main" count="530" uniqueCount="343">
  <si>
    <t>현황 분석</t>
    <phoneticPr fontId="5" type="noConversion"/>
  </si>
  <si>
    <t>AS IS 업무 분석</t>
    <phoneticPr fontId="5" type="noConversion"/>
  </si>
  <si>
    <t>AS IS 업무 흐름도</t>
    <phoneticPr fontId="5" type="noConversion"/>
  </si>
  <si>
    <t>AS IS 프로세스 분해도</t>
    <phoneticPr fontId="5" type="noConversion"/>
  </si>
  <si>
    <t>용어 정의</t>
    <phoneticPr fontId="5" type="noConversion"/>
  </si>
  <si>
    <t>DB 설계</t>
    <phoneticPr fontId="5" type="noConversion"/>
  </si>
  <si>
    <t>DB 기본 설계</t>
    <phoneticPr fontId="5" type="noConversion"/>
  </si>
  <si>
    <t>프로그램 목록 작성</t>
    <phoneticPr fontId="5" type="noConversion"/>
  </si>
  <si>
    <t>모듈 설계</t>
    <phoneticPr fontId="5" type="noConversion"/>
  </si>
  <si>
    <t>전환 설계</t>
    <phoneticPr fontId="5" type="noConversion"/>
  </si>
  <si>
    <t>전환 계획 수립</t>
    <phoneticPr fontId="5" type="noConversion"/>
  </si>
  <si>
    <t>전환 프로그램 설계</t>
    <phoneticPr fontId="5" type="noConversion"/>
  </si>
  <si>
    <t>인수 테스트</t>
    <phoneticPr fontId="5" type="noConversion"/>
  </si>
  <si>
    <t>인수 테스트 실시</t>
    <phoneticPr fontId="5" type="noConversion"/>
  </si>
  <si>
    <t>교육훈련 계획 수립</t>
    <phoneticPr fontId="5" type="noConversion"/>
  </si>
  <si>
    <t>A102</t>
    <phoneticPr fontId="5" type="noConversion"/>
  </si>
  <si>
    <t>A204</t>
    <phoneticPr fontId="5" type="noConversion"/>
  </si>
  <si>
    <t>A302</t>
    <phoneticPr fontId="5" type="noConversion"/>
  </si>
  <si>
    <t>A304</t>
    <phoneticPr fontId="5" type="noConversion"/>
  </si>
  <si>
    <t>D102</t>
    <phoneticPr fontId="5" type="noConversion"/>
  </si>
  <si>
    <t>D104</t>
    <phoneticPr fontId="5" type="noConversion"/>
  </si>
  <si>
    <t>D202</t>
    <phoneticPr fontId="5" type="noConversion"/>
  </si>
  <si>
    <t>D206</t>
    <phoneticPr fontId="5" type="noConversion"/>
  </si>
  <si>
    <t>D402</t>
    <phoneticPr fontId="5" type="noConversion"/>
  </si>
  <si>
    <t>D404</t>
    <phoneticPr fontId="5" type="noConversion"/>
  </si>
  <si>
    <t>I202</t>
    <phoneticPr fontId="5" type="noConversion"/>
  </si>
  <si>
    <t>I302</t>
    <phoneticPr fontId="5" type="noConversion"/>
  </si>
  <si>
    <t>용어 사전</t>
  </si>
  <si>
    <t>AS IS/TO BE GAP 분석서
(As-Is 있을때는 Mandatory)</t>
  </si>
  <si>
    <t>코드 정의서</t>
  </si>
  <si>
    <t>인덱스 정의서</t>
  </si>
  <si>
    <t>물리 DB 사양서</t>
  </si>
  <si>
    <t>DB Object 정의서</t>
  </si>
  <si>
    <t>프로그램 목록</t>
  </si>
  <si>
    <t>메뉴 구조도</t>
  </si>
  <si>
    <t>프로그램 명세서</t>
  </si>
  <si>
    <t>전환 계획서</t>
  </si>
  <si>
    <t>매핑 정의서</t>
  </si>
  <si>
    <t>전환 프로그램 목록</t>
  </si>
  <si>
    <t>전환 프로그램 명세서</t>
  </si>
  <si>
    <t>인수 테스트 기준서/결과서</t>
  </si>
  <si>
    <t>교육훈련 계획서</t>
  </si>
  <si>
    <t>고객테스트 포함</t>
    <phoneticPr fontId="9" type="noConversion"/>
  </si>
  <si>
    <t>■ 개발산출물 목록</t>
    <phoneticPr fontId="5" type="noConversion"/>
  </si>
  <si>
    <t>프로젝트 ID</t>
    <phoneticPr fontId="5" type="noConversion"/>
  </si>
  <si>
    <t>CJAG</t>
    <phoneticPr fontId="9" type="noConversion"/>
  </si>
  <si>
    <t>서브시스템 ID</t>
    <phoneticPr fontId="5" type="noConversion"/>
  </si>
  <si>
    <t>YY</t>
    <phoneticPr fontId="9" type="noConversion"/>
  </si>
  <si>
    <t>단계
(Phase)</t>
    <phoneticPr fontId="9" type="noConversion"/>
  </si>
  <si>
    <t>활동
(Activity)</t>
    <phoneticPr fontId="9" type="noConversion"/>
  </si>
  <si>
    <t>작업
(Task)</t>
    <phoneticPr fontId="9" type="noConversion"/>
  </si>
  <si>
    <t>산출물명</t>
    <phoneticPr fontId="9" type="noConversion"/>
  </si>
  <si>
    <t>SP단계</t>
    <phoneticPr fontId="9" type="noConversion"/>
  </si>
  <si>
    <t>방법론코드</t>
    <phoneticPr fontId="9" type="noConversion"/>
  </si>
  <si>
    <t>문서ID</t>
    <phoneticPr fontId="9" type="noConversion"/>
  </si>
  <si>
    <t>비고</t>
    <phoneticPr fontId="9" type="noConversion"/>
  </si>
  <si>
    <t>분석 / 상위설계
Plan</t>
    <phoneticPr fontId="9" type="noConversion"/>
  </si>
  <si>
    <t>UserStroy 작성</t>
    <phoneticPr fontId="9" type="noConversion"/>
  </si>
  <si>
    <t>Plan</t>
    <phoneticPr fontId="9" type="noConversion"/>
  </si>
  <si>
    <t>AG01</t>
    <phoneticPr fontId="9" type="noConversion"/>
  </si>
  <si>
    <t>CJAG-TP-02-Product Backlog(V1.0)</t>
    <phoneticPr fontId="9" type="noConversion"/>
  </si>
  <si>
    <t>CJAG-Plan-AG01-YY-Product Backlog(V1.0)</t>
    <phoneticPr fontId="9" type="noConversion"/>
  </si>
  <si>
    <t>모델링</t>
    <phoneticPr fontId="9" type="noConversion"/>
  </si>
  <si>
    <t>프로세스 모델링</t>
    <phoneticPr fontId="9" type="noConversion"/>
  </si>
  <si>
    <t>To-Be업무 흐름도</t>
    <phoneticPr fontId="9" type="noConversion"/>
  </si>
  <si>
    <t>AG02</t>
    <phoneticPr fontId="9" type="noConversion"/>
  </si>
  <si>
    <t>CJAG-TP-04-To-Be업무 흐름도(V1.0)</t>
    <phoneticPr fontId="9" type="noConversion"/>
  </si>
  <si>
    <t>CJAG-Plan-AG02-YY-To-Be업무 흐름도(V1.0)</t>
    <phoneticPr fontId="9" type="noConversion"/>
  </si>
  <si>
    <t>데이터 모델링</t>
    <phoneticPr fontId="9" type="noConversion"/>
  </si>
  <si>
    <t>AG03</t>
  </si>
  <si>
    <t>CJAG-TP-06-ERD(논리)(V1.0)</t>
    <phoneticPr fontId="9" type="noConversion"/>
  </si>
  <si>
    <t>CJAG-Plan-AG03-YY-ERD(논리)(V1.0)</t>
    <phoneticPr fontId="9" type="noConversion"/>
  </si>
  <si>
    <t>아키텍쳐 정의</t>
    <phoneticPr fontId="9" type="noConversion"/>
  </si>
  <si>
    <t>시스템 아키텍쳐 정의</t>
    <phoneticPr fontId="9" type="noConversion"/>
  </si>
  <si>
    <t>Plan</t>
    <phoneticPr fontId="9" type="noConversion"/>
  </si>
  <si>
    <t>AG04</t>
  </si>
  <si>
    <t>CJAG-TP-08-SW아키텍쳐설계서(V1.0)</t>
    <phoneticPr fontId="9" type="noConversion"/>
  </si>
  <si>
    <t>CJAG-Plan-AG04-YY-SW아키텍쳐설계서(V1.0)</t>
    <phoneticPr fontId="9" type="noConversion"/>
  </si>
  <si>
    <t>프로토타이핑</t>
    <phoneticPr fontId="9" type="noConversion"/>
  </si>
  <si>
    <t>프로토타입</t>
    <phoneticPr fontId="9" type="noConversion"/>
  </si>
  <si>
    <t>화면정의서</t>
    <phoneticPr fontId="9" type="noConversion"/>
  </si>
  <si>
    <t>AG05</t>
  </si>
  <si>
    <t>CJAG-TP-05-화면정의서(V1.0)</t>
    <phoneticPr fontId="9" type="noConversion"/>
  </si>
  <si>
    <t>CJAG-Plan-AG05-YY-화면정의서(V1.0)</t>
    <phoneticPr fontId="9" type="noConversion"/>
  </si>
  <si>
    <t>상세설계 / 구축
Sprint#1 ~ Sprint#N</t>
    <phoneticPr fontId="9" type="noConversion"/>
  </si>
  <si>
    <t>스프린트 계획</t>
    <phoneticPr fontId="9" type="noConversion"/>
  </si>
  <si>
    <t>스프린트 계획수립</t>
    <phoneticPr fontId="9" type="noConversion"/>
  </si>
  <si>
    <t>Product Backlog</t>
    <phoneticPr fontId="9" type="noConversion"/>
  </si>
  <si>
    <t>SP#N</t>
    <phoneticPr fontId="9" type="noConversion"/>
  </si>
  <si>
    <t>AG01</t>
    <phoneticPr fontId="9" type="noConversion"/>
  </si>
  <si>
    <t>CJAG-TP-09-총괄테스트계획서(V1.0)</t>
    <phoneticPr fontId="9" type="noConversion"/>
  </si>
  <si>
    <t>CJAG-SP#N-AG01-YY-Product Backlog(V1.0)</t>
    <phoneticPr fontId="9" type="noConversion"/>
  </si>
  <si>
    <t>테스트 설계</t>
    <phoneticPr fontId="9" type="noConversion"/>
  </si>
  <si>
    <t>총괄테스트계획서</t>
    <phoneticPr fontId="9" type="noConversion"/>
  </si>
  <si>
    <t>AG06</t>
    <phoneticPr fontId="9" type="noConversion"/>
  </si>
  <si>
    <t>CJAG-SP#N-AG06-YY-총괄테스트계획서(V1.0)</t>
    <phoneticPr fontId="9" type="noConversion"/>
  </si>
  <si>
    <t>프로그램설계</t>
    <phoneticPr fontId="9" type="noConversion"/>
  </si>
  <si>
    <t>화면 및 모듈 설계</t>
    <phoneticPr fontId="9" type="noConversion"/>
  </si>
  <si>
    <t>CJAG-TP-12-화면설계서(V1.0)</t>
    <phoneticPr fontId="9" type="noConversion"/>
  </si>
  <si>
    <t>CJAG-SP#N-AG05-YY-화면정의서 및 설계서(V1.0)</t>
    <phoneticPr fontId="9" type="noConversion"/>
  </si>
  <si>
    <t>DB상세 설계</t>
    <phoneticPr fontId="9" type="noConversion"/>
  </si>
  <si>
    <t>AG03</t>
    <phoneticPr fontId="9" type="noConversion"/>
  </si>
  <si>
    <t>CJAG-TP-13-ERD(논리+물리)(V1.0)</t>
    <phoneticPr fontId="9" type="noConversion"/>
  </si>
  <si>
    <t>CJAG-SP#N-AG03-YY-ERD(논리+물리)(V1.0)</t>
    <phoneticPr fontId="9" type="noConversion"/>
  </si>
  <si>
    <t>인터페이스 설계</t>
    <phoneticPr fontId="9" type="noConversion"/>
  </si>
  <si>
    <t>시스템 인터페이스 정의</t>
    <phoneticPr fontId="9" type="noConversion"/>
  </si>
  <si>
    <t>인터페이스 정의서</t>
    <phoneticPr fontId="9" type="noConversion"/>
  </si>
  <si>
    <t>AG07</t>
    <phoneticPr fontId="9" type="noConversion"/>
  </si>
  <si>
    <t>CJAG-TP-14-인터페이스 정의서(V1.0)</t>
    <phoneticPr fontId="9" type="noConversion"/>
  </si>
  <si>
    <t>CJAG-SP#N-AG07-YY-인터페이스 정의서(V1.0)</t>
    <phoneticPr fontId="9" type="noConversion"/>
  </si>
  <si>
    <t>단위테스트</t>
    <phoneticPr fontId="9" type="noConversion"/>
  </si>
  <si>
    <t>단위 테스트 실시</t>
    <phoneticPr fontId="9" type="noConversion"/>
  </si>
  <si>
    <t>단위테스트케이스/결과서</t>
    <phoneticPr fontId="9" type="noConversion"/>
  </si>
  <si>
    <t>AG08</t>
    <phoneticPr fontId="9" type="noConversion"/>
  </si>
  <si>
    <t>CJAG-SP#N-AG08-YY-단위테스트케이스/결과서(V1.0)</t>
    <phoneticPr fontId="9" type="noConversion"/>
  </si>
  <si>
    <t>테스트 결함관리</t>
    <phoneticPr fontId="9" type="noConversion"/>
  </si>
  <si>
    <t>공통 결함 관리</t>
    <phoneticPr fontId="9" type="noConversion"/>
  </si>
  <si>
    <t>결함관리대장</t>
    <phoneticPr fontId="9" type="noConversion"/>
  </si>
  <si>
    <t>AG09</t>
    <phoneticPr fontId="9" type="noConversion"/>
  </si>
  <si>
    <t>CJAG-TP-16-결함관리대장(V1.0)</t>
    <phoneticPr fontId="9" type="noConversion"/>
  </si>
  <si>
    <t>CJAG-SP#N-AG09-YY-결함관리대장(V1.0)</t>
    <phoneticPr fontId="9" type="noConversion"/>
  </si>
  <si>
    <t>고객사와 Sprint 리뷰</t>
    <phoneticPr fontId="9" type="noConversion"/>
  </si>
  <si>
    <t>Sprint Review</t>
    <phoneticPr fontId="9" type="noConversion"/>
  </si>
  <si>
    <t>AG10</t>
  </si>
  <si>
    <t>CJAG-SP#N-AG10-YY-Sprint Review(V1.0)</t>
    <phoneticPr fontId="9" type="noConversion"/>
  </si>
  <si>
    <t>팀원들과 Sprint 회고</t>
    <phoneticPr fontId="9" type="noConversion"/>
  </si>
  <si>
    <t>Sprint Retrospective</t>
    <phoneticPr fontId="9" type="noConversion"/>
  </si>
  <si>
    <t>AG11</t>
  </si>
  <si>
    <t>CJAG-SP#N-AG11-YY-Sprint Retrospective(V1.0)</t>
    <phoneticPr fontId="9" type="noConversion"/>
  </si>
  <si>
    <t>통합테스트
Integration</t>
    <phoneticPr fontId="9" type="noConversion"/>
  </si>
  <si>
    <t>통합 테스트</t>
    <phoneticPr fontId="9" type="noConversion"/>
  </si>
  <si>
    <t>통합 테스트 실시</t>
    <phoneticPr fontId="9" type="noConversion"/>
  </si>
  <si>
    <t>통합테스트시나리오/결과서</t>
    <phoneticPr fontId="9" type="noConversion"/>
  </si>
  <si>
    <t>Test</t>
    <phoneticPr fontId="9" type="noConversion"/>
  </si>
  <si>
    <t>AG12</t>
  </si>
  <si>
    <t>CJAG-TP-17-통합테스트시나리오/결과서(V1.0)</t>
    <phoneticPr fontId="9" type="noConversion"/>
  </si>
  <si>
    <t>CJAG-Test-AG12-통합테스트시나리오/결과서(V1.0)</t>
    <phoneticPr fontId="9" type="noConversion"/>
  </si>
  <si>
    <t>시스템 테스트</t>
    <phoneticPr fontId="9" type="noConversion"/>
  </si>
  <si>
    <t>AG13</t>
  </si>
  <si>
    <t>CJAG-TP-18-성능테스트케이스/결과서(V1.0)</t>
    <phoneticPr fontId="9" type="noConversion"/>
  </si>
  <si>
    <t>CJAG-Test-AG13-성능테스트케이스/결과서(V1.0)</t>
    <phoneticPr fontId="9" type="noConversion"/>
  </si>
  <si>
    <t>전개계획</t>
    <phoneticPr fontId="9" type="noConversion"/>
  </si>
  <si>
    <t>전개계획수립</t>
    <phoneticPr fontId="9" type="noConversion"/>
  </si>
  <si>
    <t>Tran</t>
    <phoneticPr fontId="9" type="noConversion"/>
  </si>
  <si>
    <t>AG14</t>
  </si>
  <si>
    <t>CJAG-TP-20-오픈시나리오(V1.0)</t>
    <phoneticPr fontId="9" type="noConversion"/>
  </si>
  <si>
    <t>CJAG-Tran-AG14-전개계획서(V1.0)</t>
    <phoneticPr fontId="9" type="noConversion"/>
  </si>
  <si>
    <t>교육</t>
    <phoneticPr fontId="9" type="noConversion"/>
  </si>
  <si>
    <t>매뉴얼 작성</t>
    <phoneticPr fontId="9" type="noConversion"/>
  </si>
  <si>
    <t>사용자매뉴얼</t>
    <phoneticPr fontId="9" type="noConversion"/>
  </si>
  <si>
    <t>AG15</t>
  </si>
  <si>
    <t>CJAG-TP-21-사용자매뉴얼(V1.0)</t>
    <phoneticPr fontId="9" type="noConversion"/>
  </si>
  <si>
    <t>CJAG-Tran-AG15-사용자매뉴얼(V1.0)</t>
    <phoneticPr fontId="9" type="noConversion"/>
  </si>
  <si>
    <t>운영자매뉴얼</t>
    <phoneticPr fontId="9" type="noConversion"/>
  </si>
  <si>
    <t>AG16</t>
  </si>
  <si>
    <t>CJAG-TP-22-운영자매뉴얼(V1.0)</t>
    <phoneticPr fontId="9" type="noConversion"/>
  </si>
  <si>
    <t>CJAG-Tran-AG16-운영자매뉴얼(V1.0)</t>
    <phoneticPr fontId="9" type="noConversion"/>
  </si>
  <si>
    <t>테이블 목록</t>
    <phoneticPr fontId="5" type="noConversion"/>
  </si>
  <si>
    <t>테이블 정의서</t>
    <phoneticPr fontId="5" type="noConversion"/>
  </si>
  <si>
    <t>시스템체계도</t>
    <phoneticPr fontId="9" type="noConversion"/>
  </si>
  <si>
    <t>시스템테스트케이스/결과서</t>
    <phoneticPr fontId="9" type="noConversion"/>
  </si>
  <si>
    <t>시스템 테스트 실시</t>
    <phoneticPr fontId="9" type="noConversion"/>
  </si>
  <si>
    <t>오픈시나리오</t>
    <phoneticPr fontId="9" type="noConversion"/>
  </si>
  <si>
    <t>오픈 이행
Transition</t>
    <phoneticPr fontId="9" type="noConversion"/>
  </si>
  <si>
    <t>요구사항 분석</t>
    <phoneticPr fontId="5" type="noConversion"/>
  </si>
  <si>
    <t>자료사전</t>
    <phoneticPr fontId="5" type="noConversion"/>
  </si>
  <si>
    <t>운영인수점검체크리스트 및 인수점검절차서 참조</t>
  </si>
  <si>
    <t xml:space="preserve">문서번호 : </t>
    <phoneticPr fontId="5" type="noConversion"/>
  </si>
  <si>
    <t>Version</t>
    <phoneticPr fontId="5" type="noConversion"/>
  </si>
  <si>
    <t>개정일자</t>
    <phoneticPr fontId="5" type="noConversion"/>
  </si>
  <si>
    <t>작성자</t>
    <phoneticPr fontId="5" type="noConversion"/>
  </si>
  <si>
    <t>개정 이력</t>
  </si>
  <si>
    <t>버전</t>
  </si>
  <si>
    <t>개정일자</t>
  </si>
  <si>
    <t>[1]개정사유</t>
  </si>
  <si>
    <t>[2]개정내역</t>
  </si>
  <si>
    <t>작성자</t>
  </si>
  <si>
    <t>승인자</t>
  </si>
  <si>
    <t>제정</t>
  </si>
  <si>
    <t>최초 제정</t>
  </si>
  <si>
    <t>[1] 개정 사유: 제정 또는 개정 내용이 이전 문서에 대해 추가/수정/삭제인지 선택 기입</t>
  </si>
  <si>
    <t>[2] 개정 내역: 개정이 발생하는 페이지 번호와 변경 내용을 기술</t>
  </si>
  <si>
    <t>조보련</t>
    <phoneticPr fontId="9" type="noConversion"/>
  </si>
  <si>
    <t>김경훈</t>
    <phoneticPr fontId="5" type="noConversion"/>
  </si>
  <si>
    <t>문서버전</t>
    <phoneticPr fontId="5" type="noConversion"/>
  </si>
  <si>
    <t>V1.0</t>
  </si>
  <si>
    <t>V1.1</t>
    <phoneticPr fontId="5" type="noConversion"/>
  </si>
  <si>
    <t>방법론명</t>
    <phoneticPr fontId="5" type="noConversion"/>
  </si>
  <si>
    <t>CJIE</t>
    <phoneticPr fontId="9" type="noConversion"/>
  </si>
  <si>
    <t>CJAG</t>
    <phoneticPr fontId="9" type="noConversion"/>
  </si>
  <si>
    <t>CJIE</t>
    <phoneticPr fontId="9" type="noConversion"/>
  </si>
  <si>
    <t>개정</t>
    <phoneticPr fontId="5" type="noConversion"/>
  </si>
  <si>
    <t>문서별 문서번호 반영</t>
    <phoneticPr fontId="5" type="noConversion"/>
  </si>
  <si>
    <t>V3.0</t>
  </si>
  <si>
    <t>V3.0</t>
    <phoneticPr fontId="9" type="noConversion"/>
  </si>
  <si>
    <t>V1.1</t>
    <phoneticPr fontId="9" type="noConversion"/>
  </si>
  <si>
    <t>V1.2</t>
    <phoneticPr fontId="9" type="noConversion"/>
  </si>
  <si>
    <t>엔티티 관계도ERD(논리)</t>
    <phoneticPr fontId="9" type="noConversion"/>
  </si>
  <si>
    <t>개정</t>
    <phoneticPr fontId="5" type="noConversion"/>
  </si>
  <si>
    <t>품질혁신본부장님 리뷰반영하여 Mandatory 표기 삭제
운영필수 산출물 10종만 구분하여 반영함</t>
    <phoneticPr fontId="5" type="noConversion"/>
  </si>
  <si>
    <t>이민우</t>
    <phoneticPr fontId="5" type="noConversion"/>
  </si>
  <si>
    <t>김경훈</t>
    <phoneticPr fontId="5" type="noConversion"/>
  </si>
  <si>
    <t>ERD(물리)</t>
    <phoneticPr fontId="9" type="noConversion"/>
  </si>
  <si>
    <t>V1.4</t>
    <phoneticPr fontId="5" type="noConversion"/>
  </si>
  <si>
    <t>Product Backlog v1.4 반영</t>
    <phoneticPr fontId="5" type="noConversion"/>
  </si>
  <si>
    <t>05</t>
    <phoneticPr fontId="9" type="noConversion"/>
  </si>
  <si>
    <t>검수확인서</t>
    <phoneticPr fontId="9" type="noConversion"/>
  </si>
  <si>
    <t>■ 관리 산출물 목록</t>
    <phoneticPr fontId="5" type="noConversion"/>
  </si>
  <si>
    <t>프로젝트 ID</t>
    <phoneticPr fontId="5" type="noConversion"/>
  </si>
  <si>
    <t>서브시스템 ID</t>
    <phoneticPr fontId="5" type="noConversion"/>
  </si>
  <si>
    <t>프로세스</t>
    <phoneticPr fontId="9" type="noConversion"/>
  </si>
  <si>
    <t>프로세스 코드</t>
    <phoneticPr fontId="9" type="noConversion"/>
  </si>
  <si>
    <t>산출물명</t>
    <phoneticPr fontId="9" type="noConversion"/>
  </si>
  <si>
    <t>순번</t>
    <phoneticPr fontId="9" type="noConversion"/>
  </si>
  <si>
    <t>적용여부
(Mandatory, Optional)</t>
    <phoneticPr fontId="9" type="noConversion"/>
  </si>
  <si>
    <t>문서ID</t>
    <phoneticPr fontId="9" type="noConversion"/>
  </si>
  <si>
    <t>프로젝트 계획수립</t>
    <phoneticPr fontId="9" type="noConversion"/>
  </si>
  <si>
    <t>PP</t>
    <phoneticPr fontId="9" type="noConversion"/>
  </si>
  <si>
    <t>프로젝트 수행 계획서</t>
    <phoneticPr fontId="9" type="noConversion"/>
  </si>
  <si>
    <t>프로젝트 감독 및 통제</t>
    <phoneticPr fontId="9" type="noConversion"/>
  </si>
  <si>
    <t>프로젝트 주간보고서</t>
    <phoneticPr fontId="9" type="noConversion"/>
  </si>
  <si>
    <t>프로젝트 월간보고서</t>
    <phoneticPr fontId="9" type="noConversion"/>
  </si>
  <si>
    <t xml:space="preserve">변경요청서/ 변경결과서 </t>
    <phoneticPr fontId="9" type="noConversion"/>
  </si>
  <si>
    <t>변화관리계획서</t>
    <phoneticPr fontId="9" type="noConversion"/>
  </si>
  <si>
    <t>배포요청서</t>
    <phoneticPr fontId="9" type="noConversion"/>
  </si>
  <si>
    <t>완료보고서</t>
    <phoneticPr fontId="9" type="noConversion"/>
  </si>
  <si>
    <t>레슨런</t>
    <phoneticPr fontId="9" type="noConversion"/>
  </si>
  <si>
    <t>생산성측정양식</t>
    <phoneticPr fontId="9" type="noConversion"/>
  </si>
  <si>
    <t>프로젝트 관리표준</t>
    <phoneticPr fontId="9" type="noConversion"/>
  </si>
  <si>
    <t>프로젝트 Tailoring 대비표</t>
    <phoneticPr fontId="9" type="noConversion"/>
  </si>
  <si>
    <t>위험_이슈_ActionItem관리대장</t>
    <phoneticPr fontId="9" type="noConversion"/>
  </si>
  <si>
    <t>프로젝트 종료</t>
    <phoneticPr fontId="9" type="noConversion"/>
  </si>
  <si>
    <t>요구사항 기술서</t>
    <phoneticPr fontId="9" type="noConversion"/>
  </si>
  <si>
    <t>기능목록 (Product Backlog)</t>
    <phoneticPr fontId="9" type="noConversion"/>
  </si>
  <si>
    <t xml:space="preserve">비고 </t>
    <phoneticPr fontId="9" type="noConversion"/>
  </si>
  <si>
    <t>PP</t>
    <phoneticPr fontId="9" type="noConversion"/>
  </si>
  <si>
    <t>26</t>
    <phoneticPr fontId="9" type="noConversion"/>
  </si>
  <si>
    <t>CM</t>
    <phoneticPr fontId="9" type="noConversion"/>
  </si>
  <si>
    <t>02</t>
    <phoneticPr fontId="9" type="noConversion"/>
  </si>
  <si>
    <t>STM</t>
    <phoneticPr fontId="9" type="noConversion"/>
  </si>
  <si>
    <t>04</t>
    <phoneticPr fontId="9" type="noConversion"/>
  </si>
  <si>
    <t>03</t>
    <phoneticPr fontId="9" type="noConversion"/>
  </si>
  <si>
    <t>STA</t>
    <phoneticPr fontId="9" type="noConversion"/>
  </si>
  <si>
    <t>인력관리(업무,역할별 투입인력계획 대비 실적)</t>
    <phoneticPr fontId="9" type="noConversion"/>
  </si>
  <si>
    <t>회의록</t>
    <phoneticPr fontId="9" type="noConversion"/>
  </si>
  <si>
    <t>M</t>
  </si>
  <si>
    <t>O</t>
  </si>
  <si>
    <t>01</t>
    <phoneticPr fontId="9" type="noConversion"/>
  </si>
  <si>
    <t>PMC</t>
    <phoneticPr fontId="9" type="noConversion"/>
  </si>
  <si>
    <t>-</t>
    <phoneticPr fontId="9" type="noConversion"/>
  </si>
  <si>
    <t>29</t>
    <phoneticPr fontId="9" type="noConversion"/>
  </si>
  <si>
    <t>SD</t>
    <phoneticPr fontId="9" type="noConversion"/>
  </si>
  <si>
    <t>17</t>
    <phoneticPr fontId="9" type="noConversion"/>
  </si>
  <si>
    <t>WBS템플릿(CJ-Agile)</t>
    <phoneticPr fontId="9" type="noConversion"/>
  </si>
  <si>
    <t>구분</t>
    <phoneticPr fontId="9" type="noConversion"/>
  </si>
  <si>
    <t>PMC</t>
    <phoneticPr fontId="9" type="noConversion"/>
  </si>
  <si>
    <t>프로젝트 운영 인수인계서</t>
    <phoneticPr fontId="9" type="noConversion"/>
  </si>
  <si>
    <t>14</t>
    <phoneticPr fontId="9" type="noConversion"/>
  </si>
  <si>
    <t>PP</t>
    <phoneticPr fontId="9" type="noConversion"/>
  </si>
  <si>
    <t>15</t>
    <phoneticPr fontId="9" type="noConversion"/>
  </si>
  <si>
    <t>STM</t>
    <phoneticPr fontId="9" type="noConversion"/>
  </si>
  <si>
    <t>교육훈련계획및실적</t>
    <phoneticPr fontId="9" type="noConversion"/>
  </si>
  <si>
    <t>05</t>
    <phoneticPr fontId="9" type="noConversion"/>
  </si>
  <si>
    <t>ST</t>
    <phoneticPr fontId="9" type="noConversion"/>
  </si>
  <si>
    <t>STM</t>
    <phoneticPr fontId="9" type="noConversion"/>
  </si>
  <si>
    <t>02</t>
    <phoneticPr fontId="9" type="noConversion"/>
  </si>
  <si>
    <t>ST</t>
    <phoneticPr fontId="9" type="noConversion"/>
  </si>
  <si>
    <t>개정</t>
    <phoneticPr fontId="5" type="noConversion"/>
  </si>
  <si>
    <t>관리산출물과 통합반영함</t>
    <phoneticPr fontId="5" type="noConversion"/>
  </si>
  <si>
    <t>송혜란</t>
    <phoneticPr fontId="5" type="noConversion"/>
  </si>
  <si>
    <t>김경훈</t>
    <phoneticPr fontId="5" type="noConversion"/>
  </si>
  <si>
    <t>품질혁신팀</t>
    <phoneticPr fontId="5" type="noConversion"/>
  </si>
  <si>
    <t>개정</t>
    <phoneticPr fontId="5" type="noConversion"/>
  </si>
  <si>
    <t>조직개편으로 인한 팀명변경</t>
    <phoneticPr fontId="5" type="noConversion"/>
  </si>
  <si>
    <t>이용희</t>
    <phoneticPr fontId="5" type="noConversion"/>
  </si>
  <si>
    <t>박철희</t>
    <phoneticPr fontId="5" type="noConversion"/>
  </si>
  <si>
    <t>프로젝트 산출물 목록(Tailoring)</t>
    <phoneticPr fontId="5" type="noConversion"/>
  </si>
  <si>
    <t>Y</t>
    <phoneticPr fontId="9" type="noConversion"/>
  </si>
  <si>
    <t>Y</t>
    <phoneticPr fontId="9" type="noConversion"/>
  </si>
  <si>
    <t>Y</t>
    <phoneticPr fontId="9" type="noConversion"/>
  </si>
  <si>
    <t>Y</t>
    <phoneticPr fontId="9" type="noConversion"/>
  </si>
  <si>
    <t>Y</t>
    <phoneticPr fontId="9" type="noConversion"/>
  </si>
  <si>
    <t>주간보고로 인력 현황 공유</t>
    <phoneticPr fontId="9" type="noConversion"/>
  </si>
  <si>
    <t>화면 정의서 Update</t>
    <phoneticPr fontId="9" type="noConversion"/>
  </si>
  <si>
    <t>Jira 관리, export 제출</t>
    <phoneticPr fontId="9" type="noConversion"/>
  </si>
  <si>
    <t>Y</t>
    <phoneticPr fontId="9" type="noConversion"/>
  </si>
  <si>
    <t>Y</t>
    <phoneticPr fontId="9" type="noConversion"/>
  </si>
  <si>
    <t>Y</t>
    <phoneticPr fontId="9" type="noConversion"/>
  </si>
  <si>
    <t>Y</t>
    <phoneticPr fontId="9" type="noConversion"/>
  </si>
  <si>
    <t>Y</t>
    <phoneticPr fontId="9" type="noConversion"/>
  </si>
  <si>
    <t>Jira를 사용하고 EXPORT하여 제출</t>
    <phoneticPr fontId="9" type="noConversion"/>
  </si>
  <si>
    <t>U</t>
    <phoneticPr fontId="9" type="noConversion"/>
  </si>
  <si>
    <t>U</t>
    <phoneticPr fontId="9" type="noConversion"/>
  </si>
  <si>
    <t>단위테스트 결과 관리여부 검토</t>
    <phoneticPr fontId="9" type="noConversion"/>
  </si>
  <si>
    <t>V1.6</t>
    <phoneticPr fontId="5" type="noConversion"/>
  </si>
  <si>
    <t>개정</t>
    <phoneticPr fontId="5" type="noConversion"/>
  </si>
  <si>
    <t>조수연</t>
    <phoneticPr fontId="5" type="noConversion"/>
  </si>
  <si>
    <t>중간점검 대상</t>
    <phoneticPr fontId="9" type="noConversion"/>
  </si>
  <si>
    <t>출하점검 대상</t>
    <phoneticPr fontId="9" type="noConversion"/>
  </si>
  <si>
    <t>중간점검 대상</t>
    <phoneticPr fontId="9" type="noConversion"/>
  </si>
  <si>
    <t>출하점검 대상</t>
    <phoneticPr fontId="9" type="noConversion"/>
  </si>
  <si>
    <t>산출물 제출
(완료 점검)
대상</t>
    <phoneticPr fontId="9" type="noConversion"/>
  </si>
  <si>
    <t>적용 대상
(완료 점검)</t>
    <phoneticPr fontId="9" type="noConversion"/>
  </si>
  <si>
    <t>중간점검, 출하점검 대상 산출물 설명 추가</t>
    <phoneticPr fontId="5" type="noConversion"/>
  </si>
  <si>
    <t>중간점검시 기준정보 정의 확인</t>
    <phoneticPr fontId="9" type="noConversion"/>
  </si>
  <si>
    <t>성능테스트 대상 검토</t>
    <phoneticPr fontId="9" type="noConversion"/>
  </si>
  <si>
    <t>범위 확정여부</t>
    <phoneticPr fontId="9" type="noConversion"/>
  </si>
  <si>
    <t>인터페이스 구성
개발/운영환경 구성</t>
    <phoneticPr fontId="9" type="noConversion"/>
  </si>
  <si>
    <t>산출물 추적 여부</t>
    <phoneticPr fontId="9" type="noConversion"/>
  </si>
  <si>
    <t>개발/테스트 진척율
(인터페이스 포함)</t>
    <phoneticPr fontId="9" type="noConversion"/>
  </si>
  <si>
    <t>기준정보 설계 여부</t>
    <phoneticPr fontId="9" type="noConversion"/>
  </si>
  <si>
    <t>인터페이스 설계 여부</t>
    <phoneticPr fontId="9" type="noConversion"/>
  </si>
  <si>
    <t>전환 계획수립 여부</t>
    <phoneticPr fontId="9" type="noConversion"/>
  </si>
  <si>
    <t>전환 설계 여부</t>
    <phoneticPr fontId="9" type="noConversion"/>
  </si>
  <si>
    <t>산출물 추적 여부
테스트 진척율</t>
    <phoneticPr fontId="9" type="noConversion"/>
  </si>
  <si>
    <t>결함 조치 여부</t>
    <phoneticPr fontId="9" type="noConversion"/>
  </si>
  <si>
    <t>범위 확정여부
산출물 추적 여부</t>
    <phoneticPr fontId="9" type="noConversion"/>
  </si>
  <si>
    <t>산출물 추적 여부</t>
    <phoneticPr fontId="9" type="noConversion"/>
  </si>
  <si>
    <t xml:space="preserve">일정 준수 여부,
이해관계자 일정 준수 여부 </t>
    <phoneticPr fontId="9" type="noConversion"/>
  </si>
  <si>
    <t>일정 준수 여부,
이해관계자 일정 준수 여부
데이터(기준정보 계획수립)</t>
    <phoneticPr fontId="9" type="noConversion"/>
  </si>
  <si>
    <t>인력 계획대비 투입 여부</t>
    <phoneticPr fontId="9" type="noConversion"/>
  </si>
  <si>
    <t>위험/이슈 적시 처리 여부</t>
    <phoneticPr fontId="9" type="noConversion"/>
  </si>
  <si>
    <t>총 계 (필수)</t>
    <phoneticPr fontId="5" type="noConversion"/>
  </si>
  <si>
    <t>총 계 (필수)</t>
    <phoneticPr fontId="9" type="noConversion"/>
  </si>
  <si>
    <t>개발 완료 대상</t>
    <phoneticPr fontId="9" type="noConversion"/>
  </si>
  <si>
    <t>개발 완료 대상</t>
    <phoneticPr fontId="9" type="noConversion"/>
  </si>
  <si>
    <t>출하테스트(권한)</t>
    <phoneticPr fontId="9" type="noConversion"/>
  </si>
  <si>
    <t>개발 완료 대상
출하테스트(속도)</t>
    <phoneticPr fontId="9" type="noConversion"/>
  </si>
  <si>
    <t>배치 수행 대상</t>
    <phoneticPr fontId="9" type="noConversion"/>
  </si>
  <si>
    <t>인터페이스 연계 대상</t>
    <phoneticPr fontId="9" type="noConversion"/>
  </si>
  <si>
    <t>비상대응계획 수립 여부</t>
    <phoneticPr fontId="9" type="noConversion"/>
  </si>
  <si>
    <t>결함 조치 여부, 
출하테스트(결함 조치)</t>
    <phoneticPr fontId="9" type="noConversion"/>
  </si>
  <si>
    <t>테스트, 인터페이스 테스트, 
출하테스트(기능)</t>
    <phoneticPr fontId="9" type="noConversion"/>
  </si>
  <si>
    <t>성능 목표응답시간 달성 여부</t>
    <phoneticPr fontId="9" type="noConversion"/>
  </si>
  <si>
    <t>데이터 전환 계획, 
Web/Was 모니터링 계획, 
배치 설정 계획,오픈 계획, 
비상연락망, 운영환경 설정 식별, 비상대응계획</t>
    <phoneticPr fontId="9" type="noConversion"/>
  </si>
  <si>
    <t>출하테스트(속도,첨부 용량,공통 플랫폼테스트)</t>
    <phoneticPr fontId="9" type="noConversion"/>
  </si>
  <si>
    <t>통합테스트 결과 공유,
통합테스트 고객참여 여부,
기준정보 정의 공유</t>
    <phoneticPr fontId="9" type="noConversion"/>
  </si>
  <si>
    <t xml:space="preserve">고객사 정책서 </t>
    <phoneticPr fontId="9" type="noConversion"/>
  </si>
  <si>
    <t>시스템 구성도, 아키텍처 설계서로 대체</t>
    <phoneticPr fontId="9" type="noConversion"/>
  </si>
  <si>
    <t>화면설계서에 표시 별도 파일 작성 가능</t>
    <phoneticPr fontId="9" type="noConversion"/>
  </si>
  <si>
    <t>- 기준정보 입력</t>
    <phoneticPr fontId="9" type="noConversion"/>
  </si>
  <si>
    <t>착수보고 문서로 대체</t>
    <phoneticPr fontId="9" type="noConversion"/>
  </si>
  <si>
    <t>신성통상 차세대 POS 및 키오스크 구축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</si>
</sst>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-&quot;₩&quot;* #,##0_-;\-&quot;₩&quot;* #,##0_-;_-&quot;₩&quot;* &quot;-&quot;_-;_-@_-"/>
    <numFmt numFmtId="176" formatCode="0.0"/>
  </numFmts>
  <fonts count="2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2"/>
      <color theme="1" tint="0.49998474074526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b/>
      <sz val="18"/>
      <color theme="1" tint="0.499984740745262"/>
      <name val="CJ ONLYONE NEW 제목 Medium"/>
      <family val="3"/>
      <charset val="129"/>
    </font>
    <font>
      <sz val="24"/>
      <name val="CJ ONLYONE NEW 제목 Medium"/>
      <family val="3"/>
      <charset val="129"/>
    </font>
    <font>
      <b/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/>
      <top style="medium">
        <color indexed="23"/>
      </top>
      <bottom style="thin">
        <color indexed="23"/>
      </bottom>
      <diagonal/>
    </border>
    <border>
      <left/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/>
      <top style="thin">
        <color indexed="23"/>
      </top>
      <bottom style="medium">
        <color indexed="23"/>
      </bottom>
      <diagonal/>
    </border>
    <border>
      <left/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3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58">
    <xf numFmtId="0" fontId="0" fillId="0" borderId="0" xfId="0">
      <alignment vertical="center"/>
    </xf>
    <xf numFmtId="0" fontId="8" fillId="0" borderId="0" xfId="1" applyFont="1">
      <alignment vertical="center"/>
    </xf>
    <xf numFmtId="0" fontId="8" fillId="0" borderId="0" xfId="1" applyFont="1" applyAlignment="1">
      <alignment horizontal="center" vertical="center"/>
    </xf>
    <xf numFmtId="0" fontId="3" fillId="0" borderId="0" xfId="1">
      <alignment vertical="center"/>
    </xf>
    <xf numFmtId="0" fontId="7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10" fillId="2" borderId="6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49" fontId="10" fillId="0" borderId="1" xfId="1" applyNumberFormat="1" applyFont="1" applyBorder="1" applyAlignment="1">
      <alignment horizontal="center" vertical="center"/>
    </xf>
    <xf numFmtId="0" fontId="11" fillId="0" borderId="1" xfId="1" applyFont="1" applyBorder="1">
      <alignment vertical="center"/>
    </xf>
    <xf numFmtId="0" fontId="11" fillId="0" borderId="1" xfId="1" applyFont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1" fillId="0" borderId="0" xfId="1" applyFont="1">
      <alignment vertical="center"/>
    </xf>
    <xf numFmtId="0" fontId="11" fillId="0" borderId="9" xfId="1" applyFont="1" applyBorder="1">
      <alignment vertical="center"/>
    </xf>
    <xf numFmtId="0" fontId="11" fillId="0" borderId="9" xfId="1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>
      <alignment vertical="center"/>
    </xf>
    <xf numFmtId="0" fontId="10" fillId="0" borderId="0" xfId="1" applyFont="1">
      <alignment vertical="center"/>
    </xf>
    <xf numFmtId="0" fontId="12" fillId="0" borderId="1" xfId="1" applyFont="1" applyBorder="1">
      <alignment vertical="center"/>
    </xf>
    <xf numFmtId="0" fontId="13" fillId="2" borderId="7" xfId="1" applyFont="1" applyFill="1" applyBorder="1" applyAlignment="1">
      <alignment horizontal="center" vertical="center"/>
    </xf>
    <xf numFmtId="49" fontId="11" fillId="0" borderId="1" xfId="1" applyNumberFormat="1" applyFont="1" applyBorder="1" applyAlignment="1">
      <alignment horizontal="left" vertical="center"/>
    </xf>
    <xf numFmtId="0" fontId="16" fillId="0" borderId="0" xfId="3" applyFont="1">
      <alignment vertical="center"/>
    </xf>
    <xf numFmtId="0" fontId="12" fillId="0" borderId="0" xfId="3" applyFont="1">
      <alignment vertical="center"/>
    </xf>
    <xf numFmtId="0" fontId="17" fillId="0" borderId="0" xfId="4" applyFont="1">
      <alignment vertical="center"/>
    </xf>
    <xf numFmtId="0" fontId="12" fillId="0" borderId="11" xfId="3" applyFont="1" applyBorder="1" applyAlignment="1">
      <alignment horizontal="center" vertical="center"/>
    </xf>
    <xf numFmtId="14" fontId="12" fillId="0" borderId="0" xfId="3" applyNumberFormat="1" applyFont="1">
      <alignment vertical="center"/>
    </xf>
    <xf numFmtId="0" fontId="18" fillId="0" borderId="0" xfId="3" applyFont="1">
      <alignment vertical="center"/>
    </xf>
    <xf numFmtId="0" fontId="12" fillId="0" borderId="14" xfId="3" applyFont="1" applyBorder="1" applyAlignment="1">
      <alignment horizontal="center" vertical="center"/>
    </xf>
    <xf numFmtId="0" fontId="12" fillId="0" borderId="17" xfId="3" applyFont="1" applyBorder="1" applyAlignment="1">
      <alignment horizontal="center" vertical="center"/>
    </xf>
    <xf numFmtId="0" fontId="12" fillId="2" borderId="0" xfId="3" applyFont="1" applyFill="1">
      <alignment vertical="center"/>
    </xf>
    <xf numFmtId="0" fontId="19" fillId="0" borderId="0" xfId="3" applyFont="1">
      <alignment vertical="center"/>
    </xf>
    <xf numFmtId="0" fontId="20" fillId="0" borderId="0" xfId="3" applyFont="1">
      <alignment vertical="center"/>
    </xf>
    <xf numFmtId="0" fontId="22" fillId="4" borderId="1" xfId="4" applyFont="1" applyFill="1" applyBorder="1" applyAlignment="1">
      <alignment horizontal="center" vertical="center" wrapText="1"/>
    </xf>
    <xf numFmtId="0" fontId="22" fillId="4" borderId="1" xfId="4" applyFont="1" applyFill="1" applyBorder="1" applyAlignment="1">
      <alignment horizontal="center" vertical="center"/>
    </xf>
    <xf numFmtId="0" fontId="18" fillId="0" borderId="1" xfId="4" applyFont="1" applyBorder="1" applyAlignment="1">
      <alignment horizontal="center" vertical="center" wrapText="1"/>
    </xf>
    <xf numFmtId="14" fontId="18" fillId="0" borderId="1" xfId="4" applyNumberFormat="1" applyFont="1" applyBorder="1" applyAlignment="1">
      <alignment horizontal="center" vertical="center" wrapText="1"/>
    </xf>
    <xf numFmtId="0" fontId="18" fillId="0" borderId="1" xfId="4" applyFont="1" applyBorder="1" applyAlignment="1">
      <alignment horizontal="justify" vertical="center" wrapText="1"/>
    </xf>
    <xf numFmtId="176" fontId="18" fillId="0" borderId="1" xfId="3" applyNumberFormat="1" applyFont="1" applyBorder="1" applyAlignment="1">
      <alignment horizontal="center" vertical="center" wrapText="1"/>
    </xf>
    <xf numFmtId="14" fontId="18" fillId="0" borderId="1" xfId="3" applyNumberFormat="1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18" fillId="0" borderId="1" xfId="4" applyFont="1" applyBorder="1" applyAlignment="1">
      <alignment horizontal="justify" vertical="center"/>
    </xf>
    <xf numFmtId="0" fontId="18" fillId="0" borderId="1" xfId="4" applyFont="1" applyBorder="1">
      <alignment vertical="center"/>
    </xf>
    <xf numFmtId="0" fontId="18" fillId="0" borderId="0" xfId="4" applyFont="1">
      <alignment vertical="center"/>
    </xf>
    <xf numFmtId="0" fontId="12" fillId="0" borderId="0" xfId="4" applyFont="1">
      <alignment vertical="center"/>
    </xf>
    <xf numFmtId="0" fontId="23" fillId="0" borderId="0" xfId="4" applyFont="1">
      <alignment vertical="center"/>
    </xf>
    <xf numFmtId="0" fontId="12" fillId="0" borderId="1" xfId="0" applyFont="1" applyBorder="1" applyAlignment="1">
      <alignment horizontal="left" vertical="center"/>
    </xf>
    <xf numFmtId="0" fontId="12" fillId="0" borderId="20" xfId="0" applyFont="1" applyBorder="1">
      <alignment vertical="center"/>
    </xf>
    <xf numFmtId="0" fontId="11" fillId="0" borderId="21" xfId="1" applyFont="1" applyBorder="1" applyAlignment="1">
      <alignment horizontal="center" vertical="center"/>
    </xf>
    <xf numFmtId="0" fontId="11" fillId="0" borderId="21" xfId="1" applyFont="1" applyBorder="1">
      <alignment vertical="center"/>
    </xf>
    <xf numFmtId="0" fontId="11" fillId="0" borderId="22" xfId="1" applyFont="1" applyBorder="1">
      <alignment vertical="center"/>
    </xf>
    <xf numFmtId="49" fontId="10" fillId="0" borderId="24" xfId="1" applyNumberFormat="1" applyFont="1" applyBorder="1" applyAlignment="1">
      <alignment horizontal="center" vertical="center"/>
    </xf>
    <xf numFmtId="49" fontId="11" fillId="0" borderId="24" xfId="1" applyNumberFormat="1" applyFont="1" applyBorder="1" applyAlignment="1">
      <alignment horizontal="left" vertical="center"/>
    </xf>
    <xf numFmtId="0" fontId="12" fillId="0" borderId="24" xfId="1" applyFont="1" applyBorder="1">
      <alignment vertical="center"/>
    </xf>
    <xf numFmtId="0" fontId="11" fillId="0" borderId="24" xfId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49" fontId="10" fillId="0" borderId="21" xfId="1" applyNumberFormat="1" applyFont="1" applyBorder="1" applyAlignment="1">
      <alignment horizontal="center" vertical="center"/>
    </xf>
    <xf numFmtId="49" fontId="11" fillId="0" borderId="21" xfId="1" applyNumberFormat="1" applyFont="1" applyBorder="1" applyAlignment="1">
      <alignment horizontal="left" vertical="center"/>
    </xf>
    <xf numFmtId="0" fontId="12" fillId="0" borderId="21" xfId="1" applyFont="1" applyBorder="1">
      <alignment vertical="center"/>
    </xf>
    <xf numFmtId="0" fontId="11" fillId="3" borderId="21" xfId="1" applyFont="1" applyFill="1" applyBorder="1" applyAlignment="1">
      <alignment horizontal="center" vertical="center"/>
    </xf>
    <xf numFmtId="0" fontId="11" fillId="3" borderId="24" xfId="1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2" fillId="0" borderId="24" xfId="0" applyFont="1" applyBorder="1" applyAlignment="1">
      <alignment horizontal="left" vertical="center"/>
    </xf>
    <xf numFmtId="0" fontId="12" fillId="0" borderId="26" xfId="0" applyFont="1" applyBorder="1">
      <alignment vertical="center"/>
    </xf>
    <xf numFmtId="0" fontId="12" fillId="0" borderId="26" xfId="0" applyFont="1" applyBorder="1" applyAlignment="1">
      <alignment horizontal="center" vertical="center"/>
    </xf>
    <xf numFmtId="0" fontId="11" fillId="0" borderId="24" xfId="1" applyFont="1" applyBorder="1" applyAlignment="1">
      <alignment horizontal="left" vertical="center"/>
    </xf>
    <xf numFmtId="0" fontId="10" fillId="2" borderId="28" xfId="1" applyFont="1" applyFill="1" applyBorder="1" applyAlignment="1">
      <alignment horizontal="center" vertical="center"/>
    </xf>
    <xf numFmtId="0" fontId="11" fillId="2" borderId="28" xfId="1" applyFont="1" applyFill="1" applyBorder="1" applyAlignment="1">
      <alignment horizontal="left" vertical="center"/>
    </xf>
    <xf numFmtId="0" fontId="11" fillId="2" borderId="29" xfId="1" applyFont="1" applyFill="1" applyBorder="1">
      <alignment vertical="center"/>
    </xf>
    <xf numFmtId="0" fontId="10" fillId="2" borderId="28" xfId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/>
    </xf>
    <xf numFmtId="0" fontId="12" fillId="0" borderId="30" xfId="0" applyFont="1" applyBorder="1">
      <alignment vertical="center"/>
    </xf>
    <xf numFmtId="0" fontId="11" fillId="0" borderId="4" xfId="1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1" fillId="0" borderId="5" xfId="1" applyFont="1" applyBorder="1">
      <alignment vertical="center"/>
    </xf>
    <xf numFmtId="0" fontId="11" fillId="0" borderId="31" xfId="1" applyFont="1" applyBorder="1">
      <alignment vertical="center"/>
    </xf>
    <xf numFmtId="0" fontId="8" fillId="0" borderId="0" xfId="5" applyFont="1">
      <alignment vertical="center"/>
    </xf>
    <xf numFmtId="0" fontId="8" fillId="0" borderId="0" xfId="5" applyFont="1" applyAlignment="1">
      <alignment horizontal="center" vertical="center"/>
    </xf>
    <xf numFmtId="0" fontId="1" fillId="0" borderId="0" xfId="5">
      <alignment vertical="center"/>
    </xf>
    <xf numFmtId="0" fontId="7" fillId="0" borderId="0" xfId="5" applyFont="1">
      <alignment vertical="center"/>
    </xf>
    <xf numFmtId="0" fontId="6" fillId="0" borderId="0" xfId="5" applyFont="1" applyAlignment="1">
      <alignment horizontal="center" vertical="center"/>
    </xf>
    <xf numFmtId="0" fontId="10" fillId="2" borderId="1" xfId="5" applyFont="1" applyFill="1" applyBorder="1">
      <alignment vertical="center"/>
    </xf>
    <xf numFmtId="0" fontId="10" fillId="2" borderId="1" xfId="5" applyFont="1" applyFill="1" applyBorder="1" applyAlignment="1">
      <alignment horizontal="center" vertical="center"/>
    </xf>
    <xf numFmtId="0" fontId="10" fillId="2" borderId="1" xfId="5" applyFont="1" applyFill="1" applyBorder="1" applyAlignment="1">
      <alignment horizontal="center" vertical="center" wrapText="1"/>
    </xf>
    <xf numFmtId="0" fontId="11" fillId="5" borderId="1" xfId="0" applyFont="1" applyFill="1" applyBorder="1">
      <alignment vertical="center"/>
    </xf>
    <xf numFmtId="0" fontId="12" fillId="0" borderId="1" xfId="5" applyFont="1" applyBorder="1">
      <alignment vertical="center"/>
    </xf>
    <xf numFmtId="0" fontId="12" fillId="0" borderId="1" xfId="0" applyFont="1" applyBorder="1">
      <alignment vertical="center"/>
    </xf>
    <xf numFmtId="49" fontId="13" fillId="0" borderId="1" xfId="5" applyNumberFormat="1" applyFont="1" applyBorder="1" applyAlignment="1">
      <alignment horizontal="center" vertical="center"/>
    </xf>
    <xf numFmtId="0" fontId="12" fillId="0" borderId="1" xfId="5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49" fontId="13" fillId="0" borderId="1" xfId="5" quotePrefix="1" applyNumberFormat="1" applyFont="1" applyBorder="1" applyAlignment="1">
      <alignment horizontal="center" vertical="center"/>
    </xf>
    <xf numFmtId="0" fontId="13" fillId="0" borderId="1" xfId="5" applyFont="1" applyBorder="1" applyAlignment="1">
      <alignment horizontal="center" vertical="center"/>
    </xf>
    <xf numFmtId="0" fontId="13" fillId="0" borderId="3" xfId="5" applyFont="1" applyBorder="1" applyAlignment="1">
      <alignment horizontal="center" vertical="center"/>
    </xf>
    <xf numFmtId="0" fontId="13" fillId="0" borderId="1" xfId="5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1" fillId="0" borderId="20" xfId="1" applyFont="1" applyBorder="1">
      <alignment vertical="center"/>
    </xf>
    <xf numFmtId="0" fontId="11" fillId="0" borderId="2" xfId="1" applyFont="1" applyBorder="1">
      <alignment vertical="center"/>
    </xf>
    <xf numFmtId="0" fontId="12" fillId="0" borderId="2" xfId="1" applyFont="1" applyBorder="1">
      <alignment vertical="center"/>
    </xf>
    <xf numFmtId="0" fontId="12" fillId="0" borderId="34" xfId="1" applyFont="1" applyBorder="1">
      <alignment vertical="center"/>
    </xf>
    <xf numFmtId="0" fontId="12" fillId="0" borderId="20" xfId="1" applyFont="1" applyBorder="1">
      <alignment vertical="center"/>
    </xf>
    <xf numFmtId="0" fontId="12" fillId="0" borderId="26" xfId="1" applyFont="1" applyBorder="1">
      <alignment vertical="center"/>
    </xf>
    <xf numFmtId="0" fontId="11" fillId="0" borderId="35" xfId="1" applyFont="1" applyBorder="1">
      <alignment vertical="center"/>
    </xf>
    <xf numFmtId="0" fontId="11" fillId="0" borderId="26" xfId="1" applyFont="1" applyBorder="1" applyAlignment="1">
      <alignment horizontal="left" vertical="center"/>
    </xf>
    <xf numFmtId="0" fontId="11" fillId="2" borderId="36" xfId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20" xfId="1" applyFont="1" applyBorder="1" applyAlignment="1">
      <alignment vertical="center" wrapText="1"/>
    </xf>
    <xf numFmtId="0" fontId="10" fillId="6" borderId="33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2" fillId="0" borderId="2" xfId="1" applyFont="1" applyBorder="1" applyAlignment="1">
      <alignment vertical="center" wrapText="1"/>
    </xf>
    <xf numFmtId="0" fontId="11" fillId="0" borderId="2" xfId="1" applyFont="1" applyBorder="1" applyAlignment="1">
      <alignment vertical="center" wrapText="1"/>
    </xf>
    <xf numFmtId="0" fontId="8" fillId="2" borderId="1" xfId="5" applyFont="1" applyFill="1" applyBorder="1">
      <alignment vertical="center"/>
    </xf>
    <xf numFmtId="0" fontId="1" fillId="2" borderId="1" xfId="5" applyFill="1" applyBorder="1">
      <alignment vertical="center"/>
    </xf>
    <xf numFmtId="0" fontId="11" fillId="0" borderId="9" xfId="1" quotePrefix="1" applyFont="1" applyBorder="1">
      <alignment vertical="center"/>
    </xf>
    <xf numFmtId="0" fontId="12" fillId="0" borderId="12" xfId="3" applyFont="1" applyBorder="1" applyAlignment="1">
      <alignment horizontal="center" vertical="center"/>
    </xf>
    <xf numFmtId="0" fontId="12" fillId="0" borderId="13" xfId="3" applyFont="1" applyBorder="1" applyAlignment="1">
      <alignment horizontal="center" vertical="center"/>
    </xf>
    <xf numFmtId="14" fontId="12" fillId="0" borderId="15" xfId="3" applyNumberFormat="1" applyFont="1" applyBorder="1" applyAlignment="1">
      <alignment horizontal="center" vertical="center"/>
    </xf>
    <xf numFmtId="14" fontId="12" fillId="0" borderId="16" xfId="3" applyNumberFormat="1" applyFont="1" applyBorder="1" applyAlignment="1">
      <alignment horizontal="center" vertical="center"/>
    </xf>
    <xf numFmtId="0" fontId="12" fillId="0" borderId="18" xfId="3" applyFont="1" applyBorder="1" applyAlignment="1">
      <alignment horizontal="center" vertical="center"/>
    </xf>
    <xf numFmtId="0" fontId="12" fillId="0" borderId="19" xfId="3" applyFont="1" applyBorder="1" applyAlignment="1">
      <alignment horizontal="center" vertical="center"/>
    </xf>
    <xf numFmtId="0" fontId="21" fillId="0" borderId="0" xfId="4" applyFont="1" applyAlignment="1">
      <alignment horizontal="center" vertical="center"/>
    </xf>
    <xf numFmtId="0" fontId="10" fillId="2" borderId="27" xfId="1" applyFont="1" applyFill="1" applyBorder="1" applyAlignment="1">
      <alignment horizontal="center" vertical="center" wrapText="1"/>
    </xf>
    <xf numFmtId="0" fontId="10" fillId="2" borderId="28" xfId="1" applyFont="1" applyFill="1" applyBorder="1" applyAlignment="1">
      <alignment horizontal="center" vertical="center" wrapText="1"/>
    </xf>
    <xf numFmtId="0" fontId="10" fillId="0" borderId="6" xfId="1" applyFont="1" applyBorder="1" applyAlignment="1">
      <alignment horizontal="center" vertical="center" wrapText="1"/>
    </xf>
    <xf numFmtId="0" fontId="10" fillId="0" borderId="23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49" fontId="10" fillId="0" borderId="3" xfId="1" applyNumberFormat="1" applyFont="1" applyBorder="1" applyAlignment="1">
      <alignment horizontal="center" vertical="center"/>
    </xf>
    <xf numFmtId="49" fontId="10" fillId="0" borderId="5" xfId="1" applyNumberFormat="1" applyFont="1" applyBorder="1" applyAlignment="1">
      <alignment horizontal="center" vertical="center"/>
    </xf>
    <xf numFmtId="49" fontId="10" fillId="0" borderId="4" xfId="1" applyNumberFormat="1" applyFont="1" applyBorder="1" applyAlignment="1">
      <alignment horizontal="center" vertical="center"/>
    </xf>
    <xf numFmtId="0" fontId="13" fillId="0" borderId="3" xfId="2" applyNumberFormat="1" applyFont="1" applyBorder="1" applyAlignment="1">
      <alignment horizontal="center" vertical="center"/>
    </xf>
    <xf numFmtId="0" fontId="13" fillId="0" borderId="5" xfId="2" applyNumberFormat="1" applyFont="1" applyBorder="1" applyAlignment="1">
      <alignment horizontal="center" vertical="center"/>
    </xf>
    <xf numFmtId="0" fontId="13" fillId="0" borderId="5" xfId="2" applyNumberFormat="1" applyFont="1" applyBorder="1" applyAlignment="1">
      <alignment vertical="center"/>
    </xf>
    <xf numFmtId="0" fontId="13" fillId="0" borderId="4" xfId="2" applyNumberFormat="1" applyFont="1" applyBorder="1" applyAlignment="1">
      <alignment vertical="center"/>
    </xf>
    <xf numFmtId="0" fontId="13" fillId="0" borderId="4" xfId="2" applyNumberFormat="1" applyFont="1" applyBorder="1" applyAlignment="1">
      <alignment horizontal="center" vertical="center"/>
    </xf>
    <xf numFmtId="49" fontId="11" fillId="0" borderId="3" xfId="1" applyNumberFormat="1" applyFont="1" applyBorder="1" applyAlignment="1">
      <alignment horizontal="left" vertical="center"/>
    </xf>
    <xf numFmtId="49" fontId="11" fillId="0" borderId="5" xfId="1" applyNumberFormat="1" applyFont="1" applyBorder="1" applyAlignment="1">
      <alignment horizontal="left" vertical="center"/>
    </xf>
    <xf numFmtId="49" fontId="11" fillId="0" borderId="4" xfId="1" applyNumberFormat="1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13" fillId="0" borderId="3" xfId="5" applyFont="1" applyBorder="1" applyAlignment="1">
      <alignment horizontal="center" vertical="center" wrapText="1"/>
    </xf>
    <xf numFmtId="0" fontId="13" fillId="0" borderId="5" xfId="5" applyFont="1" applyBorder="1" applyAlignment="1">
      <alignment horizontal="center" vertical="center" wrapText="1"/>
    </xf>
    <xf numFmtId="0" fontId="13" fillId="0" borderId="4" xfId="5" applyFont="1" applyBorder="1" applyAlignment="1">
      <alignment horizontal="center" vertical="center" wrapText="1"/>
    </xf>
    <xf numFmtId="0" fontId="13" fillId="0" borderId="3" xfId="5" applyFont="1" applyBorder="1" applyAlignment="1">
      <alignment horizontal="center" vertical="center"/>
    </xf>
    <xf numFmtId="0" fontId="13" fillId="0" borderId="5" xfId="5" applyFont="1" applyBorder="1" applyAlignment="1">
      <alignment horizontal="center" vertical="center"/>
    </xf>
    <xf numFmtId="0" fontId="13" fillId="0" borderId="4" xfId="5" applyFont="1" applyBorder="1" applyAlignment="1">
      <alignment horizontal="center" vertical="center"/>
    </xf>
    <xf numFmtId="0" fontId="10" fillId="2" borderId="2" xfId="5" applyFont="1" applyFill="1" applyBorder="1" applyAlignment="1">
      <alignment horizontal="center" vertical="center"/>
    </xf>
    <xf numFmtId="0" fontId="10" fillId="2" borderId="37" xfId="5" applyFont="1" applyFill="1" applyBorder="1" applyAlignment="1">
      <alignment horizontal="center" vertical="center"/>
    </xf>
    <xf numFmtId="0" fontId="10" fillId="2" borderId="38" xfId="5" applyFont="1" applyFill="1" applyBorder="1" applyAlignment="1">
      <alignment horizontal="center" vertical="center"/>
    </xf>
  </cellXfs>
  <cellStyles count="6">
    <cellStyle name="통화 [0]" xfId="2" builtinId="7"/>
    <cellStyle name="표준" xfId="0" builtinId="0"/>
    <cellStyle name="표준 2" xfId="1"/>
    <cellStyle name="표준 2 2" xfId="3"/>
    <cellStyle name="표준 3" xfId="4"/>
    <cellStyle name="표준 4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11</xdr:row>
      <xdr:rowOff>142875</xdr:rowOff>
    </xdr:from>
    <xdr:to>
      <xdr:col>15</xdr:col>
      <xdr:colOff>609600</xdr:colOff>
      <xdr:row>29</xdr:row>
      <xdr:rowOff>28575</xdr:rowOff>
    </xdr:to>
    <xdr:pic>
      <xdr:nvPicPr>
        <xdr:cNvPr id="2" name="Picture 8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771775"/>
          <a:ext cx="9829800" cy="365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378199</xdr:colOff>
      <xdr:row>26</xdr:row>
      <xdr:rowOff>47624</xdr:rowOff>
    </xdr:from>
    <xdr:to>
      <xdr:col>12</xdr:col>
      <xdr:colOff>409575</xdr:colOff>
      <xdr:row>30</xdr:row>
      <xdr:rowOff>25774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749799" y="5819774"/>
          <a:ext cx="5879726" cy="81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ko-KR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CJ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올리브네트웍스의 사전 승인 없이 본 내용의 전부 또는 일부에 대한 복사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전재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배포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사용을 금합니다</a:t>
          </a:r>
          <a:r>
            <a:rPr lang="en-US" altLang="ko-KR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.</a:t>
          </a:r>
        </a:p>
      </xdr:txBody>
    </xdr:sp>
    <xdr:clientData/>
  </xdr:twoCellAnchor>
  <xdr:twoCellAnchor>
    <xdr:from>
      <xdr:col>11</xdr:col>
      <xdr:colOff>133351</xdr:colOff>
      <xdr:row>25</xdr:row>
      <xdr:rowOff>38100</xdr:rowOff>
    </xdr:from>
    <xdr:to>
      <xdr:col>13</xdr:col>
      <xdr:colOff>1</xdr:colOff>
      <xdr:row>28</xdr:row>
      <xdr:rowOff>9525</xdr:rowOff>
    </xdr:to>
    <xdr:pic>
      <xdr:nvPicPr>
        <xdr:cNvPr id="4" name="Picture 7" descr="고객사로고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1" y="5600700"/>
          <a:ext cx="12382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676275</xdr:colOff>
      <xdr:row>25</xdr:row>
      <xdr:rowOff>28575</xdr:rowOff>
    </xdr:from>
    <xdr:to>
      <xdr:col>15</xdr:col>
      <xdr:colOff>257175</xdr:colOff>
      <xdr:row>27</xdr:row>
      <xdr:rowOff>142875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5591175"/>
          <a:ext cx="16383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8</xdr:col>
          <xdr:colOff>209550</xdr:colOff>
          <xdr:row>0</xdr:row>
          <xdr:rowOff>962025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2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0</xdr:row>
          <xdr:rowOff>47625</xdr:rowOff>
        </xdr:from>
        <xdr:to>
          <xdr:col>8</xdr:col>
          <xdr:colOff>161925</xdr:colOff>
          <xdr:row>1</xdr:row>
          <xdr:rowOff>19050</xdr:rowOff>
        </xdr:to>
        <xdr:sp macro="" textlink="">
          <xdr:nvSpPr>
            <xdr:cNvPr id="11266" name="Object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2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19050</xdr:rowOff>
        </xdr:from>
        <xdr:to>
          <xdr:col>7</xdr:col>
          <xdr:colOff>847725</xdr:colOff>
          <xdr:row>0</xdr:row>
          <xdr:rowOff>981075</xdr:rowOff>
        </xdr:to>
        <xdr:sp macro="" textlink="">
          <xdr:nvSpPr>
            <xdr:cNvPr id="13313" name="Object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3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5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Microsoft_Word_97_-_2003___1.doc"/><Relationship Id="rId5" Type="http://schemas.openxmlformats.org/officeDocument/2006/relationships/image" Target="../media/image4.emf"/><Relationship Id="rId4" Type="http://schemas.openxmlformats.org/officeDocument/2006/relationships/oleObject" Target="../embeddings/Microsoft_Word_97_-_2003___.doc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6.emf"/><Relationship Id="rId4" Type="http://schemas.openxmlformats.org/officeDocument/2006/relationships/oleObject" Target="../embeddings/Microsoft_Word_97_-_2003___2.doc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showGridLines="0" topLeftCell="B9" workbookViewId="0">
      <selection activeCell="Q13" sqref="Q13"/>
    </sheetView>
  </sheetViews>
  <sheetFormatPr defaultColWidth="8" defaultRowHeight="16.5" x14ac:dyDescent="0.15"/>
  <cols>
    <col min="1" max="3" width="8" style="25"/>
    <col min="4" max="4" width="1.109375" style="25" customWidth="1"/>
    <col min="5" max="5" width="3.109375" style="25" customWidth="1"/>
    <col min="6" max="16384" width="8" style="25"/>
  </cols>
  <sheetData>
    <row r="1" spans="1:16" ht="17.25" x14ac:dyDescent="0.15">
      <c r="A1" s="23" t="s">
        <v>167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6" ht="17.25" thickBot="1" x14ac:dyDescent="0.2">
      <c r="A2" s="24"/>
      <c r="B2" s="24"/>
      <c r="C2" s="24"/>
      <c r="D2" s="24"/>
      <c r="E2" s="24"/>
      <c r="F2" s="24"/>
      <c r="G2" s="24"/>
      <c r="H2" s="24"/>
      <c r="I2" s="24"/>
      <c r="J2" s="24"/>
      <c r="N2" s="24"/>
      <c r="O2" s="24"/>
      <c r="P2" s="24"/>
    </row>
    <row r="3" spans="1:16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N3" s="26" t="s">
        <v>168</v>
      </c>
      <c r="O3" s="116" t="s">
        <v>294</v>
      </c>
      <c r="P3" s="117"/>
    </row>
    <row r="4" spans="1:16" x14ac:dyDescent="0.15">
      <c r="A4" s="24"/>
      <c r="B4" s="27"/>
      <c r="C4" s="28"/>
      <c r="D4" s="28"/>
      <c r="E4" s="28"/>
      <c r="F4" s="24"/>
      <c r="G4" s="24"/>
      <c r="H4" s="24"/>
      <c r="I4" s="24"/>
      <c r="J4" s="24"/>
      <c r="N4" s="29" t="s">
        <v>169</v>
      </c>
      <c r="O4" s="118">
        <v>44099</v>
      </c>
      <c r="P4" s="119"/>
    </row>
    <row r="5" spans="1:16" ht="17.25" thickBot="1" x14ac:dyDescent="0.2">
      <c r="A5" s="24"/>
      <c r="B5" s="24"/>
      <c r="C5" s="24"/>
      <c r="D5" s="24"/>
      <c r="E5" s="24"/>
      <c r="F5" s="24"/>
      <c r="G5" s="24"/>
      <c r="H5" s="24"/>
      <c r="I5" s="24"/>
      <c r="J5" s="24"/>
      <c r="N5" s="30" t="s">
        <v>170</v>
      </c>
      <c r="O5" s="120" t="s">
        <v>271</v>
      </c>
      <c r="P5" s="121"/>
    </row>
    <row r="6" spans="1:16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spans="1:16" x14ac:dyDescent="0.15">
      <c r="A7" s="24"/>
      <c r="B7" s="24"/>
      <c r="C7" s="24"/>
      <c r="E7" s="24"/>
      <c r="F7" s="24"/>
      <c r="G7" s="24"/>
      <c r="H7" s="24"/>
      <c r="I7" s="24"/>
      <c r="J7" s="24"/>
      <c r="K7" s="24"/>
      <c r="L7" s="24"/>
      <c r="M7" s="24"/>
    </row>
    <row r="8" spans="1:16" x14ac:dyDescent="0.15">
      <c r="A8" s="24"/>
      <c r="B8" s="24"/>
      <c r="C8" s="24"/>
      <c r="D8" s="31"/>
      <c r="E8" s="24"/>
      <c r="F8" s="24"/>
      <c r="G8" s="24"/>
      <c r="H8" s="24"/>
      <c r="I8" s="24"/>
      <c r="J8" s="24"/>
      <c r="K8" s="24"/>
      <c r="L8" s="24"/>
      <c r="M8" s="24"/>
    </row>
    <row r="9" spans="1:16" ht="24" x14ac:dyDescent="0.15">
      <c r="A9" s="24"/>
      <c r="B9" s="24"/>
      <c r="C9" s="24"/>
      <c r="D9" s="31"/>
      <c r="E9" s="24"/>
      <c r="F9" s="32" t="s">
        <v>342</v>
      </c>
      <c r="G9" s="24"/>
      <c r="H9" s="24"/>
      <c r="I9" s="24"/>
      <c r="J9" s="24"/>
      <c r="K9" s="24"/>
      <c r="L9" s="24"/>
      <c r="M9" s="24"/>
    </row>
    <row r="10" spans="1:16" ht="32.25" x14ac:dyDescent="0.15">
      <c r="A10" s="24"/>
      <c r="B10" s="24"/>
      <c r="C10" s="24"/>
      <c r="D10" s="31"/>
      <c r="E10" s="24"/>
      <c r="F10" s="33" t="s">
        <v>276</v>
      </c>
      <c r="G10" s="24"/>
      <c r="H10" s="24"/>
      <c r="I10" s="24"/>
      <c r="J10" s="24"/>
      <c r="K10" s="24"/>
      <c r="L10" s="24"/>
      <c r="M10" s="24"/>
    </row>
    <row r="11" spans="1:16" x14ac:dyDescent="0.15">
      <c r="A11" s="24"/>
      <c r="B11" s="24"/>
      <c r="C11" s="24"/>
      <c r="D11" s="31"/>
      <c r="E11" s="24"/>
      <c r="F11" s="24"/>
      <c r="G11" s="24"/>
      <c r="H11" s="24"/>
      <c r="I11" s="24"/>
      <c r="J11" s="24"/>
      <c r="K11" s="24"/>
      <c r="L11" s="24"/>
      <c r="M11" s="24"/>
    </row>
    <row r="12" spans="1:16" x14ac:dyDescent="0.1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</row>
    <row r="13" spans="1:16" x14ac:dyDescent="0.1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4" spans="1:16" x14ac:dyDescent="0.1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5" spans="1:16" x14ac:dyDescent="0.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spans="1:16" x14ac:dyDescent="0.1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1:13" x14ac:dyDescent="0.1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spans="1:13" x14ac:dyDescent="0.1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spans="1:13" x14ac:dyDescent="0.1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spans="1:13" x14ac:dyDescent="0.1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</row>
    <row r="21" spans="1:13" x14ac:dyDescent="0.1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</row>
    <row r="22" spans="1:13" x14ac:dyDescent="0.1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</row>
    <row r="23" spans="1:13" x14ac:dyDescent="0.1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</row>
    <row r="24" spans="1:13" x14ac:dyDescent="0.1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</row>
    <row r="25" spans="1:13" x14ac:dyDescent="0.1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</row>
    <row r="26" spans="1:13" x14ac:dyDescent="0.1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spans="1:13" x14ac:dyDescent="0.1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</row>
    <row r="28" spans="1:13" x14ac:dyDescent="0.1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</row>
    <row r="29" spans="1:13" x14ac:dyDescent="0.1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</row>
    <row r="30" spans="1:13" x14ac:dyDescent="0.1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</row>
    <row r="31" spans="1:13" x14ac:dyDescent="0.1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2" spans="1:13" x14ac:dyDescent="0.1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</row>
    <row r="33" spans="1:13" x14ac:dyDescent="0.1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spans="1:13" x14ac:dyDescent="0.1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</row>
    <row r="35" spans="1:13" x14ac:dyDescent="0.1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</sheetData>
  <mergeCells count="3">
    <mergeCell ref="O3:P3"/>
    <mergeCell ref="O4:P4"/>
    <mergeCell ref="O5:P5"/>
  </mergeCells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5"/>
  <sheetViews>
    <sheetView showGridLines="0" workbookViewId="0">
      <selection activeCell="D11" sqref="D11"/>
    </sheetView>
  </sheetViews>
  <sheetFormatPr defaultColWidth="8" defaultRowHeight="16.5" x14ac:dyDescent="0.15"/>
  <cols>
    <col min="1" max="1" width="8" style="25"/>
    <col min="2" max="2" width="10" style="25" bestFit="1" customWidth="1"/>
    <col min="3" max="3" width="11.6640625" style="25" bestFit="1" customWidth="1"/>
    <col min="4" max="4" width="43.109375" style="25" customWidth="1"/>
    <col min="5" max="16384" width="8" style="25"/>
  </cols>
  <sheetData>
    <row r="2" spans="1:6" ht="26.25" x14ac:dyDescent="0.15">
      <c r="A2" s="122" t="s">
        <v>171</v>
      </c>
      <c r="B2" s="122"/>
      <c r="C2" s="122"/>
      <c r="D2" s="122"/>
      <c r="E2" s="122"/>
      <c r="F2" s="122"/>
    </row>
    <row r="3" spans="1:6" x14ac:dyDescent="0.15">
      <c r="A3" s="34" t="s">
        <v>172</v>
      </c>
      <c r="B3" s="34" t="s">
        <v>173</v>
      </c>
      <c r="C3" s="35" t="s">
        <v>174</v>
      </c>
      <c r="D3" s="35" t="s">
        <v>175</v>
      </c>
      <c r="E3" s="34" t="s">
        <v>176</v>
      </c>
      <c r="F3" s="34" t="s">
        <v>177</v>
      </c>
    </row>
    <row r="4" spans="1:6" x14ac:dyDescent="0.15">
      <c r="A4" s="36">
        <v>1</v>
      </c>
      <c r="B4" s="37">
        <v>43105</v>
      </c>
      <c r="C4" s="36" t="s">
        <v>178</v>
      </c>
      <c r="D4" s="38" t="s">
        <v>179</v>
      </c>
      <c r="E4" s="36" t="s">
        <v>182</v>
      </c>
      <c r="F4" s="36" t="s">
        <v>183</v>
      </c>
    </row>
    <row r="5" spans="1:6" x14ac:dyDescent="0.15">
      <c r="A5" s="36">
        <v>1.1000000000000001</v>
      </c>
      <c r="B5" s="37">
        <v>43122</v>
      </c>
      <c r="C5" s="36" t="s">
        <v>191</v>
      </c>
      <c r="D5" s="38" t="s">
        <v>192</v>
      </c>
      <c r="E5" s="36" t="s">
        <v>182</v>
      </c>
      <c r="F5" s="36" t="s">
        <v>183</v>
      </c>
    </row>
    <row r="6" spans="1:6" ht="27" x14ac:dyDescent="0.15">
      <c r="A6" s="36">
        <v>1.2</v>
      </c>
      <c r="B6" s="37">
        <v>43165</v>
      </c>
      <c r="C6" s="36" t="s">
        <v>198</v>
      </c>
      <c r="D6" s="38" t="s">
        <v>199</v>
      </c>
      <c r="E6" s="36" t="s">
        <v>200</v>
      </c>
      <c r="F6" s="36" t="s">
        <v>201</v>
      </c>
    </row>
    <row r="7" spans="1:6" x14ac:dyDescent="0.15">
      <c r="A7" s="36">
        <v>1.3</v>
      </c>
      <c r="B7" s="37">
        <v>43235</v>
      </c>
      <c r="C7" s="36" t="s">
        <v>198</v>
      </c>
      <c r="D7" s="38" t="s">
        <v>204</v>
      </c>
      <c r="E7" s="36" t="s">
        <v>182</v>
      </c>
      <c r="F7" s="36" t="s">
        <v>183</v>
      </c>
    </row>
    <row r="8" spans="1:6" x14ac:dyDescent="0.15">
      <c r="A8" s="36">
        <v>1.4</v>
      </c>
      <c r="B8" s="37">
        <v>43489</v>
      </c>
      <c r="C8" s="36" t="s">
        <v>267</v>
      </c>
      <c r="D8" s="38" t="s">
        <v>268</v>
      </c>
      <c r="E8" s="36" t="s">
        <v>269</v>
      </c>
      <c r="F8" s="36" t="s">
        <v>270</v>
      </c>
    </row>
    <row r="9" spans="1:6" x14ac:dyDescent="0.15">
      <c r="A9" s="39">
        <v>1.5</v>
      </c>
      <c r="B9" s="40">
        <v>43840</v>
      </c>
      <c r="C9" s="41" t="s">
        <v>272</v>
      </c>
      <c r="D9" s="38" t="s">
        <v>273</v>
      </c>
      <c r="E9" s="41" t="s">
        <v>274</v>
      </c>
      <c r="F9" s="41" t="s">
        <v>275</v>
      </c>
    </row>
    <row r="10" spans="1:6" x14ac:dyDescent="0.15">
      <c r="A10" s="36">
        <v>1.6</v>
      </c>
      <c r="B10" s="40">
        <v>44099</v>
      </c>
      <c r="C10" s="41" t="s">
        <v>295</v>
      </c>
      <c r="D10" s="38" t="s">
        <v>303</v>
      </c>
      <c r="E10" s="36" t="s">
        <v>296</v>
      </c>
      <c r="F10" s="36"/>
    </row>
    <row r="11" spans="1:6" x14ac:dyDescent="0.15">
      <c r="A11" s="36"/>
      <c r="B11" s="36"/>
      <c r="C11" s="36"/>
      <c r="D11" s="38"/>
      <c r="E11" s="36"/>
      <c r="F11" s="36"/>
    </row>
    <row r="12" spans="1:6" x14ac:dyDescent="0.15">
      <c r="A12" s="36"/>
      <c r="B12" s="36"/>
      <c r="C12" s="36"/>
      <c r="D12" s="38"/>
      <c r="E12" s="36"/>
      <c r="F12" s="36"/>
    </row>
    <row r="13" spans="1:6" x14ac:dyDescent="0.15">
      <c r="A13" s="36"/>
      <c r="B13" s="36"/>
      <c r="C13" s="36"/>
      <c r="D13" s="38"/>
      <c r="E13" s="36"/>
      <c r="F13" s="36"/>
    </row>
    <row r="14" spans="1:6" x14ac:dyDescent="0.15">
      <c r="A14" s="36"/>
      <c r="B14" s="36"/>
      <c r="C14" s="36"/>
      <c r="D14" s="38"/>
      <c r="E14" s="36"/>
      <c r="F14" s="36"/>
    </row>
    <row r="15" spans="1:6" x14ac:dyDescent="0.15">
      <c r="A15" s="36"/>
      <c r="B15" s="36"/>
      <c r="C15" s="36"/>
      <c r="D15" s="38"/>
      <c r="E15" s="36"/>
      <c r="F15" s="36"/>
    </row>
    <row r="16" spans="1:6" x14ac:dyDescent="0.15">
      <c r="A16" s="36"/>
      <c r="B16" s="36"/>
      <c r="C16" s="36"/>
      <c r="D16" s="38"/>
      <c r="E16" s="36"/>
      <c r="F16" s="36"/>
    </row>
    <row r="17" spans="1:6" x14ac:dyDescent="0.15">
      <c r="A17" s="36"/>
      <c r="B17" s="36"/>
      <c r="C17" s="36"/>
      <c r="D17" s="38"/>
      <c r="E17" s="36"/>
      <c r="F17" s="36"/>
    </row>
    <row r="18" spans="1:6" x14ac:dyDescent="0.15">
      <c r="A18" s="36"/>
      <c r="B18" s="36"/>
      <c r="C18" s="36"/>
      <c r="D18" s="38"/>
      <c r="E18" s="36"/>
      <c r="F18" s="36"/>
    </row>
    <row r="19" spans="1:6" x14ac:dyDescent="0.15">
      <c r="A19" s="36"/>
      <c r="B19" s="36"/>
      <c r="C19" s="36"/>
      <c r="D19" s="38"/>
      <c r="E19" s="36"/>
      <c r="F19" s="36"/>
    </row>
    <row r="20" spans="1:6" x14ac:dyDescent="0.15">
      <c r="A20" s="42"/>
      <c r="B20" s="43"/>
      <c r="C20" s="43"/>
      <c r="D20" s="43"/>
      <c r="E20" s="43"/>
      <c r="F20" s="43"/>
    </row>
    <row r="21" spans="1:6" ht="15.75" customHeight="1" x14ac:dyDescent="0.15">
      <c r="A21" s="43"/>
      <c r="B21" s="43"/>
      <c r="C21" s="43"/>
      <c r="D21" s="43"/>
      <c r="E21" s="43"/>
      <c r="F21" s="43"/>
    </row>
    <row r="22" spans="1:6" x14ac:dyDescent="0.15">
      <c r="A22" s="44"/>
      <c r="B22" s="44"/>
      <c r="C22" s="44"/>
      <c r="D22" s="44"/>
      <c r="E22" s="44"/>
      <c r="F22" s="44"/>
    </row>
    <row r="23" spans="1:6" x14ac:dyDescent="0.15">
      <c r="A23" s="45"/>
      <c r="B23" s="45"/>
      <c r="C23" s="45"/>
      <c r="D23" s="45"/>
      <c r="E23" s="45"/>
      <c r="F23" s="45"/>
    </row>
    <row r="24" spans="1:6" x14ac:dyDescent="0.15">
      <c r="A24" s="46" t="s">
        <v>180</v>
      </c>
      <c r="B24" s="46"/>
      <c r="C24" s="46"/>
      <c r="D24" s="46"/>
      <c r="E24" s="46"/>
      <c r="F24" s="46"/>
    </row>
    <row r="25" spans="1:6" x14ac:dyDescent="0.15">
      <c r="A25" s="46" t="s">
        <v>181</v>
      </c>
      <c r="B25" s="46"/>
      <c r="C25" s="46"/>
      <c r="D25" s="46"/>
      <c r="E25" s="46"/>
      <c r="F25" s="46"/>
    </row>
  </sheetData>
  <mergeCells count="1">
    <mergeCell ref="A2:F2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5"/>
  <sheetViews>
    <sheetView showGridLines="0" tabSelected="1" topLeftCell="A13" zoomScaleNormal="100" workbookViewId="0">
      <selection activeCell="D10" sqref="D10"/>
    </sheetView>
  </sheetViews>
  <sheetFormatPr defaultColWidth="8" defaultRowHeight="16.5" x14ac:dyDescent="0.15"/>
  <cols>
    <col min="1" max="1" width="16.5546875" style="1" customWidth="1"/>
    <col min="2" max="2" width="16.6640625" style="1" bestFit="1" customWidth="1"/>
    <col min="3" max="3" width="20.109375" style="1" customWidth="1"/>
    <col min="4" max="4" width="22.5546875" style="1" customWidth="1"/>
    <col min="5" max="5" width="7.6640625" style="2" customWidth="1"/>
    <col min="6" max="6" width="8.33203125" style="2" customWidth="1"/>
    <col min="7" max="8" width="8.33203125" style="1" customWidth="1"/>
    <col min="9" max="9" width="10.44140625" style="1" customWidth="1"/>
    <col min="10" max="10" width="52.77734375" style="1" hidden="1" customWidth="1"/>
    <col min="11" max="11" width="16" style="1" hidden="1" customWidth="1"/>
    <col min="12" max="12" width="21.33203125" style="1" hidden="1" customWidth="1"/>
    <col min="13" max="13" width="44.109375" style="1" customWidth="1"/>
    <col min="14" max="14" width="3.88671875" style="1" customWidth="1"/>
    <col min="15" max="15" width="34.5546875" style="1" hidden="1" customWidth="1"/>
    <col min="16" max="16" width="43.6640625" style="1" hidden="1" customWidth="1"/>
    <col min="17" max="16384" width="8" style="3"/>
  </cols>
  <sheetData>
    <row r="1" spans="1:16" s="1" customFormat="1" ht="78" customHeight="1" x14ac:dyDescent="0.15">
      <c r="E1" s="2"/>
      <c r="F1" s="2"/>
    </row>
    <row r="2" spans="1:16" s="1" customFormat="1" ht="14.25" x14ac:dyDescent="0.15">
      <c r="A2" s="4" t="s">
        <v>43</v>
      </c>
      <c r="E2" s="2"/>
      <c r="F2" s="2"/>
      <c r="J2" s="5" t="s">
        <v>44</v>
      </c>
      <c r="K2" s="5"/>
      <c r="L2" s="5"/>
      <c r="M2" s="1" t="s">
        <v>45</v>
      </c>
    </row>
    <row r="3" spans="1:16" s="1" customFormat="1" ht="14.25" thickBot="1" x14ac:dyDescent="0.2">
      <c r="E3" s="2"/>
      <c r="F3" s="2"/>
      <c r="J3" s="5" t="s">
        <v>46</v>
      </c>
      <c r="K3" s="5"/>
      <c r="L3" s="5"/>
      <c r="M3" s="1" t="s">
        <v>47</v>
      </c>
    </row>
    <row r="4" spans="1:16" s="19" customFormat="1" ht="39.75" customHeight="1" thickBot="1" x14ac:dyDescent="0.2">
      <c r="A4" s="6" t="s">
        <v>48</v>
      </c>
      <c r="B4" s="7" t="s">
        <v>49</v>
      </c>
      <c r="C4" s="7" t="s">
        <v>50</v>
      </c>
      <c r="D4" s="21" t="s">
        <v>51</v>
      </c>
      <c r="E4" s="21" t="s">
        <v>187</v>
      </c>
      <c r="F4" s="8" t="s">
        <v>52</v>
      </c>
      <c r="G4" s="8" t="s">
        <v>53</v>
      </c>
      <c r="H4" s="8" t="s">
        <v>184</v>
      </c>
      <c r="I4" s="7" t="s">
        <v>302</v>
      </c>
      <c r="J4" s="8" t="s">
        <v>54</v>
      </c>
      <c r="K4" s="109" t="s">
        <v>297</v>
      </c>
      <c r="L4" s="109" t="s">
        <v>298</v>
      </c>
      <c r="M4" s="9" t="s">
        <v>55</v>
      </c>
    </row>
    <row r="5" spans="1:16" s="14" customFormat="1" ht="15.6" customHeight="1" thickBot="1" x14ac:dyDescent="0.2">
      <c r="A5" s="125" t="s">
        <v>56</v>
      </c>
      <c r="B5" s="147" t="s">
        <v>0</v>
      </c>
      <c r="C5" s="148" t="s">
        <v>1</v>
      </c>
      <c r="D5" s="48" t="s">
        <v>2</v>
      </c>
      <c r="E5" s="49" t="s">
        <v>188</v>
      </c>
      <c r="F5" s="49" t="s">
        <v>58</v>
      </c>
      <c r="G5" s="49" t="s">
        <v>15</v>
      </c>
      <c r="H5" s="49" t="s">
        <v>194</v>
      </c>
      <c r="I5" s="49" t="s">
        <v>277</v>
      </c>
      <c r="J5" s="50" t="str">
        <f>E5&amp;"-"&amp;G5&amp;"-"&amp;$M$3&amp;"-"&amp;D5&amp;"("&amp;H5&amp;")"</f>
        <v>CJIE-A102-YY-AS IS 업무 흐름도(V3.0)</v>
      </c>
      <c r="K5" s="98"/>
      <c r="L5" s="98"/>
      <c r="M5" s="51" t="s">
        <v>337</v>
      </c>
      <c r="O5" s="11"/>
      <c r="P5" s="11"/>
    </row>
    <row r="6" spans="1:16" s="14" customFormat="1" ht="15.6" customHeight="1" thickBot="1" x14ac:dyDescent="0.2">
      <c r="A6" s="127"/>
      <c r="B6" s="131"/>
      <c r="C6" s="145"/>
      <c r="D6" s="18" t="s">
        <v>3</v>
      </c>
      <c r="E6" s="12" t="s">
        <v>188</v>
      </c>
      <c r="F6" s="12" t="s">
        <v>58</v>
      </c>
      <c r="G6" s="12" t="s">
        <v>15</v>
      </c>
      <c r="H6" s="12" t="s">
        <v>194</v>
      </c>
      <c r="I6" s="49" t="s">
        <v>277</v>
      </c>
      <c r="J6" s="11" t="str">
        <f t="shared" ref="J6:J44" si="0">E6&amp;"-"&amp;G6&amp;"-"&amp;$M$3&amp;"-"&amp;D6&amp;"("&amp;H6&amp;")"</f>
        <v>CJIE-A102-YY-AS IS 프로세스 분해도(V3.0)</v>
      </c>
      <c r="K6" s="99"/>
      <c r="L6" s="99"/>
      <c r="M6" s="51" t="s">
        <v>337</v>
      </c>
      <c r="O6" s="11"/>
      <c r="P6" s="11"/>
    </row>
    <row r="7" spans="1:16" s="14" customFormat="1" ht="15.6" customHeight="1" x14ac:dyDescent="0.15">
      <c r="A7" s="127"/>
      <c r="B7" s="129" t="s">
        <v>164</v>
      </c>
      <c r="C7" s="47" t="s">
        <v>4</v>
      </c>
      <c r="D7" s="18" t="s">
        <v>27</v>
      </c>
      <c r="E7" s="12" t="s">
        <v>188</v>
      </c>
      <c r="F7" s="12" t="s">
        <v>58</v>
      </c>
      <c r="G7" s="12" t="s">
        <v>16</v>
      </c>
      <c r="H7" s="12" t="s">
        <v>194</v>
      </c>
      <c r="I7" s="49" t="s">
        <v>277</v>
      </c>
      <c r="J7" s="11" t="str">
        <f t="shared" si="0"/>
        <v>CJIE-A204-YY-용어 사전(V3.0)</v>
      </c>
      <c r="K7" s="99"/>
      <c r="L7" s="99"/>
      <c r="M7" s="15"/>
      <c r="O7" s="11"/>
      <c r="P7" s="11"/>
    </row>
    <row r="8" spans="1:16" s="14" customFormat="1" ht="15.6" customHeight="1" x14ac:dyDescent="0.15">
      <c r="A8" s="127"/>
      <c r="B8" s="130"/>
      <c r="C8" s="85" t="s">
        <v>232</v>
      </c>
      <c r="D8" s="85" t="s">
        <v>232</v>
      </c>
      <c r="E8" s="85"/>
      <c r="F8" s="85"/>
      <c r="G8" s="85"/>
      <c r="H8" s="85"/>
      <c r="I8" s="97"/>
      <c r="J8" s="85"/>
      <c r="K8" s="85" t="s">
        <v>306</v>
      </c>
      <c r="L8" s="85" t="s">
        <v>324</v>
      </c>
      <c r="M8" s="85"/>
      <c r="N8" s="85"/>
      <c r="O8" s="85"/>
      <c r="P8" s="85"/>
    </row>
    <row r="9" spans="1:16" s="14" customFormat="1" ht="27" x14ac:dyDescent="0.15">
      <c r="A9" s="127"/>
      <c r="B9" s="131"/>
      <c r="C9" s="22" t="s">
        <v>57</v>
      </c>
      <c r="D9" s="20" t="s">
        <v>233</v>
      </c>
      <c r="E9" s="12" t="s">
        <v>189</v>
      </c>
      <c r="F9" s="12" t="s">
        <v>58</v>
      </c>
      <c r="G9" s="12" t="s">
        <v>59</v>
      </c>
      <c r="H9" s="12" t="s">
        <v>203</v>
      </c>
      <c r="I9" s="12" t="s">
        <v>277</v>
      </c>
      <c r="J9" s="20" t="str">
        <f t="shared" si="0"/>
        <v>CJAG-AG01-YY-기능목록 (Product Backlog)(V1.4)</v>
      </c>
      <c r="K9" s="111" t="s">
        <v>316</v>
      </c>
      <c r="L9" s="111" t="s">
        <v>327</v>
      </c>
      <c r="M9" s="15"/>
      <c r="O9" s="11" t="s">
        <v>60</v>
      </c>
      <c r="P9" s="11" t="s">
        <v>61</v>
      </c>
    </row>
    <row r="10" spans="1:16" s="14" customFormat="1" ht="13.5" x14ac:dyDescent="0.15">
      <c r="A10" s="127"/>
      <c r="B10" s="132" t="s">
        <v>62</v>
      </c>
      <c r="C10" s="140" t="s">
        <v>63</v>
      </c>
      <c r="D10" s="20" t="s">
        <v>64</v>
      </c>
      <c r="E10" s="12" t="s">
        <v>189</v>
      </c>
      <c r="F10" s="12" t="s">
        <v>58</v>
      </c>
      <c r="G10" s="12" t="s">
        <v>65</v>
      </c>
      <c r="H10" s="12" t="s">
        <v>186</v>
      </c>
      <c r="I10" s="12" t="s">
        <v>277</v>
      </c>
      <c r="J10" s="20" t="str">
        <f t="shared" si="0"/>
        <v>CJAG-AG02-YY-To-Be업무 흐름도(V1.1)</v>
      </c>
      <c r="K10" s="100"/>
      <c r="L10" s="100"/>
      <c r="M10" s="15"/>
      <c r="O10" s="11" t="s">
        <v>66</v>
      </c>
      <c r="P10" s="11" t="s">
        <v>67</v>
      </c>
    </row>
    <row r="11" spans="1:16" s="14" customFormat="1" ht="15.6" customHeight="1" x14ac:dyDescent="0.15">
      <c r="A11" s="127"/>
      <c r="B11" s="133"/>
      <c r="C11" s="141"/>
      <c r="D11" s="18" t="s">
        <v>28</v>
      </c>
      <c r="E11" s="12" t="s">
        <v>188</v>
      </c>
      <c r="F11" s="12" t="s">
        <v>58</v>
      </c>
      <c r="G11" s="12" t="s">
        <v>17</v>
      </c>
      <c r="H11" s="12" t="s">
        <v>194</v>
      </c>
      <c r="I11" s="12"/>
      <c r="J11" s="11" t="str">
        <f t="shared" si="0"/>
        <v>CJIE-A302-YY-AS IS/TO BE GAP 분석서
(As-Is 있을때는 Mandatory)(V3.0)</v>
      </c>
      <c r="K11" s="99"/>
      <c r="L11" s="99"/>
      <c r="M11" s="15"/>
      <c r="O11" s="11"/>
      <c r="P11" s="11"/>
    </row>
    <row r="12" spans="1:16" s="14" customFormat="1" ht="15.6" customHeight="1" x14ac:dyDescent="0.15">
      <c r="A12" s="127"/>
      <c r="B12" s="133"/>
      <c r="C12" s="140" t="s">
        <v>68</v>
      </c>
      <c r="D12" s="20" t="s">
        <v>197</v>
      </c>
      <c r="E12" s="12" t="s">
        <v>189</v>
      </c>
      <c r="F12" s="12" t="s">
        <v>58</v>
      </c>
      <c r="G12" s="12" t="s">
        <v>69</v>
      </c>
      <c r="H12" s="12" t="s">
        <v>185</v>
      </c>
      <c r="I12" s="12" t="s">
        <v>277</v>
      </c>
      <c r="J12" s="20" t="str">
        <f t="shared" si="0"/>
        <v>CJAG-AG03-YY-엔티티 관계도ERD(논리)(V1.0)</v>
      </c>
      <c r="K12" s="100"/>
      <c r="L12" s="100"/>
      <c r="M12" s="15"/>
      <c r="O12" s="11" t="s">
        <v>70</v>
      </c>
      <c r="P12" s="11" t="s">
        <v>71</v>
      </c>
    </row>
    <row r="13" spans="1:16" s="14" customFormat="1" ht="15.6" customHeight="1" x14ac:dyDescent="0.15">
      <c r="A13" s="127"/>
      <c r="B13" s="134"/>
      <c r="C13" s="142"/>
      <c r="D13" s="18" t="s">
        <v>29</v>
      </c>
      <c r="E13" s="12" t="s">
        <v>188</v>
      </c>
      <c r="F13" s="12" t="s">
        <v>58</v>
      </c>
      <c r="G13" s="12" t="s">
        <v>18</v>
      </c>
      <c r="H13" s="12" t="s">
        <v>194</v>
      </c>
      <c r="I13" s="12" t="s">
        <v>277</v>
      </c>
      <c r="J13" s="11" t="str">
        <f t="shared" si="0"/>
        <v>CJIE-A304-YY-코드 정의서(V3.0)</v>
      </c>
      <c r="K13" s="99"/>
      <c r="L13" s="99"/>
      <c r="M13" s="15"/>
      <c r="O13" s="11"/>
      <c r="P13" s="11"/>
    </row>
    <row r="14" spans="1:16" s="14" customFormat="1" ht="27" x14ac:dyDescent="0.15">
      <c r="A14" s="127"/>
      <c r="B14" s="10" t="s">
        <v>72</v>
      </c>
      <c r="C14" s="22" t="s">
        <v>73</v>
      </c>
      <c r="D14" s="20" t="s">
        <v>159</v>
      </c>
      <c r="E14" s="12" t="s">
        <v>189</v>
      </c>
      <c r="F14" s="12" t="s">
        <v>74</v>
      </c>
      <c r="G14" s="12" t="s">
        <v>75</v>
      </c>
      <c r="H14" s="12" t="s">
        <v>186</v>
      </c>
      <c r="I14" s="12" t="s">
        <v>277</v>
      </c>
      <c r="J14" s="20" t="str">
        <f t="shared" si="0"/>
        <v>CJAG-AG04-YY-시스템체계도(V1.1)</v>
      </c>
      <c r="K14" s="111" t="s">
        <v>307</v>
      </c>
      <c r="L14" s="100"/>
      <c r="M14" s="15" t="s">
        <v>338</v>
      </c>
      <c r="O14" s="11" t="s">
        <v>76</v>
      </c>
      <c r="P14" s="11" t="s">
        <v>77</v>
      </c>
    </row>
    <row r="15" spans="1:16" s="14" customFormat="1" ht="14.25" thickBot="1" x14ac:dyDescent="0.2">
      <c r="A15" s="126"/>
      <c r="B15" s="52" t="s">
        <v>78</v>
      </c>
      <c r="C15" s="53" t="s">
        <v>79</v>
      </c>
      <c r="D15" s="54" t="s">
        <v>80</v>
      </c>
      <c r="E15" s="55" t="s">
        <v>189</v>
      </c>
      <c r="F15" s="55" t="s">
        <v>74</v>
      </c>
      <c r="G15" s="55" t="s">
        <v>81</v>
      </c>
      <c r="H15" s="55" t="s">
        <v>186</v>
      </c>
      <c r="I15" s="55" t="s">
        <v>286</v>
      </c>
      <c r="J15" s="54" t="str">
        <f t="shared" si="0"/>
        <v>CJAG-AG05-YY-화면정의서(V1.1)</v>
      </c>
      <c r="K15" s="101"/>
      <c r="L15" s="101"/>
      <c r="M15" s="15"/>
      <c r="O15" s="11" t="s">
        <v>82</v>
      </c>
      <c r="P15" s="11" t="s">
        <v>83</v>
      </c>
    </row>
    <row r="16" spans="1:16" s="14" customFormat="1" ht="15.95" customHeight="1" x14ac:dyDescent="0.15">
      <c r="A16" s="125" t="s">
        <v>84</v>
      </c>
      <c r="B16" s="57" t="s">
        <v>85</v>
      </c>
      <c r="C16" s="58" t="s">
        <v>86</v>
      </c>
      <c r="D16" s="59" t="s">
        <v>87</v>
      </c>
      <c r="E16" s="60" t="s">
        <v>189</v>
      </c>
      <c r="F16" s="60" t="s">
        <v>88</v>
      </c>
      <c r="G16" s="49" t="s">
        <v>89</v>
      </c>
      <c r="H16" s="49" t="s">
        <v>203</v>
      </c>
      <c r="I16" s="49" t="s">
        <v>292</v>
      </c>
      <c r="J16" s="59" t="str">
        <f t="shared" si="0"/>
        <v>CJAG-AG01-YY-Product Backlog(V1.4)</v>
      </c>
      <c r="K16" s="102"/>
      <c r="L16" s="102"/>
      <c r="M16" s="51"/>
      <c r="O16" s="11" t="s">
        <v>90</v>
      </c>
      <c r="P16" s="11" t="s">
        <v>91</v>
      </c>
    </row>
    <row r="17" spans="1:16" s="14" customFormat="1" ht="15.6" customHeight="1" x14ac:dyDescent="0.15">
      <c r="A17" s="127"/>
      <c r="B17" s="10" t="s">
        <v>92</v>
      </c>
      <c r="C17" s="22" t="s">
        <v>93</v>
      </c>
      <c r="D17" s="20" t="s">
        <v>93</v>
      </c>
      <c r="E17" s="13" t="s">
        <v>189</v>
      </c>
      <c r="F17" s="13" t="s">
        <v>88</v>
      </c>
      <c r="G17" s="13" t="s">
        <v>94</v>
      </c>
      <c r="H17" s="13" t="s">
        <v>195</v>
      </c>
      <c r="I17" s="12" t="s">
        <v>277</v>
      </c>
      <c r="J17" s="20" t="str">
        <f t="shared" si="0"/>
        <v>CJAG-AG06-YY-총괄테스트계획서(V1.1)</v>
      </c>
      <c r="K17" s="100"/>
      <c r="L17" s="100"/>
      <c r="M17" s="15"/>
      <c r="O17" s="11" t="s">
        <v>90</v>
      </c>
      <c r="P17" s="11" t="s">
        <v>95</v>
      </c>
    </row>
    <row r="18" spans="1:16" s="14" customFormat="1" ht="46.9" customHeight="1" x14ac:dyDescent="0.15">
      <c r="A18" s="127"/>
      <c r="B18" s="132" t="s">
        <v>96</v>
      </c>
      <c r="C18" s="22" t="s">
        <v>97</v>
      </c>
      <c r="D18" s="20" t="s">
        <v>80</v>
      </c>
      <c r="E18" s="13" t="s">
        <v>189</v>
      </c>
      <c r="F18" s="13" t="s">
        <v>88</v>
      </c>
      <c r="G18" s="12" t="s">
        <v>81</v>
      </c>
      <c r="H18" s="12" t="s">
        <v>186</v>
      </c>
      <c r="I18" s="12" t="s">
        <v>291</v>
      </c>
      <c r="J18" s="20" t="str">
        <f t="shared" si="0"/>
        <v>CJAG-AG05-YY-화면정의서(V1.1)</v>
      </c>
      <c r="K18" s="100" t="s">
        <v>308</v>
      </c>
      <c r="L18" s="100"/>
      <c r="M18" s="15" t="s">
        <v>283</v>
      </c>
      <c r="O18" s="11" t="s">
        <v>98</v>
      </c>
      <c r="P18" s="11" t="s">
        <v>99</v>
      </c>
    </row>
    <row r="19" spans="1:16" s="14" customFormat="1" ht="27" x14ac:dyDescent="0.15">
      <c r="A19" s="127"/>
      <c r="B19" s="133"/>
      <c r="C19" s="146" t="s">
        <v>7</v>
      </c>
      <c r="D19" s="18" t="s">
        <v>33</v>
      </c>
      <c r="E19" s="13" t="s">
        <v>190</v>
      </c>
      <c r="F19" s="13" t="s">
        <v>88</v>
      </c>
      <c r="G19" s="17" t="s">
        <v>21</v>
      </c>
      <c r="H19" s="17" t="s">
        <v>194</v>
      </c>
      <c r="I19" s="17" t="s">
        <v>287</v>
      </c>
      <c r="J19" s="11" t="str">
        <f t="shared" si="0"/>
        <v>CJIE-D202-YY-프로그램 목록(V3.0)</v>
      </c>
      <c r="K19" s="112" t="s">
        <v>309</v>
      </c>
      <c r="L19" s="100" t="s">
        <v>325</v>
      </c>
      <c r="M19" s="15" t="s">
        <v>293</v>
      </c>
      <c r="O19" s="11"/>
      <c r="P19" s="11"/>
    </row>
    <row r="20" spans="1:16" s="14" customFormat="1" ht="15.6" customHeight="1" x14ac:dyDescent="0.15">
      <c r="A20" s="127"/>
      <c r="B20" s="133"/>
      <c r="C20" s="146"/>
      <c r="D20" s="18" t="s">
        <v>34</v>
      </c>
      <c r="E20" s="13" t="s">
        <v>190</v>
      </c>
      <c r="F20" s="13" t="s">
        <v>88</v>
      </c>
      <c r="G20" s="17" t="s">
        <v>21</v>
      </c>
      <c r="H20" s="17" t="s">
        <v>194</v>
      </c>
      <c r="I20" s="17" t="s">
        <v>277</v>
      </c>
      <c r="J20" s="11" t="str">
        <f t="shared" si="0"/>
        <v>CJIE-D202-YY-메뉴 구조도(V3.0)</v>
      </c>
      <c r="K20" s="99"/>
      <c r="L20" s="99" t="s">
        <v>326</v>
      </c>
      <c r="M20" s="15" t="s">
        <v>339</v>
      </c>
      <c r="O20" s="11"/>
      <c r="P20" s="11"/>
    </row>
    <row r="21" spans="1:16" s="14" customFormat="1" ht="15.6" customHeight="1" x14ac:dyDescent="0.15">
      <c r="A21" s="127"/>
      <c r="B21" s="133"/>
      <c r="C21" s="47" t="s">
        <v>8</v>
      </c>
      <c r="D21" s="18" t="s">
        <v>35</v>
      </c>
      <c r="E21" s="13" t="s">
        <v>190</v>
      </c>
      <c r="F21" s="13" t="s">
        <v>88</v>
      </c>
      <c r="G21" s="17" t="s">
        <v>22</v>
      </c>
      <c r="H21" s="17" t="s">
        <v>194</v>
      </c>
      <c r="I21" s="17" t="s">
        <v>285</v>
      </c>
      <c r="J21" s="11" t="str">
        <f t="shared" si="0"/>
        <v>CJIE-D206-YY-프로그램 명세서(V3.0)</v>
      </c>
      <c r="K21" s="99" t="s">
        <v>308</v>
      </c>
      <c r="L21" s="99" t="s">
        <v>328</v>
      </c>
      <c r="M21" s="15"/>
      <c r="O21" s="11"/>
      <c r="P21" s="11"/>
    </row>
    <row r="22" spans="1:16" s="14" customFormat="1" ht="13.5" x14ac:dyDescent="0.15">
      <c r="A22" s="127"/>
      <c r="B22" s="135" t="s">
        <v>5</v>
      </c>
      <c r="C22" s="143" t="s">
        <v>6</v>
      </c>
      <c r="D22" s="18" t="s">
        <v>157</v>
      </c>
      <c r="E22" s="13" t="s">
        <v>190</v>
      </c>
      <c r="F22" s="13" t="s">
        <v>88</v>
      </c>
      <c r="G22" s="17" t="s">
        <v>19</v>
      </c>
      <c r="H22" s="17" t="s">
        <v>194</v>
      </c>
      <c r="I22" s="17" t="s">
        <v>285</v>
      </c>
      <c r="J22" s="11" t="str">
        <f t="shared" si="0"/>
        <v>CJIE-D102-YY-테이블 목록(V3.0)</v>
      </c>
      <c r="K22" s="99" t="s">
        <v>310</v>
      </c>
      <c r="L22" s="99"/>
      <c r="M22" s="15" t="s">
        <v>304</v>
      </c>
      <c r="O22" s="11"/>
      <c r="P22" s="11"/>
    </row>
    <row r="23" spans="1:16" s="14" customFormat="1" ht="13.5" x14ac:dyDescent="0.15">
      <c r="A23" s="127"/>
      <c r="B23" s="136"/>
      <c r="C23" s="144"/>
      <c r="D23" s="18" t="s">
        <v>158</v>
      </c>
      <c r="E23" s="13" t="s">
        <v>190</v>
      </c>
      <c r="F23" s="13" t="s">
        <v>88</v>
      </c>
      <c r="G23" s="17" t="s">
        <v>19</v>
      </c>
      <c r="H23" s="17" t="s">
        <v>194</v>
      </c>
      <c r="I23" s="17" t="s">
        <v>285</v>
      </c>
      <c r="J23" s="11" t="str">
        <f t="shared" si="0"/>
        <v>CJIE-D102-YY-테이블 정의서(V3.0)</v>
      </c>
      <c r="K23" s="99" t="s">
        <v>310</v>
      </c>
      <c r="L23" s="99"/>
      <c r="M23" s="15"/>
      <c r="O23" s="11"/>
      <c r="P23" s="11"/>
    </row>
    <row r="24" spans="1:16" s="14" customFormat="1" ht="15.6" customHeight="1" x14ac:dyDescent="0.15">
      <c r="A24" s="127"/>
      <c r="B24" s="137"/>
      <c r="C24" s="145"/>
      <c r="D24" s="18" t="s">
        <v>165</v>
      </c>
      <c r="E24" s="13" t="s">
        <v>190</v>
      </c>
      <c r="F24" s="13" t="s">
        <v>88</v>
      </c>
      <c r="G24" s="17" t="s">
        <v>19</v>
      </c>
      <c r="H24" s="17" t="s">
        <v>194</v>
      </c>
      <c r="I24" s="17"/>
      <c r="J24" s="11" t="str">
        <f t="shared" si="0"/>
        <v>CJIE-D102-YY-자료사전(V3.0)</v>
      </c>
      <c r="K24" s="99"/>
      <c r="L24" s="99"/>
      <c r="M24" s="15"/>
      <c r="O24" s="11"/>
      <c r="P24" s="11"/>
    </row>
    <row r="25" spans="1:16" s="14" customFormat="1" ht="13.5" x14ac:dyDescent="0.15">
      <c r="A25" s="127"/>
      <c r="B25" s="136"/>
      <c r="C25" s="140" t="s">
        <v>100</v>
      </c>
      <c r="D25" s="20" t="s">
        <v>202</v>
      </c>
      <c r="E25" s="13" t="s">
        <v>45</v>
      </c>
      <c r="F25" s="13" t="s">
        <v>88</v>
      </c>
      <c r="G25" s="12" t="s">
        <v>101</v>
      </c>
      <c r="H25" s="12" t="s">
        <v>185</v>
      </c>
      <c r="I25" s="12"/>
      <c r="J25" s="20" t="str">
        <f t="shared" si="0"/>
        <v>CJAG-AG03-YY-ERD(물리)(V1.0)</v>
      </c>
      <c r="K25" s="100"/>
      <c r="L25" s="100"/>
      <c r="M25" s="15"/>
      <c r="O25" s="11" t="s">
        <v>102</v>
      </c>
      <c r="P25" s="11" t="s">
        <v>103</v>
      </c>
    </row>
    <row r="26" spans="1:16" s="14" customFormat="1" ht="15.6" customHeight="1" x14ac:dyDescent="0.15">
      <c r="A26" s="127"/>
      <c r="B26" s="137"/>
      <c r="C26" s="141"/>
      <c r="D26" s="18" t="s">
        <v>30</v>
      </c>
      <c r="E26" s="13" t="s">
        <v>190</v>
      </c>
      <c r="F26" s="13" t="s">
        <v>88</v>
      </c>
      <c r="G26" s="17" t="s">
        <v>20</v>
      </c>
      <c r="H26" s="17" t="s">
        <v>194</v>
      </c>
      <c r="I26" s="17"/>
      <c r="J26" s="11" t="str">
        <f t="shared" si="0"/>
        <v>CJIE-D104-YY-인덱스 정의서(V3.0)</v>
      </c>
      <c r="K26" s="99"/>
      <c r="L26" s="99"/>
      <c r="M26" s="15"/>
      <c r="O26" s="11"/>
      <c r="P26" s="11"/>
    </row>
    <row r="27" spans="1:16" s="14" customFormat="1" ht="15.6" customHeight="1" x14ac:dyDescent="0.15">
      <c r="A27" s="127"/>
      <c r="B27" s="137"/>
      <c r="C27" s="141"/>
      <c r="D27" s="18" t="s">
        <v>31</v>
      </c>
      <c r="E27" s="13" t="s">
        <v>190</v>
      </c>
      <c r="F27" s="13" t="s">
        <v>88</v>
      </c>
      <c r="G27" s="17" t="s">
        <v>20</v>
      </c>
      <c r="H27" s="17" t="s">
        <v>194</v>
      </c>
      <c r="I27" s="17"/>
      <c r="J27" s="11" t="str">
        <f t="shared" si="0"/>
        <v>CJIE-D104-YY-물리 DB 사양서(V3.0)</v>
      </c>
      <c r="K27" s="99"/>
      <c r="L27" s="99"/>
      <c r="M27" s="15"/>
      <c r="O27" s="11"/>
      <c r="P27" s="11"/>
    </row>
    <row r="28" spans="1:16" s="14" customFormat="1" ht="15.6" customHeight="1" x14ac:dyDescent="0.15">
      <c r="A28" s="127"/>
      <c r="B28" s="138"/>
      <c r="C28" s="142"/>
      <c r="D28" s="18" t="s">
        <v>32</v>
      </c>
      <c r="E28" s="13" t="s">
        <v>190</v>
      </c>
      <c r="F28" s="13" t="s">
        <v>88</v>
      </c>
      <c r="G28" s="17" t="s">
        <v>20</v>
      </c>
      <c r="H28" s="17" t="s">
        <v>194</v>
      </c>
      <c r="I28" s="17"/>
      <c r="J28" s="11" t="str">
        <f t="shared" si="0"/>
        <v>CJIE-D104-YY-DB Object 정의서(V3.0)</v>
      </c>
      <c r="K28" s="99"/>
      <c r="L28" s="99"/>
      <c r="M28" s="15"/>
      <c r="O28" s="11"/>
      <c r="P28" s="11"/>
    </row>
    <row r="29" spans="1:16" s="14" customFormat="1" ht="13.5" x14ac:dyDescent="0.15">
      <c r="A29" s="127"/>
      <c r="B29" s="10" t="s">
        <v>104</v>
      </c>
      <c r="C29" s="22" t="s">
        <v>105</v>
      </c>
      <c r="D29" s="20" t="s">
        <v>106</v>
      </c>
      <c r="E29" s="13" t="s">
        <v>45</v>
      </c>
      <c r="F29" s="13" t="s">
        <v>88</v>
      </c>
      <c r="G29" s="12" t="s">
        <v>107</v>
      </c>
      <c r="H29" s="12" t="s">
        <v>195</v>
      </c>
      <c r="I29" s="12" t="s">
        <v>277</v>
      </c>
      <c r="J29" s="20" t="str">
        <f t="shared" si="0"/>
        <v>CJAG-AG07-YY-인터페이스 정의서(V1.1)</v>
      </c>
      <c r="K29" s="100" t="s">
        <v>311</v>
      </c>
      <c r="L29" s="100" t="s">
        <v>329</v>
      </c>
      <c r="M29" s="15"/>
      <c r="O29" s="11" t="s">
        <v>108</v>
      </c>
      <c r="P29" s="11" t="s">
        <v>109</v>
      </c>
    </row>
    <row r="30" spans="1:16" s="14" customFormat="1" ht="15.6" customHeight="1" x14ac:dyDescent="0.15">
      <c r="A30" s="127"/>
      <c r="B30" s="135" t="s">
        <v>9</v>
      </c>
      <c r="C30" s="47" t="s">
        <v>10</v>
      </c>
      <c r="D30" s="18" t="s">
        <v>36</v>
      </c>
      <c r="E30" s="13" t="s">
        <v>190</v>
      </c>
      <c r="F30" s="13" t="s">
        <v>88</v>
      </c>
      <c r="G30" s="17" t="s">
        <v>23</v>
      </c>
      <c r="H30" s="17" t="s">
        <v>194</v>
      </c>
      <c r="I30" s="12"/>
      <c r="J30" s="11" t="str">
        <f t="shared" si="0"/>
        <v>CJIE-D402-YY-전환 계획서(V3.0)</v>
      </c>
      <c r="K30" s="99" t="s">
        <v>312</v>
      </c>
      <c r="L30" s="99" t="s">
        <v>330</v>
      </c>
      <c r="M30" s="115" t="s">
        <v>340</v>
      </c>
      <c r="O30" s="11"/>
      <c r="P30" s="11"/>
    </row>
    <row r="31" spans="1:16" s="14" customFormat="1" ht="15.6" customHeight="1" x14ac:dyDescent="0.15">
      <c r="A31" s="127"/>
      <c r="B31" s="136"/>
      <c r="C31" s="143" t="s">
        <v>11</v>
      </c>
      <c r="D31" s="18" t="s">
        <v>37</v>
      </c>
      <c r="E31" s="13" t="s">
        <v>190</v>
      </c>
      <c r="F31" s="13" t="s">
        <v>88</v>
      </c>
      <c r="G31" s="17" t="s">
        <v>24</v>
      </c>
      <c r="H31" s="17" t="s">
        <v>194</v>
      </c>
      <c r="I31" s="17"/>
      <c r="J31" s="11" t="str">
        <f t="shared" si="0"/>
        <v>CJIE-D404-YY-매핑 정의서(V3.0)</v>
      </c>
      <c r="K31" s="99" t="s">
        <v>313</v>
      </c>
      <c r="L31" s="99"/>
      <c r="M31" s="15"/>
      <c r="O31" s="11"/>
      <c r="P31" s="11"/>
    </row>
    <row r="32" spans="1:16" s="14" customFormat="1" ht="15.6" customHeight="1" x14ac:dyDescent="0.15">
      <c r="A32" s="127"/>
      <c r="B32" s="136"/>
      <c r="C32" s="144"/>
      <c r="D32" s="18" t="s">
        <v>38</v>
      </c>
      <c r="E32" s="13" t="s">
        <v>190</v>
      </c>
      <c r="F32" s="13" t="s">
        <v>88</v>
      </c>
      <c r="G32" s="17" t="s">
        <v>24</v>
      </c>
      <c r="H32" s="17" t="s">
        <v>194</v>
      </c>
      <c r="I32" s="17"/>
      <c r="J32" s="11" t="str">
        <f t="shared" si="0"/>
        <v>CJIE-D404-YY-전환 프로그램 목록(V3.0)</v>
      </c>
      <c r="K32" s="99"/>
      <c r="L32" s="99"/>
      <c r="M32" s="15"/>
      <c r="O32" s="11"/>
      <c r="P32" s="11"/>
    </row>
    <row r="33" spans="1:16" s="14" customFormat="1" ht="15.6" customHeight="1" x14ac:dyDescent="0.15">
      <c r="A33" s="127"/>
      <c r="B33" s="139"/>
      <c r="C33" s="145"/>
      <c r="D33" s="18" t="s">
        <v>39</v>
      </c>
      <c r="E33" s="13" t="s">
        <v>190</v>
      </c>
      <c r="F33" s="13" t="s">
        <v>88</v>
      </c>
      <c r="G33" s="17" t="s">
        <v>24</v>
      </c>
      <c r="H33" s="17" t="s">
        <v>194</v>
      </c>
      <c r="I33" s="17"/>
      <c r="J33" s="11" t="str">
        <f t="shared" si="0"/>
        <v>CJIE-D404-YY-전환 프로그램 명세서(V3.0)</v>
      </c>
      <c r="K33" s="99"/>
      <c r="L33" s="99"/>
      <c r="M33" s="15"/>
      <c r="O33" s="11"/>
      <c r="P33" s="11"/>
    </row>
    <row r="34" spans="1:16" s="14" customFormat="1" ht="27" x14ac:dyDescent="0.15">
      <c r="A34" s="127"/>
      <c r="B34" s="10" t="s">
        <v>110</v>
      </c>
      <c r="C34" s="22" t="s">
        <v>111</v>
      </c>
      <c r="D34" s="20" t="s">
        <v>112</v>
      </c>
      <c r="E34" s="13" t="s">
        <v>45</v>
      </c>
      <c r="F34" s="13" t="s">
        <v>88</v>
      </c>
      <c r="G34" s="12" t="s">
        <v>113</v>
      </c>
      <c r="H34" s="12" t="s">
        <v>195</v>
      </c>
      <c r="I34" s="12" t="s">
        <v>277</v>
      </c>
      <c r="J34" s="20" t="str">
        <f t="shared" si="0"/>
        <v>CJAG-AG08-YY-단위테스트케이스/결과서(V1.1)</v>
      </c>
      <c r="K34" s="111" t="s">
        <v>314</v>
      </c>
      <c r="L34" s="100"/>
      <c r="M34" s="16" t="s">
        <v>290</v>
      </c>
      <c r="O34" s="11"/>
      <c r="P34" s="11" t="s">
        <v>114</v>
      </c>
    </row>
    <row r="35" spans="1:16" s="14" customFormat="1" ht="27" x14ac:dyDescent="0.15">
      <c r="A35" s="127"/>
      <c r="B35" s="10" t="s">
        <v>115</v>
      </c>
      <c r="C35" s="22" t="s">
        <v>116</v>
      </c>
      <c r="D35" s="20" t="s">
        <v>117</v>
      </c>
      <c r="E35" s="13" t="s">
        <v>45</v>
      </c>
      <c r="F35" s="13" t="s">
        <v>88</v>
      </c>
      <c r="G35" s="12" t="s">
        <v>118</v>
      </c>
      <c r="H35" s="12" t="s">
        <v>195</v>
      </c>
      <c r="I35" s="12" t="s">
        <v>288</v>
      </c>
      <c r="J35" s="20" t="str">
        <f t="shared" si="0"/>
        <v>CJAG-AG09-YY-결함관리대장(V1.1)</v>
      </c>
      <c r="K35" s="100" t="s">
        <v>315</v>
      </c>
      <c r="L35" s="111" t="s">
        <v>331</v>
      </c>
      <c r="M35" s="16" t="s">
        <v>290</v>
      </c>
      <c r="O35" s="11" t="s">
        <v>119</v>
      </c>
      <c r="P35" s="11" t="s">
        <v>120</v>
      </c>
    </row>
    <row r="36" spans="1:16" s="14" customFormat="1" ht="13.5" x14ac:dyDescent="0.15">
      <c r="A36" s="127"/>
      <c r="B36" s="10" t="s">
        <v>121</v>
      </c>
      <c r="C36" s="22" t="s">
        <v>122</v>
      </c>
      <c r="D36" s="20" t="s">
        <v>122</v>
      </c>
      <c r="E36" s="13" t="s">
        <v>45</v>
      </c>
      <c r="F36" s="13" t="s">
        <v>88</v>
      </c>
      <c r="G36" s="12" t="s">
        <v>123</v>
      </c>
      <c r="H36" s="12" t="s">
        <v>195</v>
      </c>
      <c r="I36" s="12"/>
      <c r="J36" s="20" t="str">
        <f t="shared" si="0"/>
        <v>CJAG-AG10-YY-Sprint Review(V1.1)</v>
      </c>
      <c r="K36" s="100"/>
      <c r="L36" s="100"/>
      <c r="M36" s="15"/>
      <c r="O36" s="11"/>
      <c r="P36" s="11" t="s">
        <v>124</v>
      </c>
    </row>
    <row r="37" spans="1:16" s="14" customFormat="1" ht="14.25" thickBot="1" x14ac:dyDescent="0.2">
      <c r="A37" s="126"/>
      <c r="B37" s="52" t="s">
        <v>125</v>
      </c>
      <c r="C37" s="53" t="s">
        <v>126</v>
      </c>
      <c r="D37" s="54" t="s">
        <v>126</v>
      </c>
      <c r="E37" s="61" t="s">
        <v>45</v>
      </c>
      <c r="F37" s="61" t="s">
        <v>88</v>
      </c>
      <c r="G37" s="55" t="s">
        <v>127</v>
      </c>
      <c r="H37" s="55" t="s">
        <v>195</v>
      </c>
      <c r="I37" s="55"/>
      <c r="J37" s="54" t="str">
        <f t="shared" si="0"/>
        <v>CJAG-AG11-YY-Sprint Retrospective(V1.1)</v>
      </c>
      <c r="K37" s="103"/>
      <c r="L37" s="103"/>
      <c r="M37" s="56"/>
      <c r="O37" s="11"/>
      <c r="P37" s="11" t="s">
        <v>128</v>
      </c>
    </row>
    <row r="38" spans="1:16" s="14" customFormat="1" ht="33.75" customHeight="1" x14ac:dyDescent="0.15">
      <c r="A38" s="125" t="s">
        <v>129</v>
      </c>
      <c r="B38" s="57" t="s">
        <v>130</v>
      </c>
      <c r="C38" s="58" t="s">
        <v>131</v>
      </c>
      <c r="D38" s="59" t="s">
        <v>132</v>
      </c>
      <c r="E38" s="49" t="s">
        <v>45</v>
      </c>
      <c r="F38" s="49" t="s">
        <v>133</v>
      </c>
      <c r="G38" s="49" t="s">
        <v>134</v>
      </c>
      <c r="H38" s="49" t="s">
        <v>195</v>
      </c>
      <c r="I38" s="49" t="s">
        <v>285</v>
      </c>
      <c r="J38" s="59" t="str">
        <f t="shared" si="0"/>
        <v>CJAG-AG12-YY-통합테스트시나리오/결과서(V1.1)</v>
      </c>
      <c r="K38" s="102"/>
      <c r="L38" s="108" t="s">
        <v>332</v>
      </c>
      <c r="M38" s="51" t="s">
        <v>42</v>
      </c>
      <c r="O38" s="11" t="s">
        <v>135</v>
      </c>
      <c r="P38" s="11" t="s">
        <v>136</v>
      </c>
    </row>
    <row r="39" spans="1:16" s="14" customFormat="1" ht="16.149999999999999" customHeight="1" thickBot="1" x14ac:dyDescent="0.2">
      <c r="A39" s="126"/>
      <c r="B39" s="52" t="s">
        <v>137</v>
      </c>
      <c r="C39" s="53" t="s">
        <v>161</v>
      </c>
      <c r="D39" s="54" t="s">
        <v>160</v>
      </c>
      <c r="E39" s="55" t="s">
        <v>45</v>
      </c>
      <c r="F39" s="55" t="s">
        <v>133</v>
      </c>
      <c r="G39" s="55" t="s">
        <v>138</v>
      </c>
      <c r="H39" s="55" t="s">
        <v>195</v>
      </c>
      <c r="I39" s="55" t="s">
        <v>277</v>
      </c>
      <c r="J39" s="54" t="str">
        <f t="shared" si="0"/>
        <v>CJAG-AG13-YY-시스템테스트케이스/결과서(V1.1)</v>
      </c>
      <c r="K39" s="103"/>
      <c r="L39" s="103" t="s">
        <v>333</v>
      </c>
      <c r="M39" s="56" t="s">
        <v>305</v>
      </c>
      <c r="O39" s="11" t="s">
        <v>139</v>
      </c>
      <c r="P39" s="11" t="s">
        <v>140</v>
      </c>
    </row>
    <row r="40" spans="1:16" s="14" customFormat="1" ht="67.5" x14ac:dyDescent="0.15">
      <c r="A40" s="125" t="s">
        <v>163</v>
      </c>
      <c r="B40" s="57" t="s">
        <v>141</v>
      </c>
      <c r="C40" s="58" t="s">
        <v>142</v>
      </c>
      <c r="D40" s="59" t="s">
        <v>162</v>
      </c>
      <c r="E40" s="49" t="s">
        <v>45</v>
      </c>
      <c r="F40" s="49" t="s">
        <v>143</v>
      </c>
      <c r="G40" s="49" t="s">
        <v>144</v>
      </c>
      <c r="H40" s="49" t="s">
        <v>195</v>
      </c>
      <c r="I40" s="49" t="s">
        <v>289</v>
      </c>
      <c r="J40" s="59" t="str">
        <f t="shared" si="0"/>
        <v>CJAG-AG14-YY-오픈시나리오(V1.1)</v>
      </c>
      <c r="K40" s="102"/>
      <c r="L40" s="108" t="s">
        <v>334</v>
      </c>
      <c r="M40" s="51"/>
      <c r="O40" s="11" t="s">
        <v>145</v>
      </c>
      <c r="P40" s="11" t="s">
        <v>146</v>
      </c>
    </row>
    <row r="41" spans="1:16" s="14" customFormat="1" ht="13.5" x14ac:dyDescent="0.15">
      <c r="A41" s="127"/>
      <c r="B41" s="132" t="s">
        <v>147</v>
      </c>
      <c r="C41" s="140" t="s">
        <v>148</v>
      </c>
      <c r="D41" s="20" t="s">
        <v>149</v>
      </c>
      <c r="E41" s="12" t="s">
        <v>45</v>
      </c>
      <c r="F41" s="12" t="s">
        <v>143</v>
      </c>
      <c r="G41" s="12" t="s">
        <v>150</v>
      </c>
      <c r="H41" s="12" t="s">
        <v>195</v>
      </c>
      <c r="I41" s="12" t="s">
        <v>277</v>
      </c>
      <c r="J41" s="20" t="str">
        <f t="shared" si="0"/>
        <v>CJAG-AG15-YY-사용자매뉴얼(V1.1)</v>
      </c>
      <c r="K41" s="100"/>
      <c r="L41" s="100"/>
      <c r="M41" s="15"/>
      <c r="O41" s="11" t="s">
        <v>151</v>
      </c>
      <c r="P41" s="11" t="s">
        <v>152</v>
      </c>
    </row>
    <row r="42" spans="1:16" s="14" customFormat="1" ht="13.5" x14ac:dyDescent="0.15">
      <c r="A42" s="128"/>
      <c r="B42" s="134"/>
      <c r="C42" s="142"/>
      <c r="D42" s="20" t="s">
        <v>153</v>
      </c>
      <c r="E42" s="12" t="s">
        <v>45</v>
      </c>
      <c r="F42" s="12" t="s">
        <v>143</v>
      </c>
      <c r="G42" s="12" t="s">
        <v>154</v>
      </c>
      <c r="H42" s="12" t="s">
        <v>196</v>
      </c>
      <c r="I42" s="12" t="s">
        <v>285</v>
      </c>
      <c r="J42" s="20" t="str">
        <f t="shared" si="0"/>
        <v>CJAG-AG16-YY-운영자매뉴얼(V1.2)</v>
      </c>
      <c r="K42" s="100"/>
      <c r="L42" s="100"/>
      <c r="M42" s="15"/>
      <c r="O42" s="11" t="s">
        <v>155</v>
      </c>
      <c r="P42" s="11" t="s">
        <v>156</v>
      </c>
    </row>
    <row r="43" spans="1:16" s="14" customFormat="1" ht="15.6" customHeight="1" x14ac:dyDescent="0.15">
      <c r="A43" s="127"/>
      <c r="B43" s="134"/>
      <c r="C43" s="71" t="s">
        <v>14</v>
      </c>
      <c r="D43" s="72" t="s">
        <v>41</v>
      </c>
      <c r="E43" s="73" t="s">
        <v>190</v>
      </c>
      <c r="F43" s="73" t="s">
        <v>143</v>
      </c>
      <c r="G43" s="74" t="s">
        <v>26</v>
      </c>
      <c r="H43" s="74" t="s">
        <v>194</v>
      </c>
      <c r="I43" s="74"/>
      <c r="J43" s="75" t="str">
        <f t="shared" si="0"/>
        <v>CJIE-I302-YY-교육훈련 계획서(V3.0)</v>
      </c>
      <c r="K43" s="104"/>
      <c r="L43" s="104"/>
      <c r="M43" s="76"/>
      <c r="O43" s="11"/>
      <c r="P43" s="11"/>
    </row>
    <row r="44" spans="1:16" s="14" customFormat="1" ht="16.149999999999999" customHeight="1" thickBot="1" x14ac:dyDescent="0.2">
      <c r="A44" s="126"/>
      <c r="B44" s="62" t="s">
        <v>12</v>
      </c>
      <c r="C44" s="63" t="s">
        <v>13</v>
      </c>
      <c r="D44" s="64" t="s">
        <v>40</v>
      </c>
      <c r="E44" s="55" t="s">
        <v>190</v>
      </c>
      <c r="F44" s="55" t="s">
        <v>143</v>
      </c>
      <c r="G44" s="65" t="s">
        <v>25</v>
      </c>
      <c r="H44" s="65" t="s">
        <v>193</v>
      </c>
      <c r="I44" s="65"/>
      <c r="J44" s="66" t="str">
        <f t="shared" si="0"/>
        <v>CJIE-I202-YY-인수 테스트 기준서/결과서(V3.0)</v>
      </c>
      <c r="K44" s="105"/>
      <c r="L44" s="105"/>
      <c r="M44" s="56" t="s">
        <v>166</v>
      </c>
      <c r="O44" s="11"/>
      <c r="P44" s="11"/>
    </row>
    <row r="45" spans="1:16" s="14" customFormat="1" ht="14.25" thickBot="1" x14ac:dyDescent="0.2">
      <c r="A45" s="123" t="s">
        <v>322</v>
      </c>
      <c r="B45" s="124"/>
      <c r="C45" s="124"/>
      <c r="D45" s="124"/>
      <c r="E45" s="124"/>
      <c r="F45" s="124"/>
      <c r="G45" s="124"/>
      <c r="H45" s="70"/>
      <c r="I45" s="67">
        <f>COUNTIF($I$5:$I$44,"Y")</f>
        <v>23</v>
      </c>
      <c r="J45" s="68"/>
      <c r="K45" s="106"/>
      <c r="L45" s="106"/>
      <c r="M45" s="69"/>
    </row>
  </sheetData>
  <autoFilter ref="A4:P45"/>
  <mergeCells count="20">
    <mergeCell ref="A5:A15"/>
    <mergeCell ref="A16:A37"/>
    <mergeCell ref="B5:B6"/>
    <mergeCell ref="C5:C6"/>
    <mergeCell ref="A45:G45"/>
    <mergeCell ref="A38:A39"/>
    <mergeCell ref="A40:A44"/>
    <mergeCell ref="B7:B9"/>
    <mergeCell ref="B10:B13"/>
    <mergeCell ref="B18:B21"/>
    <mergeCell ref="B22:B28"/>
    <mergeCell ref="B30:B33"/>
    <mergeCell ref="B41:B43"/>
    <mergeCell ref="C10:C11"/>
    <mergeCell ref="C12:C13"/>
    <mergeCell ref="C22:C24"/>
    <mergeCell ref="C25:C28"/>
    <mergeCell ref="C41:C42"/>
    <mergeCell ref="C19:C20"/>
    <mergeCell ref="C31:C33"/>
  </mergeCells>
  <phoneticPr fontId="9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8" shapeId="11265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8</xdr:col>
                <xdr:colOff>209550</xdr:colOff>
                <xdr:row>0</xdr:row>
                <xdr:rowOff>962025</xdr:rowOff>
              </to>
            </anchor>
          </objectPr>
        </oleObject>
      </mc:Choice>
      <mc:Fallback>
        <oleObject progId="Word.Document.8" shapeId="11265" r:id="rId4"/>
      </mc:Fallback>
    </mc:AlternateContent>
    <mc:AlternateContent xmlns:mc="http://schemas.openxmlformats.org/markup-compatibility/2006">
      <mc:Choice Requires="x14">
        <oleObject progId="Word.Document.8" shapeId="11266" r:id="rId6">
          <objectPr defaultSize="0" r:id="rId7">
            <anchor moveWithCells="1">
              <from>
                <xdr:col>0</xdr:col>
                <xdr:colOff>28575</xdr:colOff>
                <xdr:row>0</xdr:row>
                <xdr:rowOff>47625</xdr:rowOff>
              </from>
              <to>
                <xdr:col>8</xdr:col>
                <xdr:colOff>161925</xdr:colOff>
                <xdr:row>1</xdr:row>
                <xdr:rowOff>19050</xdr:rowOff>
              </to>
            </anchor>
          </objectPr>
        </oleObject>
      </mc:Choice>
      <mc:Fallback>
        <oleObject progId="Word.Document.8" shapeId="11266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3"/>
  <sheetViews>
    <sheetView showGridLines="0" zoomScale="115" zoomScaleNormal="115" workbookViewId="0">
      <selection activeCell="D16" sqref="D16"/>
    </sheetView>
  </sheetViews>
  <sheetFormatPr defaultColWidth="8" defaultRowHeight="16.5" x14ac:dyDescent="0.15"/>
  <cols>
    <col min="1" max="1" width="14.33203125" style="77" customWidth="1"/>
    <col min="2" max="2" width="6.6640625" style="77" customWidth="1"/>
    <col min="3" max="3" width="10.44140625" style="77" customWidth="1"/>
    <col min="4" max="4" width="22.5546875" style="77" customWidth="1"/>
    <col min="5" max="5" width="6.88671875" style="77" customWidth="1"/>
    <col min="6" max="6" width="7.21875" style="78" customWidth="1"/>
    <col min="7" max="7" width="32.109375" style="77" customWidth="1"/>
    <col min="8" max="8" width="12" style="77" customWidth="1"/>
    <col min="9" max="9" width="19.109375" style="77" bestFit="1" customWidth="1"/>
    <col min="10" max="10" width="22" style="77" customWidth="1"/>
    <col min="11" max="11" width="30.44140625" style="79" customWidth="1"/>
    <col min="12" max="16384" width="8" style="79"/>
  </cols>
  <sheetData>
    <row r="1" spans="1:11" s="77" customFormat="1" ht="78" customHeight="1" x14ac:dyDescent="0.15">
      <c r="F1" s="78"/>
    </row>
    <row r="2" spans="1:11" s="77" customFormat="1" ht="14.25" x14ac:dyDescent="0.15">
      <c r="A2" s="80" t="s">
        <v>207</v>
      </c>
      <c r="B2" s="80"/>
      <c r="F2" s="78"/>
      <c r="G2" s="81" t="s">
        <v>208</v>
      </c>
    </row>
    <row r="3" spans="1:11" s="77" customFormat="1" ht="13.5" x14ac:dyDescent="0.15">
      <c r="F3" s="78"/>
      <c r="G3" s="81" t="s">
        <v>209</v>
      </c>
    </row>
    <row r="4" spans="1:11" s="77" customFormat="1" ht="66" customHeight="1" x14ac:dyDescent="0.15">
      <c r="A4" s="82" t="s">
        <v>210</v>
      </c>
      <c r="B4" s="82" t="s">
        <v>254</v>
      </c>
      <c r="C4" s="83" t="s">
        <v>211</v>
      </c>
      <c r="D4" s="83" t="s">
        <v>212</v>
      </c>
      <c r="E4" s="83" t="s">
        <v>213</v>
      </c>
      <c r="F4" s="84" t="s">
        <v>214</v>
      </c>
      <c r="G4" s="83" t="s">
        <v>215</v>
      </c>
      <c r="H4" s="92" t="s">
        <v>301</v>
      </c>
      <c r="I4" s="110" t="s">
        <v>299</v>
      </c>
      <c r="J4" s="110" t="s">
        <v>300</v>
      </c>
      <c r="K4" s="107" t="s">
        <v>234</v>
      </c>
    </row>
    <row r="5" spans="1:11" s="77" customFormat="1" ht="27" x14ac:dyDescent="0.15">
      <c r="A5" s="152" t="s">
        <v>216</v>
      </c>
      <c r="B5" s="94" t="s">
        <v>251</v>
      </c>
      <c r="C5" s="88" t="s">
        <v>217</v>
      </c>
      <c r="D5" s="86" t="s">
        <v>218</v>
      </c>
      <c r="E5" s="88" t="s">
        <v>252</v>
      </c>
      <c r="F5" s="89" t="s">
        <v>245</v>
      </c>
      <c r="G5" s="86" t="str">
        <f>B5&amp;"-"&amp;C5&amp;"-"&amp;E5&amp;"-"&amp;D5&amp;"(V1.0)"</f>
        <v>SD-PP-17-프로젝트 수행 계획서(V1.0)</v>
      </c>
      <c r="H5" s="91" t="s">
        <v>277</v>
      </c>
      <c r="I5" s="90"/>
      <c r="J5" s="90" t="s">
        <v>335</v>
      </c>
      <c r="K5" s="87" t="s">
        <v>341</v>
      </c>
    </row>
    <row r="6" spans="1:11" s="77" customFormat="1" ht="13.5" customHeight="1" x14ac:dyDescent="0.15">
      <c r="A6" s="153"/>
      <c r="B6" s="94" t="s">
        <v>251</v>
      </c>
      <c r="C6" s="88" t="s">
        <v>235</v>
      </c>
      <c r="D6" s="86" t="s">
        <v>228</v>
      </c>
      <c r="E6" s="88" t="s">
        <v>236</v>
      </c>
      <c r="F6" s="89" t="s">
        <v>246</v>
      </c>
      <c r="G6" s="86" t="str">
        <f t="shared" ref="G6:G22" si="0">B6&amp;"-"&amp;C6&amp;"-"&amp;E6&amp;"-"&amp;D6&amp;"(V1.0)"</f>
        <v>SD-PP-26-프로젝트 관리표준(V1.0)</v>
      </c>
      <c r="H6" s="91"/>
      <c r="I6" s="90"/>
      <c r="J6" s="90"/>
      <c r="K6" s="87"/>
    </row>
    <row r="7" spans="1:11" s="77" customFormat="1" ht="13.5" customHeight="1" x14ac:dyDescent="0.15">
      <c r="A7" s="153"/>
      <c r="B7" s="94"/>
      <c r="C7" s="93" t="s">
        <v>249</v>
      </c>
      <c r="D7" s="86" t="s">
        <v>229</v>
      </c>
      <c r="E7" s="93" t="s">
        <v>249</v>
      </c>
      <c r="F7" s="89" t="s">
        <v>245</v>
      </c>
      <c r="G7" s="86" t="str">
        <f>B7&amp;"-"&amp;C7&amp;"-"&amp;E7&amp;"-"&amp;D7&amp;"(V1.4)"</f>
        <v>-----프로젝트 Tailoring 대비표(V1.4)</v>
      </c>
      <c r="H7" s="91" t="s">
        <v>278</v>
      </c>
      <c r="I7" s="90" t="s">
        <v>317</v>
      </c>
      <c r="J7" s="90"/>
      <c r="K7" s="87"/>
    </row>
    <row r="8" spans="1:11" s="77" customFormat="1" ht="27" x14ac:dyDescent="0.15">
      <c r="A8" s="154"/>
      <c r="B8" s="95" t="s">
        <v>251</v>
      </c>
      <c r="C8" s="88" t="s">
        <v>217</v>
      </c>
      <c r="D8" s="86" t="s">
        <v>253</v>
      </c>
      <c r="E8" s="88" t="s">
        <v>250</v>
      </c>
      <c r="F8" s="89" t="s">
        <v>245</v>
      </c>
      <c r="G8" s="86" t="str">
        <f t="shared" si="0"/>
        <v>SD-PP-29-WBS템플릿(CJ-Agile)(V1.0)</v>
      </c>
      <c r="H8" s="91" t="s">
        <v>277</v>
      </c>
      <c r="I8" s="90" t="s">
        <v>318</v>
      </c>
      <c r="J8" s="90"/>
      <c r="K8" s="87"/>
    </row>
    <row r="9" spans="1:11" s="77" customFormat="1" ht="13.5" x14ac:dyDescent="0.15">
      <c r="A9" s="149" t="s">
        <v>219</v>
      </c>
      <c r="B9" s="95" t="s">
        <v>251</v>
      </c>
      <c r="C9" s="88" t="s">
        <v>237</v>
      </c>
      <c r="D9" s="87" t="s">
        <v>222</v>
      </c>
      <c r="E9" s="88" t="s">
        <v>238</v>
      </c>
      <c r="F9" s="89" t="s">
        <v>246</v>
      </c>
      <c r="G9" s="86" t="str">
        <f>B9&amp;"-"&amp;C9&amp;"-"&amp;E9&amp;"-"&amp;D9&amp;"(V1.0)"</f>
        <v>SD-CM-02-변경요청서/ 변경결과서 (V1.0)</v>
      </c>
      <c r="H9" s="91"/>
      <c r="I9" s="90"/>
      <c r="J9" s="90"/>
      <c r="K9" s="87"/>
    </row>
    <row r="10" spans="1:11" s="77" customFormat="1" ht="40.5" x14ac:dyDescent="0.15">
      <c r="A10" s="150"/>
      <c r="B10" s="95"/>
      <c r="C10" s="88"/>
      <c r="D10" s="86" t="s">
        <v>220</v>
      </c>
      <c r="E10" s="88"/>
      <c r="F10" s="89" t="s">
        <v>245</v>
      </c>
      <c r="G10" s="86" t="str">
        <f t="shared" si="0"/>
        <v>---프로젝트 주간보고서(V1.0)</v>
      </c>
      <c r="H10" s="91" t="s">
        <v>277</v>
      </c>
      <c r="I10" s="90" t="s">
        <v>319</v>
      </c>
      <c r="J10" s="90" t="s">
        <v>336</v>
      </c>
      <c r="K10" s="87"/>
    </row>
    <row r="11" spans="1:11" s="77" customFormat="1" ht="13.5" x14ac:dyDescent="0.15">
      <c r="A11" s="150"/>
      <c r="B11" s="95"/>
      <c r="C11" s="88"/>
      <c r="D11" s="86" t="s">
        <v>221</v>
      </c>
      <c r="E11" s="88"/>
      <c r="F11" s="89" t="s">
        <v>246</v>
      </c>
      <c r="G11" s="86" t="str">
        <f t="shared" si="0"/>
        <v>---프로젝트 월간보고서(V1.0)</v>
      </c>
      <c r="H11" s="91"/>
      <c r="I11" s="90"/>
      <c r="J11" s="90"/>
      <c r="K11" s="87"/>
    </row>
    <row r="12" spans="1:11" s="77" customFormat="1" ht="13.5" customHeight="1" x14ac:dyDescent="0.15">
      <c r="A12" s="150"/>
      <c r="B12" s="95" t="s">
        <v>251</v>
      </c>
      <c r="C12" s="88" t="s">
        <v>255</v>
      </c>
      <c r="D12" s="87" t="s">
        <v>243</v>
      </c>
      <c r="E12" s="88" t="s">
        <v>257</v>
      </c>
      <c r="F12" s="89" t="s">
        <v>245</v>
      </c>
      <c r="G12" s="86" t="str">
        <f t="shared" si="0"/>
        <v>SD-PMC-14-인력관리(업무,역할별 투입인력계획 대비 실적)(V1.0)</v>
      </c>
      <c r="H12" s="91" t="s">
        <v>281</v>
      </c>
      <c r="I12" s="90" t="s">
        <v>320</v>
      </c>
      <c r="J12" s="90"/>
      <c r="K12" s="87" t="s">
        <v>282</v>
      </c>
    </row>
    <row r="13" spans="1:11" s="77" customFormat="1" ht="13.5" customHeight="1" x14ac:dyDescent="0.15">
      <c r="A13" s="150"/>
      <c r="B13" s="95" t="s">
        <v>251</v>
      </c>
      <c r="C13" s="88" t="s">
        <v>258</v>
      </c>
      <c r="D13" s="87" t="s">
        <v>261</v>
      </c>
      <c r="E13" s="88" t="s">
        <v>257</v>
      </c>
      <c r="F13" s="89" t="s">
        <v>246</v>
      </c>
      <c r="G13" s="86" t="str">
        <f t="shared" si="0"/>
        <v>SD-PP-14-교육훈련계획및실적(V1.0)</v>
      </c>
      <c r="H13" s="91"/>
      <c r="I13" s="90"/>
      <c r="J13" s="90"/>
      <c r="K13" s="87"/>
    </row>
    <row r="14" spans="1:11" s="77" customFormat="1" ht="13.5" customHeight="1" x14ac:dyDescent="0.15">
      <c r="A14" s="150"/>
      <c r="B14" s="95" t="s">
        <v>251</v>
      </c>
      <c r="C14" s="88" t="s">
        <v>255</v>
      </c>
      <c r="D14" s="86" t="s">
        <v>230</v>
      </c>
      <c r="E14" s="88" t="s">
        <v>205</v>
      </c>
      <c r="F14" s="89" t="s">
        <v>245</v>
      </c>
      <c r="G14" s="86" t="str">
        <f>B14&amp;"-"&amp;C14&amp;"-"&amp;E14&amp;"-"&amp;D14&amp;"(V1.2)"</f>
        <v>SD-PMC-05-위험_이슈_ActionItem관리대장(V1.2)</v>
      </c>
      <c r="H14" s="91" t="s">
        <v>279</v>
      </c>
      <c r="I14" s="90" t="s">
        <v>321</v>
      </c>
      <c r="J14" s="90"/>
      <c r="K14" s="87" t="s">
        <v>284</v>
      </c>
    </row>
    <row r="15" spans="1:11" s="77" customFormat="1" ht="13.5" customHeight="1" x14ac:dyDescent="0.15">
      <c r="A15" s="150"/>
      <c r="B15" s="95" t="s">
        <v>251</v>
      </c>
      <c r="C15" s="88" t="s">
        <v>248</v>
      </c>
      <c r="D15" s="87" t="s">
        <v>244</v>
      </c>
      <c r="E15" s="88" t="s">
        <v>259</v>
      </c>
      <c r="F15" s="89" t="s">
        <v>245</v>
      </c>
      <c r="G15" s="86" t="str">
        <f t="shared" si="0"/>
        <v>SD-PMC-15-회의록(V1.0)</v>
      </c>
      <c r="H15" s="91" t="s">
        <v>277</v>
      </c>
      <c r="I15" s="90"/>
      <c r="J15" s="90"/>
      <c r="K15" s="87"/>
    </row>
    <row r="16" spans="1:11" s="77" customFormat="1" ht="13.5" customHeight="1" x14ac:dyDescent="0.15">
      <c r="A16" s="151"/>
      <c r="B16" s="96"/>
      <c r="C16" s="93" t="s">
        <v>249</v>
      </c>
      <c r="D16" s="87" t="s">
        <v>223</v>
      </c>
      <c r="E16" s="93" t="s">
        <v>249</v>
      </c>
      <c r="F16" s="89" t="s">
        <v>246</v>
      </c>
      <c r="G16" s="86" t="str">
        <f t="shared" si="0"/>
        <v>-----변화관리계획서(V1.0)</v>
      </c>
      <c r="H16" s="91"/>
      <c r="I16" s="90"/>
      <c r="J16" s="90"/>
      <c r="K16" s="87"/>
    </row>
    <row r="17" spans="1:11" s="77" customFormat="1" ht="13.5" x14ac:dyDescent="0.15">
      <c r="A17" s="149" t="s">
        <v>231</v>
      </c>
      <c r="B17" s="95" t="s">
        <v>266</v>
      </c>
      <c r="C17" s="88" t="s">
        <v>264</v>
      </c>
      <c r="D17" s="86" t="s">
        <v>256</v>
      </c>
      <c r="E17" s="88" t="s">
        <v>265</v>
      </c>
      <c r="F17" s="89" t="s">
        <v>246</v>
      </c>
      <c r="G17" s="86" t="str">
        <f>B17&amp;"-"&amp;C17&amp;"-"&amp;E17&amp;"-"&amp;D17&amp;"(V1.0)"</f>
        <v>ST-STM-02-프로젝트 운영 인수인계서(V1.0)</v>
      </c>
      <c r="H17" s="91" t="s">
        <v>285</v>
      </c>
      <c r="I17" s="90"/>
      <c r="J17" s="90"/>
      <c r="K17" s="87"/>
    </row>
    <row r="18" spans="1:11" s="77" customFormat="1" ht="13.5" x14ac:dyDescent="0.15">
      <c r="A18" s="150"/>
      <c r="B18" s="94" t="s">
        <v>266</v>
      </c>
      <c r="C18" s="88" t="s">
        <v>264</v>
      </c>
      <c r="D18" s="86" t="s">
        <v>206</v>
      </c>
      <c r="E18" s="88" t="s">
        <v>265</v>
      </c>
      <c r="F18" s="89" t="s">
        <v>245</v>
      </c>
      <c r="G18" s="86" t="str">
        <f>B18&amp;"-"&amp;C18&amp;"-"&amp;E18&amp;"-"&amp;D18&amp;"(V2.0)"</f>
        <v>ST-STM-02-검수확인서(V2.0)</v>
      </c>
      <c r="H18" s="91" t="s">
        <v>278</v>
      </c>
      <c r="I18" s="90"/>
      <c r="J18" s="90"/>
      <c r="K18" s="87"/>
    </row>
    <row r="19" spans="1:11" s="77" customFormat="1" ht="13.5" customHeight="1" x14ac:dyDescent="0.15">
      <c r="A19" s="150"/>
      <c r="B19" s="95" t="s">
        <v>263</v>
      </c>
      <c r="C19" s="88" t="s">
        <v>242</v>
      </c>
      <c r="D19" s="87" t="s">
        <v>224</v>
      </c>
      <c r="E19" s="88" t="s">
        <v>247</v>
      </c>
      <c r="F19" s="89" t="s">
        <v>246</v>
      </c>
      <c r="G19" s="86" t="str">
        <f>B19&amp;"-"&amp;C19&amp;"-"&amp;E19&amp;"-"&amp;D19&amp;"(V1.0)"</f>
        <v>ST-STA-01-배포요청서(V1.0)</v>
      </c>
      <c r="H19" s="91"/>
      <c r="I19" s="90"/>
      <c r="J19" s="90"/>
      <c r="K19" s="87"/>
    </row>
    <row r="20" spans="1:11" s="77" customFormat="1" ht="13.5" customHeight="1" x14ac:dyDescent="0.15">
      <c r="A20" s="150"/>
      <c r="B20" s="95" t="s">
        <v>263</v>
      </c>
      <c r="C20" s="88" t="s">
        <v>260</v>
      </c>
      <c r="D20" s="87" t="s">
        <v>225</v>
      </c>
      <c r="E20" s="88" t="s">
        <v>262</v>
      </c>
      <c r="F20" s="89" t="s">
        <v>246</v>
      </c>
      <c r="G20" s="86" t="str">
        <f>B20&amp;"-"&amp;C20&amp;"-"&amp;E20&amp;"-"&amp;D20&amp;"(V1.0)"</f>
        <v>ST-STM-05-완료보고서(V1.0)</v>
      </c>
      <c r="H20" s="91" t="s">
        <v>280</v>
      </c>
      <c r="I20" s="90"/>
      <c r="J20" s="90"/>
      <c r="K20" s="87"/>
    </row>
    <row r="21" spans="1:11" s="77" customFormat="1" ht="13.5" customHeight="1" x14ac:dyDescent="0.15">
      <c r="A21" s="150"/>
      <c r="B21" s="95" t="s">
        <v>263</v>
      </c>
      <c r="C21" s="88" t="s">
        <v>239</v>
      </c>
      <c r="D21" s="87" t="s">
        <v>226</v>
      </c>
      <c r="E21" s="88" t="s">
        <v>241</v>
      </c>
      <c r="F21" s="89" t="s">
        <v>245</v>
      </c>
      <c r="G21" s="86" t="str">
        <f t="shared" si="0"/>
        <v>ST-STM-03-레슨런(V1.0)</v>
      </c>
      <c r="H21" s="91" t="s">
        <v>279</v>
      </c>
      <c r="I21" s="90"/>
      <c r="J21" s="90"/>
      <c r="K21" s="87"/>
    </row>
    <row r="22" spans="1:11" s="77" customFormat="1" ht="13.5" customHeight="1" x14ac:dyDescent="0.15">
      <c r="A22" s="151"/>
      <c r="B22" s="94" t="s">
        <v>263</v>
      </c>
      <c r="C22" s="88" t="s">
        <v>239</v>
      </c>
      <c r="D22" s="87" t="s">
        <v>227</v>
      </c>
      <c r="E22" s="88" t="s">
        <v>240</v>
      </c>
      <c r="F22" s="89" t="s">
        <v>245</v>
      </c>
      <c r="G22" s="86" t="str">
        <f t="shared" si="0"/>
        <v>ST-STM-04-생산성측정양식(V1.0)</v>
      </c>
      <c r="H22" s="91" t="s">
        <v>278</v>
      </c>
      <c r="I22" s="90"/>
      <c r="J22" s="90"/>
      <c r="K22" s="87"/>
    </row>
    <row r="23" spans="1:11" x14ac:dyDescent="0.15">
      <c r="A23" s="155" t="s">
        <v>323</v>
      </c>
      <c r="B23" s="156"/>
      <c r="C23" s="156"/>
      <c r="D23" s="156"/>
      <c r="E23" s="156"/>
      <c r="F23" s="156"/>
      <c r="G23" s="157"/>
      <c r="H23" s="83">
        <f>COUNTIF(H5:H22,"Y")</f>
        <v>12</v>
      </c>
      <c r="I23" s="113"/>
      <c r="J23" s="113"/>
      <c r="K23" s="114"/>
    </row>
  </sheetData>
  <autoFilter ref="A4:K22"/>
  <mergeCells count="4">
    <mergeCell ref="A9:A16"/>
    <mergeCell ref="A5:A8"/>
    <mergeCell ref="A17:A22"/>
    <mergeCell ref="A23:G23"/>
  </mergeCells>
  <phoneticPr fontId="9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8" shapeId="13313" r:id="rId4">
          <objectPr defaultSize="0" r:id="rId5">
            <anchor moveWithCells="1">
              <from>
                <xdr:col>0</xdr:col>
                <xdr:colOff>0</xdr:colOff>
                <xdr:row>0</xdr:row>
                <xdr:rowOff>19050</xdr:rowOff>
              </from>
              <to>
                <xdr:col>7</xdr:col>
                <xdr:colOff>847725</xdr:colOff>
                <xdr:row>0</xdr:row>
                <xdr:rowOff>981075</xdr:rowOff>
              </to>
            </anchor>
          </objectPr>
        </oleObject>
      </mc:Choice>
      <mc:Fallback>
        <oleObject progId="Word.Document.8" shapeId="13313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표지</vt:lpstr>
      <vt:lpstr>개정이력</vt:lpstr>
      <vt:lpstr>개발산출물(Agile)</vt:lpstr>
      <vt:lpstr>관리산출물</vt:lpstr>
    </vt:vector>
  </TitlesOfParts>
  <Company>CJ올리브네트웍스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프로젝트 산출물 목록</dc:title>
  <dc:creator>?�질보증?�? cj:T9BkKTBcsBkCWCLfyMLRQIwpeAM=��yongsclub@cj.net;cj:T9BkKTBcsBkCWCLfyMLRQIwpeAM=*yongsclub@cj.net</dc:creator>
  <cp:keywords>2020-01-10</cp:keywords>
  <dc:description>CJ올리브네트웍스의 사전승인 없이 본 내용의 전부 또는 일부에 대한 복사, 전재, 배포, 사용을 금합니다.</dc:description>
  <cp:lastModifiedBy>User</cp:lastModifiedBy>
  <cp:lastPrinted>2005-10-19T07:09:09Z</cp:lastPrinted>
  <dcterms:created xsi:type="dcterms:W3CDTF">2004-08-23T06:10:35Z</dcterms:created>
  <dcterms:modified xsi:type="dcterms:W3CDTF">2026-01-07T05:54:48Z</dcterms:modified>
  <cp:category>v1.5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082a6c-0558-48a5-a82a-128def7f07c5_SiteId">
    <vt:lpwstr>ee6af5c5-684f-4539-9eb6-64793af08027</vt:lpwstr>
  </property>
  <property fmtid="{D5CDD505-2E9C-101B-9397-08002B2CF9AE}" pid="3" name="MSIP_Label_a7082a6c-0558-48a5-a82a-128def7f07c5_SetDate">
    <vt:lpwstr>2023-12-07T06:43:51Z</vt:lpwstr>
  </property>
  <property fmtid="{D5CDD505-2E9C-101B-9397-08002B2CF9AE}" pid="4" name="MSIP_Label_a7082a6c-0558-48a5-a82a-128def7f07c5_Name">
    <vt:lpwstr>그룹한(내부유통)</vt:lpwstr>
  </property>
  <property fmtid="{D5CDD505-2E9C-101B-9397-08002B2CF9AE}" pid="5" name="MSIP_Label_a7082a6c-0558-48a5-a82a-128def7f07c5_Method">
    <vt:lpwstr>Privileged</vt:lpwstr>
  </property>
  <property fmtid="{D5CDD505-2E9C-101B-9397-08002B2CF9AE}" pid="6" name="MSIP_Label_a7082a6c-0558-48a5-a82a-128def7f07c5_Enabled">
    <vt:lpwstr>true</vt:lpwstr>
  </property>
  <property fmtid="{D5CDD505-2E9C-101B-9397-08002B2CF9AE}" pid="7" name="MSIP_Label_a7082a6c-0558-48a5-a82a-128def7f07c5_ContentBits">
    <vt:lpwstr>8</vt:lpwstr>
  </property>
  <property fmtid="{D5CDD505-2E9C-101B-9397-08002B2CF9AE}" pid="8" name="MSIP_Label_a7082a6c-0558-48a5-a82a-128def7f07c5_ActionId">
    <vt:lpwstr>e45f8c43-aae3-4b72-8b79-fef1995db391</vt:lpwstr>
  </property>
  <property fmtid="{D5CDD505-2E9C-101B-9397-08002B2CF9AE}" pid="9" name="Fasoo_Trace_ID">
    <vt:lpwstr>eyAibm9kZUNvdW50IjogMiwgIm5vZGUxIiA6IHsgInVzZXJDb2RlIiA6ICJ5b25nc2NsdWIiLCAidHJhY2VJZCIgOiAiQUI0MUQ3OUY3MDEzREQ2OTEzQkM0NTkxRTM0MURCRDEiLCAiZHNkIiA6ICIwMTAwMDAwMDAwMDAyMTAzIiwgInBJRCIgOiAiMSIsICJsb2dUaW1lIiA6ICIyMDIzLTA4LTI4VDA3OjMwOjU4WiIgfSwibm9kZTIiIDo</vt:lpwstr>
  </property>
</Properties>
</file>