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D:\1000.SSTS\A.사업관리\A200.실행및통제\A220.일정관리(WBS및개발진척관리)\"/>
    </mc:Choice>
  </mc:AlternateContent>
  <bookViews>
    <workbookView xWindow="0" yWindow="600" windowWidth="23040" windowHeight="10404" tabRatio="636" activeTab="2"/>
  </bookViews>
  <sheets>
    <sheet name="표지" sheetId="32" r:id="rId1"/>
    <sheet name="개정이력" sheetId="33" r:id="rId2"/>
    <sheet name="Schedule" sheetId="31" r:id="rId3"/>
    <sheet name="(참조)" sheetId="34" r:id="rId4"/>
    <sheet name="Progress" sheetId="3" r:id="rId5"/>
    <sheet name="AnalysisReport" sheetId="4" r:id="rId6"/>
    <sheet name="Calendar" sheetId="5" r:id="rId7"/>
    <sheet name="TranslatedLanguages" sheetId="7" state="hidden" r:id="rId8"/>
    <sheet name="Workload" sheetId="8" r:id="rId9"/>
    <sheet name="Help" sheetId="9" r:id="rId10"/>
    <sheet name="Settings" sheetId="6" state="veryHidden" r:id="rId11"/>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2">Schedule!$D$1:$AE$182</definedName>
    <definedName name="RATE_GAP">Progress!$B$24</definedName>
    <definedName name="RNG_ACTUAL_END_DATE_COL_NAME" localSheetId="2">Schedule!$X$3</definedName>
    <definedName name="RNG_ACTUAL_RATE_COL_NAME" localSheetId="2">Schedule!$AE$3</definedName>
    <definedName name="RNG_ACTUAL_START_DATE_COL_NAME" localSheetId="2">Schedule!$W$3</definedName>
    <definedName name="RNG_ACTUAL_TOTAL_DURATION_COL_NAME" localSheetId="2">Schedule!$Z$3</definedName>
    <definedName name="RNG_ACTUAL_TOTAL_WORKLOAD_COL_NAME" localSheetId="2">Schedule!$Y$3</definedName>
    <definedName name="RNG_CALENDAR_COL_NAME" localSheetId="2">Schedule!$R$3</definedName>
    <definedName name="RNG_DELIVERABLES_COL_NAME" localSheetId="2">Schedule!$AC$3</definedName>
    <definedName name="RNG_END_DATE_COL_NAME" localSheetId="2">Schedule!$Q$3</definedName>
    <definedName name="RNG_ETC_COL_NAME" localSheetId="2">Schedule!$O$3</definedName>
    <definedName name="RNG_GANTT_AREA_FIRST_COL_NAME" localSheetId="2">Schedule!$AF$4</definedName>
    <definedName name="RNG_PLAN_DURATION_COL_NAME" localSheetId="2">Schedule!$V$3</definedName>
    <definedName name="RNG_PLAN_RATE_COL_NAME" localSheetId="2">Schedule!$AD$3</definedName>
    <definedName name="RNG_PLAN_WORKLOAD_COL_NAME" localSheetId="2">Schedule!$T$3</definedName>
    <definedName name="RNG_RESOURCE_COL_NAME" localSheetId="2">Schedule!$AB$3</definedName>
    <definedName name="RNG_RESOURCE_WEIGHT_COL_NAME" localSheetId="2">Schedule!$AA$3</definedName>
    <definedName name="RNG_START_DATE_COL_NAME" localSheetId="2">Schedule!$P$3</definedName>
    <definedName name="RNG_TASK_FIRST_COL_NAME" localSheetId="2">Schedule!$E$3</definedName>
    <definedName name="RNG_TOTAL_DURATION_COL_NAME" localSheetId="2">Schedule!$U$3</definedName>
    <definedName name="RNG_TOTAL_WORKLOAD_COL_NAME" localSheetId="2">Schedule!$S$3</definedName>
    <definedName name="RNG_WBS_AREA_LAST_COL_NAME" localSheetId="2">Schedule!$AE$3</definedName>
    <definedName name="RNG_WBS_COL_NAME" localSheetId="2">Schedule!$D$3</definedName>
    <definedName name="RNG_WBS_LEVEL_COL_NAME" localSheetId="2">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<sst xmlns="http://schemas.openxmlformats.org/spreadsheetml/2006/main" count="3290" uniqueCount="1779">
  <si>
    <t>Man/Day</t>
    <phoneticPr fontId="4" type="noConversion"/>
  </si>
  <si>
    <t>Man-Day</t>
  </si>
  <si>
    <t>Man-Month</t>
  </si>
  <si>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</si>
  <si>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</si>
  <si>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</si>
  <si>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</si>
  <si>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</si>
  <si>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</si>
  <si>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</si>
  <si>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</si>
  <si>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</si>
  <si>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</si>
  <si>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</si>
  <si>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</si>
  <si>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RELEASE_DATE</t>
    <phoneticPr fontId="4" type="noConversion"/>
  </si>
  <si>
    <t>LICENSE</t>
    <phoneticPr fontId="4" type="noConversion"/>
  </si>
  <si>
    <t>Freeware</t>
    <phoneticPr fontId="4"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</si>
  <si>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</si>
  <si>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</si>
  <si>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</si>
  <si>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</si>
  <si>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</si>
  <si>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</si>
  <si>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</si>
  <si>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</si>
  <si>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</si>
  <si>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</si>
  <si>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</si>
  <si>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</si>
  <si>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</si>
  <si>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</si>
  <si>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</si>
  <si>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</si>
  <si>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</si>
  <si>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</si>
  <si>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</si>
  <si>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</si>
  <si>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</si>
  <si>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</si>
  <si>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</si>
  <si>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</si>
  <si>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</si>
  <si>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</si>
  <si>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</si>
  <si>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</si>
  <si>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</si>
  <si>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</si>
  <si>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</si>
  <si>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</si>
  <si>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</si>
  <si>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</si>
  <si>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</si>
  <si>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</si>
  <si>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</si>
  <si>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</si>
  <si>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</si>
  <si>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</si>
  <si>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</si>
  <si>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</si>
  <si>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</si>
  <si>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</si>
  <si>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</si>
  <si>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</si>
  <si>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</si>
  <si>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</si>
  <si>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</si>
  <si>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</si>
  <si>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</si>
  <si>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</si>
  <si>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</si>
  <si>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</si>
  <si>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</si>
  <si>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</si>
  <si>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</si>
  <si>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</si>
  <si>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</si>
  <si>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</si>
  <si>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</si>
  <si>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</si>
  <si>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</si>
  <si>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</si>
  <si>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</si>
  <si>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</si>
  <si>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</si>
  <si>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</si>
  <si>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</si>
  <si>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</si>
  <si>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</si>
  <si>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</si>
  <si>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</si>
  <si>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</si>
  <si>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</si>
  <si>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</si>
  <si>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</si>
  <si>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</si>
  <si>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</si>
  <si>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</si>
  <si>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</si>
  <si>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</si>
  <si>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</si>
  <si>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</si>
  <si>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</si>
  <si>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</si>
  <si>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</si>
  <si>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</si>
  <si>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</si>
  <si>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</si>
  <si>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</si>
  <si>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</si>
  <si>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</si>
  <si>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</si>
  <si>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</si>
  <si>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</si>
  <si>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</si>
  <si>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</si>
  <si>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</si>
  <si>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</si>
  <si>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</si>
  <si>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</si>
  <si>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</si>
  <si>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</si>
  <si>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</si>
  <si>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</si>
  <si>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</si>
  <si>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</si>
  <si>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</si>
  <si>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</si>
  <si>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</si>
  <si>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</si>
  <si>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</si>
  <si>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</si>
  <si>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</si>
  <si>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</si>
  <si>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</si>
  <si>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</si>
  <si>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</si>
  <si>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</si>
  <si>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</si>
  <si>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</si>
  <si>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</si>
  <si>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</si>
  <si>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</si>
  <si>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</si>
  <si>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</si>
  <si>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</si>
  <si>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</si>
  <si>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</si>
  <si>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</si>
  <si>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</si>
  <si>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</si>
  <si>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</si>
  <si>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</si>
  <si>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</si>
  <si>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</si>
  <si>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</si>
  <si>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</si>
  <si>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</si>
  <si>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</si>
  <si>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</si>
  <si>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</si>
  <si>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</si>
  <si>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</si>
  <si>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</si>
  <si>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</si>
  <si>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</si>
  <si>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</si>
  <si>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</si>
  <si>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</si>
  <si>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</si>
  <si>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</si>
  <si>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</si>
  <si>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</si>
  <si>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</si>
  <si>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</si>
  <si>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</si>
  <si>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</si>
  <si>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</si>
  <si>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</si>
  <si>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</si>
  <si>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</si>
  <si>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</si>
  <si>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</si>
  <si>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</si>
  <si>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</si>
  <si>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</si>
  <si>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</si>
  <si>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</si>
  <si>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</si>
  <si>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</si>
  <si>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</si>
  <si>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</si>
  <si>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</si>
  <si>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</si>
  <si>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</si>
  <si>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</si>
  <si>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</si>
  <si>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</si>
  <si>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</si>
  <si>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</si>
  <si>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</si>
  <si>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</si>
  <si>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</si>
  <si>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</si>
  <si>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</si>
  <si>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</si>
  <si>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</si>
  <si>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</si>
  <si>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</si>
  <si>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</si>
  <si>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</si>
  <si>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</si>
  <si>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</si>
  <si>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</si>
  <si>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</si>
  <si>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</si>
  <si>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</si>
  <si>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</si>
  <si>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</si>
  <si>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</si>
  <si>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</si>
  <si>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</si>
  <si>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</si>
  <si>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</si>
  <si>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</si>
  <si>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</si>
  <si>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</si>
  <si>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</si>
  <si>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</si>
  <si>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</si>
  <si>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</si>
  <si>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</si>
  <si>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</si>
  <si>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</si>
  <si>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</si>
  <si>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</si>
  <si>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</si>
  <si>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</si>
  <si>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</si>
  <si>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</si>
  <si>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</si>
  <si>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</si>
  <si>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</si>
  <si>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</si>
  <si>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</si>
  <si>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</si>
  <si>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</si>
  <si>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</si>
  <si>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</si>
  <si>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</si>
  <si>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</si>
  <si>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</si>
  <si>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</si>
  <si>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</si>
  <si>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</si>
  <si>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</si>
  <si>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</si>
  <si>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</si>
  <si>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</si>
  <si>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</si>
  <si>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</si>
  <si>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</si>
  <si>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</si>
  <si>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</si>
  <si>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</si>
  <si>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</si>
  <si>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</si>
  <si>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</si>
  <si>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</si>
  <si>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</si>
  <si>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</si>
  <si>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</si>
  <si>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</si>
  <si>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</si>
  <si>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</si>
  <si>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</si>
  <si>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</si>
  <si>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</si>
  <si>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</si>
  <si>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</si>
  <si>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</si>
  <si>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</si>
  <si>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</si>
  <si>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</si>
  <si>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</si>
  <si>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</si>
  <si>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</si>
  <si>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</si>
  <si>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</si>
  <si>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</si>
  <si>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</si>
  <si>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</si>
  <si>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</si>
  <si>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</si>
  <si>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</si>
  <si>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</si>
  <si>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</si>
  <si>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</si>
  <si>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</si>
  <si>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</si>
  <si>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</si>
  <si>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</si>
  <si>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</si>
  <si>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</si>
  <si>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</si>
  <si>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</si>
  <si>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</si>
  <si>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</si>
  <si>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</si>
  <si>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</si>
  <si>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</si>
  <si>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</si>
  <si>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</si>
  <si>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</si>
  <si>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</si>
  <si>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</si>
  <si>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</si>
  <si>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</si>
  <si>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</si>
  <si>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</si>
  <si>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</si>
  <si>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</si>
  <si>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</si>
  <si>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</si>
  <si>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</si>
  <si>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</si>
  <si>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</si>
  <si>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</si>
  <si>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</si>
  <si>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</si>
  <si>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</si>
  <si>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</si>
  <si>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</si>
  <si>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</si>
  <si>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</si>
  <si>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</si>
  <si>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</si>
  <si>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</si>
  <si>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</si>
  <si>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</si>
  <si>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</si>
  <si>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</si>
  <si>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</si>
  <si>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</si>
  <si>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</si>
  <si>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</si>
  <si>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</si>
  <si>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</si>
  <si>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</si>
  <si>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</si>
  <si>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</si>
  <si>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</si>
  <si>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</si>
  <si>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</si>
  <si>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</si>
  <si>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</si>
  <si>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</si>
  <si>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</si>
  <si>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</si>
  <si>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</si>
  <si>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</si>
  <si>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</si>
  <si>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</si>
  <si>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</si>
  <si>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</si>
  <si>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</si>
  <si>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</si>
  <si>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</si>
  <si>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</si>
  <si>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</si>
  <si>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</si>
  <si>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</si>
  <si>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</si>
  <si>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</si>
  <si>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</si>
  <si>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</si>
  <si>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</si>
  <si>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</si>
  <si>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</si>
  <si>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</si>
  <si>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</si>
  <si>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</si>
  <si>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</si>
  <si>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</si>
  <si>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</si>
  <si>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</si>
  <si>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</si>
  <si>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</si>
  <si>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</si>
  <si>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</si>
  <si>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</si>
  <si>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</si>
  <si>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</si>
  <si>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</si>
  <si>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</si>
  <si>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</si>
  <si>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</si>
  <si>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</si>
  <si>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</si>
  <si>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</si>
  <si>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</si>
  <si>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</si>
  <si>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</si>
  <si>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</si>
  <si>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</si>
  <si>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</si>
  <si>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</si>
  <si>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</si>
  <si>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</si>
  <si>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</si>
  <si>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</si>
  <si>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</si>
  <si>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</si>
  <si>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</si>
  <si>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</si>
  <si>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</si>
  <si>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</si>
  <si>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</si>
  <si>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</si>
  <si>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</si>
  <si>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</si>
  <si>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</si>
  <si>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</si>
  <si>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</si>
  <si>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</si>
  <si>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</si>
  <si>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</si>
  <si>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</si>
  <si>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</si>
  <si>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</si>
  <si>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</si>
  <si>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</si>
  <si>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</si>
  <si>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</si>
  <si>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</si>
  <si>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</si>
  <si>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</si>
  <si>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</si>
  <si>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</si>
  <si>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</si>
  <si>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</si>
  <si>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</si>
  <si>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</si>
  <si>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</si>
  <si>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</si>
  <si>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</si>
  <si>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</si>
  <si>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</si>
  <si>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Group rows</t>
    <phoneticPr fontId="2" type="noConversion"/>
  </si>
  <si>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</si>
  <si>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</si>
  <si>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</si>
  <si>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</si>
  <si>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</si>
  <si>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</si>
  <si>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Manual</t>
    <phoneticPr fontId="2" type="noConversion"/>
  </si>
  <si>
    <t>Automatic</t>
    <phoneticPr fontId="2" type="noConversion"/>
  </si>
  <si>
    <t>Automatic Except for Data Tables</t>
    <phoneticPr fontId="2" type="noConversion"/>
  </si>
  <si>
    <t>Calculation Options</t>
    <phoneticPr fontId="2" type="noConversion"/>
  </si>
  <si>
    <t>WBS</t>
    <phoneticPr fontId="4" type="noConversion"/>
  </si>
  <si>
    <t>Total Work</t>
  </si>
  <si>
    <t>Planned Work</t>
  </si>
  <si>
    <t>Total Duration</t>
  </si>
  <si>
    <t>Planned Duration</t>
  </si>
  <si>
    <t>Actual Total Work</t>
  </si>
  <si>
    <t>Actual Total Duration</t>
  </si>
  <si>
    <t>Planned %Work Complete</t>
  </si>
  <si>
    <t>for importOnStartup</t>
    <phoneticPr fontId="2" type="noConversion"/>
  </si>
  <si>
    <t>Invalid field name!</t>
    <phoneticPr fontId="2" type="noConversion"/>
  </si>
  <si>
    <t>Import file format Error! Range A1 should contain "xlgantt_reserved" string.</t>
    <phoneticPr fontId="2" type="noConversion"/>
  </si>
  <si>
    <t>Import file format Error! Range A2 should contain the import result.</t>
    <phoneticPr fontId="2" type="noConversion"/>
  </si>
  <si>
    <t>Successfully imported.</t>
    <phoneticPr fontId="2" type="noConversion"/>
  </si>
  <si>
    <t>Recalculate WBS area after import</t>
    <phoneticPr fontId="2" type="noConversion"/>
  </si>
  <si>
    <t>Do not recalculate WBS area after import</t>
    <phoneticPr fontId="2" type="noConversion"/>
  </si>
  <si>
    <t>Number of "Task" columns(Max 20)</t>
    <phoneticPr fontId="2" type="noConversion"/>
  </si>
  <si>
    <t>Import from Server</t>
    <phoneticPr fontId="2" type="noConversion"/>
  </si>
  <si>
    <t>Choose what to do after Importing Server Data</t>
    <phoneticPr fontId="2" type="noConversion"/>
  </si>
  <si>
    <t xml:space="preserve">Import  Data of "ServerData" sheet on Startup </t>
    <phoneticPr fontId="2" type="noConversion"/>
  </si>
  <si>
    <t>Import has already been completed.</t>
    <phoneticPr fontId="2" type="noConversion"/>
  </si>
  <si>
    <t>No data to import.</t>
    <phoneticPr fontId="2" type="noConversion"/>
  </si>
  <si>
    <t>The number of task columns is not 10. Please retry after changing the sheet to its previous state.</t>
    <phoneticPr fontId="2" type="noConversion"/>
  </si>
  <si>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</si>
  <si>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</si>
  <si>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</si>
  <si>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</si>
  <si>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for Week Number</t>
    <phoneticPr fontId="2" type="noConversion"/>
  </si>
  <si>
    <t>None</t>
    <phoneticPr fontId="2" type="noConversion"/>
  </si>
  <si>
    <t>Week Numbers Display</t>
    <phoneticPr fontId="2" type="noConversion"/>
  </si>
  <si>
    <t>Group rows(Max 8 Levels)</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</si>
  <si>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</si>
  <si>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</si>
  <si>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</si>
  <si>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</si>
  <si>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</si>
  <si>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</si>
  <si>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</si>
  <si>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</si>
  <si>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</si>
  <si>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Actual Man-Day</t>
    <phoneticPr fontId="2" type="noConversion"/>
  </si>
  <si>
    <t>Actual Progress</t>
    <phoneticPr fontId="2" type="noConversion"/>
  </si>
  <si>
    <t>Project Progresses by Weeks</t>
    <phoneticPr fontId="2" type="noConversion"/>
  </si>
  <si>
    <t>* This sheet shows you project progresses by weeks.</t>
    <phoneticPr fontId="2" type="noConversion"/>
  </si>
  <si>
    <t>timebucketStart</t>
  </si>
  <si>
    <t>timebucketFinish</t>
  </si>
  <si>
    <t>actualStart</t>
  </si>
  <si>
    <t>actualFinish</t>
  </si>
  <si>
    <t>Planned Workload(Man-Day)</t>
    <phoneticPr fontId="2" type="noConversion"/>
  </si>
  <si>
    <t>Planned Workload Accumulated(Man-Day)</t>
    <phoneticPr fontId="2" type="noConversion"/>
  </si>
  <si>
    <t>Actual Workload(Man-Day)</t>
    <phoneticPr fontId="2" type="noConversion"/>
  </si>
  <si>
    <t>Actual Workload Progress</t>
    <phoneticPr fontId="2" type="noConversion"/>
  </si>
  <si>
    <t>Planned Workload Progress</t>
    <phoneticPr fontId="2" type="noConversion"/>
  </si>
  <si>
    <t>Actual Workload Accumulated(Man-Day)</t>
    <phoneticPr fontId="2" type="noConversion"/>
  </si>
  <si>
    <t>Progress by Weeks</t>
    <phoneticPr fontId="2" type="noConversion"/>
  </si>
  <si>
    <t>Progress by Months</t>
    <phoneticPr fontId="2" type="noConversion"/>
  </si>
  <si>
    <t>Project Progresses by Months</t>
    <phoneticPr fontId="2" type="noConversion"/>
  </si>
  <si>
    <t>* This sheet shows you project progresses by months.</t>
    <phoneticPr fontId="2" type="noConversion"/>
  </si>
  <si>
    <t>* You need to click the "Progress by Weeks" button to update the contents.</t>
    <phoneticPr fontId="2" type="noConversion"/>
  </si>
  <si>
    <t>* You need to click the "Progress by Months" button to update the contents.</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</si>
  <si>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</si>
  <si>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</si>
  <si>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</si>
  <si>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</si>
  <si>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</si>
  <si>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earnedValue</t>
  </si>
  <si>
    <t>Earned Value(C)\nMan-day</t>
    <phoneticPr fontId="2" type="noConversion"/>
  </si>
  <si>
    <t>wbsLevel01</t>
  </si>
  <si>
    <t>wbsLevel02</t>
  </si>
  <si>
    <t>wbsLevel03</t>
  </si>
  <si>
    <t>wbsLevel04</t>
  </si>
  <si>
    <t>wbsLevel05</t>
  </si>
  <si>
    <t>wbsLevel06</t>
  </si>
  <si>
    <t>wbsLevel07</t>
  </si>
  <si>
    <t>wbsLevel08</t>
  </si>
  <si>
    <t>wbsLevel09</t>
  </si>
  <si>
    <t>wbsLevel10</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</si>
  <si>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</si>
  <si>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</si>
  <si>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</si>
  <si>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</si>
  <si>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</si>
  <si>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</si>
  <si>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Create Workload Data by Months</t>
  </si>
  <si>
    <t>1.1</t>
  </si>
  <si>
    <t>Earned value on planned schedule(Total Duration x %Work Complete)</t>
    <phoneticPr fontId="2" type="noConversion"/>
  </si>
  <si>
    <t>for help sheet</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</si>
  <si>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</si>
  <si>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</si>
  <si>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</si>
  <si>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</si>
  <si>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</si>
  <si>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</si>
  <si>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</si>
  <si>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</si>
  <si>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</si>
  <si>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</si>
  <si>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</si>
  <si>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</si>
  <si>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</si>
  <si>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</si>
  <si>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</si>
  <si>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</si>
  <si>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</si>
  <si>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</si>
  <si>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</si>
  <si>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</si>
  <si>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</si>
  <si>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</si>
  <si>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</si>
  <si>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</si>
  <si>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</si>
  <si>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You can click the "Options" button on the ribbon to customize a Gantt chart style.</t>
    <phoneticPr fontId="2" type="noConversion"/>
  </si>
  <si>
    <t>You can use %work complete to keep track of the progress of the project.</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</si>
  <si>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</si>
  <si>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</si>
  <si>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</si>
  <si>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</si>
  <si>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</si>
  <si>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You can include the formulas and functions of the Excel in XLGantt.</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</si>
  <si>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</si>
  <si>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</si>
  <si>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</si>
  <si>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</si>
  <si>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https://xlworks.net/xlgantt-howto-13-server-data/</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</si>
  <si>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</si>
  <si>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</si>
  <si>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</si>
  <si>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</si>
  <si>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</si>
  <si>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</si>
  <si>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</si>
  <si>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</si>
  <si>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</si>
  <si>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</si>
  <si>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</si>
  <si>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</si>
  <si>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</si>
  <si>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</si>
  <si>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Workload Calculation</t>
    <phoneticPr fontId="2" type="noConversion"/>
  </si>
  <si>
    <t>by Weight</t>
    <phoneticPr fontId="2" type="noConversion"/>
  </si>
  <si>
    <t>Default</t>
    <phoneticPr fontId="2" type="noConversion"/>
  </si>
  <si>
    <t>Purple</t>
    <phoneticPr fontId="2" type="noConversion"/>
  </si>
  <si>
    <t>Green</t>
    <phoneticPr fontId="2" type="noConversion"/>
  </si>
  <si>
    <t>Custom</t>
    <phoneticPr fontId="2" type="noConversion"/>
  </si>
  <si>
    <t>resourceAssignRate</t>
  </si>
  <si>
    <t>(Resources unspecified)</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</si>
  <si>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</si>
  <si>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</si>
  <si>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</si>
  <si>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The resource field should be entered in the following format.</t>
    <phoneticPr fontId="2" type="noConversion"/>
  </si>
  <si>
    <t>Elsa,John[50%]</t>
    <phoneticPr fontId="2" type="noConversion"/>
  </si>
  <si>
    <t>Mark task as milestone</t>
    <phoneticPr fontId="2" type="noConversion"/>
  </si>
  <si>
    <t>Title above WBS</t>
    <phoneticPr fontId="2" type="noConversion"/>
  </si>
  <si>
    <t>projectWeekNumber</t>
  </si>
  <si>
    <t>Title above Gantt chart</t>
    <phoneticPr fontId="2" type="noConversion"/>
  </si>
  <si>
    <t>Black &amp; White</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</si>
  <si>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</si>
  <si>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</si>
  <si>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</si>
  <si>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</si>
  <si>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</si>
  <si>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Ahead of schedule</t>
    <phoneticPr fontId="2" type="noConversion"/>
  </si>
  <si>
    <t>On schedule</t>
    <phoneticPr fontId="2" type="noConversion"/>
  </si>
  <si>
    <t>Behind schedule</t>
    <phoneticPr fontId="2" type="noConversion"/>
  </si>
  <si>
    <t>Custom</t>
  </si>
  <si>
    <t>Gantt chart progress line</t>
    <phoneticPr fontId="2" type="noConversion"/>
  </si>
  <si>
    <t>Schedule variance</t>
    <phoneticPr fontId="2" type="noConversion"/>
  </si>
  <si>
    <t>Started earlier than planned</t>
    <phoneticPr fontId="2" type="noConversion"/>
  </si>
  <si>
    <t>Started later than planned</t>
    <phoneticPr fontId="2" type="noConversion"/>
  </si>
  <si>
    <t>Started as planned</t>
    <phoneticPr fontId="2" type="noConversion"/>
  </si>
  <si>
    <t>Star(*) marks-required fields</t>
    <phoneticPr fontId="2" type="noConversion"/>
  </si>
  <si>
    <t>12/1/2018</t>
    <phoneticPr fontId="2" type="noConversion"/>
  </si>
  <si>
    <t>&lt;&lt; Unmap</t>
    <phoneticPr fontId="2" type="noConversion"/>
  </si>
  <si>
    <t>&lt;&lt; Remove</t>
    <phoneticPr fontId="2" type="noConversion"/>
  </si>
  <si>
    <t>TODAY</t>
    <phoneticPr fontId="2" type="noConversion"/>
  </si>
  <si>
    <t>https://xlworks.net/xlgantt-easy-tip/</t>
    <phoneticPr fontId="2" type="noConversion"/>
  </si>
  <si>
    <t>https://xlworks.net/xlgantt-howto-02-task/</t>
    <phoneticPr fontId="2" type="noConversion"/>
  </si>
  <si>
    <t>https://xlworks.net/xlgantt-howto-03-gantt-chart/</t>
    <phoneticPr fontId="2" type="noConversion"/>
  </si>
  <si>
    <t>https://xlworks.net/xlgantt-howto-04-project-progress/</t>
    <phoneticPr fontId="2" type="noConversion"/>
  </si>
  <si>
    <t>Help</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</si>
  <si>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</si>
  <si>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</si>
  <si>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</si>
  <si>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</si>
  <si>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</si>
  <si>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</si>
  <si>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</si>
  <si>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Display date or day on the timescale</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</si>
  <si>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</si>
  <si>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</si>
  <si>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</si>
  <si>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</si>
  <si>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</si>
  <si>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Align WBS Column</t>
    <phoneticPr fontId="2" type="noConversion"/>
  </si>
  <si>
    <t>Date</t>
    <phoneticPr fontId="2" type="noConversion"/>
  </si>
  <si>
    <t>Day</t>
    <phoneticPr fontId="2" type="noConversion"/>
  </si>
  <si>
    <t>The same field name exists.</t>
    <phoneticPr fontId="2" type="noConversion"/>
  </si>
  <si>
    <t>Enter tasks, Update schedule</t>
    <phoneticPr fontId="2" type="noConversion"/>
  </si>
  <si>
    <t>Displayed in %Work complete column</t>
    <phoneticPr fontId="2" type="noConversion"/>
  </si>
  <si>
    <t>CM</t>
  </si>
  <si>
    <t>ITEM</t>
  </si>
  <si>
    <t>VALUE1</t>
  </si>
  <si>
    <t>VALUE2</t>
  </si>
  <si>
    <t>ITEM_GROUP</t>
    <phoneticPr fontId="2" type="noConversion"/>
  </si>
  <si>
    <t>DESCRIPTION</t>
    <phoneticPr fontId="4"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</si>
  <si>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</si>
  <si>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</si>
  <si>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</si>
  <si>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</si>
  <si>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</si>
  <si>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</si>
  <si>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</si>
  <si>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</si>
  <si>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</si>
  <si>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</si>
  <si>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</si>
  <si>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</si>
  <si>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</si>
  <si>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</si>
  <si>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</si>
  <si>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</si>
  <si>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</si>
  <si>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</si>
  <si>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</si>
  <si>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</si>
  <si>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</si>
  <si>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</si>
  <si>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</si>
  <si>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</si>
  <si>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</si>
  <si>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</si>
  <si>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</si>
  <si>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</si>
  <si>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</si>
  <si>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</si>
  <si>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</si>
  <si>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</si>
  <si>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</si>
  <si>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</si>
  <si>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</si>
  <si>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</si>
  <si>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</si>
  <si>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</si>
  <si>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</si>
  <si>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</si>
  <si>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</si>
  <si>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</si>
  <si>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</si>
  <si>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</si>
  <si>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2" type="noConversion"/>
  </si>
  <si>
    <t>C:\Program Files\Autodesk\AutoCAD 2019\acad.exe</t>
    <phoneticPr fontId="2" type="noConversion"/>
  </si>
  <si>
    <t>C:\Program Files\Notepad++\notepad++.exe</t>
    <phoneticPr fontId="2" type="noConversion"/>
  </si>
  <si>
    <t>C:\WINDOWS\system32\notepad.exe</t>
    <phoneticPr fontId="2" type="noConversion"/>
  </si>
  <si>
    <t>AutoCAD</t>
    <phoneticPr fontId="2" type="noConversion"/>
  </si>
  <si>
    <t>메모장</t>
    <phoneticPr fontId="2" type="noConversion"/>
  </si>
  <si>
    <t>Notepad++</t>
    <phoneticPr fontId="2" type="noConversion"/>
  </si>
  <si>
    <t>dwg</t>
    <phoneticPr fontId="2" type="noConversion"/>
  </si>
  <si>
    <t>txt</t>
    <phoneticPr fontId="2" type="noConversion"/>
  </si>
  <si>
    <t>html</t>
    <phoneticPr fontId="2" type="noConversion"/>
  </si>
  <si>
    <t>ppt*</t>
    <phoneticPr fontId="2" type="noConversion"/>
  </si>
  <si>
    <t>xls*</t>
    <phoneticPr fontId="2" type="noConversion"/>
  </si>
  <si>
    <t>doc*</t>
    <phoneticPr fontId="2"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</si>
  <si>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</si>
  <si>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</si>
  <si>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</si>
  <si>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</si>
  <si>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</si>
  <si>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</si>
  <si>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</si>
  <si>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</si>
  <si>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</si>
  <si>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</si>
  <si>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</si>
  <si>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</si>
  <si>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</si>
  <si>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</si>
  <si>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</si>
  <si>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</si>
  <si>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2" type="noConversion"/>
  </si>
  <si>
    <t>OL</t>
    <phoneticPr fontId="2" type="noConversion"/>
  </si>
  <si>
    <t>Select Formula Cells</t>
    <phoneticPr fontId="2" type="noConversion"/>
  </si>
  <si>
    <t>5.0.0</t>
    <phoneticPr fontId="2" type="noConversion"/>
  </si>
  <si>
    <t xml:space="preserve">XLGantt 5.0.0 ©XLWorks </t>
    <phoneticPr fontId="4" type="noConversion"/>
  </si>
  <si>
    <t>W1</t>
  </si>
  <si>
    <t>Average number of working days per month</t>
    <phoneticPr fontId="2" type="noConversion"/>
  </si>
  <si>
    <t>Free space in the print area</t>
    <phoneticPr fontId="2" type="noConversion"/>
  </si>
  <si>
    <t>Automatically adjust height of Schedule sheet rows 1-4</t>
    <phoneticPr fontId="2" type="noConversion"/>
  </si>
  <si>
    <t>Program error has occurred.</t>
    <phoneticPr fontId="2" type="noConversion"/>
  </si>
  <si>
    <t>Program error has occurred, this error can occur because of the following:\n\n1. An incorrect value was entered in the Schedule sheet (eg, a value beginning with an equal sign (=) was entered except in the date field).\n\n2. {1}</t>
    <phoneticPr fontId="2" type="noConversion"/>
  </si>
  <si>
    <t>Program error has occurred.\n\n{1}\nError code:{2}\n\nIf this program file is stored in a cloud storage such as Microsoft OneDrive, move it to a local drive on your PC and use it.</t>
    <phoneticPr fontId="2" type="noConversion"/>
  </si>
  <si>
    <t>Program error has occurred.\n\n{1}\nError code:{2}</t>
    <phoneticPr fontId="2" type="noConversion"/>
  </si>
  <si>
    <t>DO NOT UPDATE, DO NOT MOVE ROW 8 TO ANOTHER ROW</t>
    <phoneticPr fontId="4"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</si>
  <si>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</si>
  <si>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</si>
  <si>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</si>
  <si>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</si>
  <si>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</si>
  <si>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</si>
  <si>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</si>
  <si>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</si>
  <si>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</si>
  <si>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</si>
  <si>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</si>
  <si>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</si>
  <si>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</si>
  <si>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</si>
  <si>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</si>
  <si>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</si>
  <si>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</si>
  <si>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</si>
  <si>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</si>
  <si>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</si>
  <si>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</si>
  <si>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</si>
  <si>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</si>
  <si>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</si>
  <si>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</si>
  <si>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</si>
  <si>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</si>
  <si>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</si>
  <si>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</si>
  <si>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</si>
  <si>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</si>
  <si>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</si>
  <si>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</si>
  <si>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</si>
  <si>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</si>
  <si>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</si>
  <si>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</si>
  <si>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</si>
  <si>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</si>
  <si>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</si>
  <si>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2" type="noConversion"/>
  </si>
  <si>
    <t>OW</t>
    <phoneticPr fontId="2" type="noConversion"/>
  </si>
  <si>
    <t>OD</t>
    <phoneticPr fontId="2" type="noConversion"/>
  </si>
  <si>
    <t>OP</t>
    <phoneticPr fontId="2" type="noConversion"/>
  </si>
  <si>
    <t>https://xlworks.io/xlgantt-project-scheduler/</t>
  </si>
  <si>
    <t>https://xlworks.io/xlgantt-project-scheduler/</t>
    <phoneticPr fontId="4"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</si>
  <si>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</si>
  <si>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</si>
  <si>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</si>
  <si>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</si>
  <si>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</si>
  <si>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</si>
  <si>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</si>
  <si>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</si>
  <si>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</si>
  <si>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</si>
  <si>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</si>
  <si>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</si>
  <si>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</si>
  <si>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2" type="noConversion"/>
  </si>
  <si>
    <t>https://xlworks.net/</t>
    <phoneticPr fontId="2"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</si>
  <si>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</si>
  <si>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2"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</si>
  <si>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</si>
  <si>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</si>
  <si>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</si>
  <si>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</si>
  <si>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2"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</si>
  <si>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</si>
  <si>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2"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</si>
  <si>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2"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</si>
  <si>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</si>
  <si>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2"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</si>
  <si>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2"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</si>
  <si>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2"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</si>
  <si>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</si>
  <si>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</si>
  <si>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</si>
  <si>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</si>
  <si>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</si>
  <si>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</si>
  <si>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</si>
  <si>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</si>
  <si>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</si>
  <si>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</si>
  <si>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</si>
  <si>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</si>
  <si>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</si>
  <si>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2"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</si>
  <si>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</si>
  <si>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</si>
  <si>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</si>
  <si>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2"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</si>
  <si>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2"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</si>
  <si>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</si>
  <si>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</si>
  <si>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</si>
  <si>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</si>
  <si>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2"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</si>
  <si>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2"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</si>
  <si>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</si>
  <si>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</si>
  <si>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</si>
  <si>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</si>
  <si>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</si>
  <si>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</si>
  <si>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</si>
  <si>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</si>
  <si>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</si>
  <si>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2"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</si>
  <si>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</si>
  <si>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</si>
  <si>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2"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</si>
  <si>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</si>
  <si>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</si>
  <si>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</si>
  <si>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</si>
  <si>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</si>
  <si>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2" type="noConversion"/>
  </si>
  <si>
    <r>
      <rPr>
        <sz val="9"/>
        <color theme="1"/>
        <rFont val="맑은 고딕"/>
        <family val="3"/>
        <charset val="129"/>
      </rPr>
      <t>실제진척율</t>
    </r>
    <phoneticPr fontId="2"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</si>
  <si>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</si>
  <si>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</si>
  <si>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</si>
  <si>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</si>
  <si>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</si>
  <si>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</si>
  <si>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</si>
  <si>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</si>
  <si>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</si>
  <si>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</si>
  <si>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</si>
  <si>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4"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</si>
  <si>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</si>
  <si>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</si>
  <si>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실제작업량</t>
    </r>
    <r>
      <rPr>
        <sz val="9"/>
        <color theme="1"/>
        <rFont val="Calibri"/>
        <family val="2"/>
      </rPr>
      <t>(Man-Day)</t>
    </r>
    <phoneticPr fontId="2"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</si>
  <si>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</si>
  <si>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</si>
  <si>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</si>
  <si>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</si>
  <si>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</si>
  <si>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2"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</si>
  <si>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</si>
  <si>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2"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</si>
  <si>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</si>
  <si>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2"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</si>
  <si>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</si>
  <si>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</si>
  <si>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</si>
  <si>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</si>
  <si>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</si>
  <si>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</si>
  <si>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</si>
  <si>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</si>
  <si>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</si>
  <si>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2"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</si>
  <si>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</si>
  <si>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</si>
  <si>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</si>
  <si>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</si>
  <si>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</si>
  <si>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</si>
  <si>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2" type="noConversion"/>
  </si>
  <si>
    <r>
      <rPr>
        <sz val="9"/>
        <color theme="1"/>
        <rFont val="맑은 고딕"/>
        <family val="3"/>
        <charset val="129"/>
      </rPr>
      <t>자동</t>
    </r>
    <phoneticPr fontId="2"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</si>
  <si>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2"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</si>
  <si>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</si>
  <si>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</si>
  <si>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</si>
  <si>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</si>
  <si>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</si>
  <si>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2" type="noConversion"/>
  </si>
  <si>
    <r>
      <rPr>
        <sz val="9"/>
        <color theme="1"/>
        <rFont val="맑은 고딕"/>
        <family val="3"/>
        <charset val="129"/>
      </rPr>
      <t>흑백</t>
    </r>
    <phoneticPr fontId="2"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</si>
  <si>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</si>
  <si>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</si>
  <si>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2"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</si>
  <si>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2"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</si>
  <si>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2"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</si>
  <si>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</si>
  <si>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</si>
  <si>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</si>
  <si>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2"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</si>
  <si>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</si>
  <si>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</si>
  <si>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2"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</si>
  <si>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</si>
  <si>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</si>
  <si>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</si>
  <si>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</si>
  <si>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</si>
  <si>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</si>
  <si>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</si>
  <si>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</si>
  <si>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</si>
  <si>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2"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</si>
  <si>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</si>
  <si>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2"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</si>
  <si>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</si>
  <si>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</si>
  <si>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</si>
  <si>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</si>
  <si>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</si>
  <si>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2"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</si>
  <si>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</si>
  <si>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</si>
  <si>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</si>
  <si>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</si>
  <si>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2"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</si>
  <si>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</si>
  <si>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</si>
  <si>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</si>
  <si>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</si>
  <si>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</si>
  <si>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</si>
  <si>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</si>
  <si>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</si>
  <si>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</si>
  <si>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</si>
  <si>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</si>
  <si>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</si>
  <si>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</si>
  <si>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</si>
  <si>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2"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</si>
  <si>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2"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</si>
  <si>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</si>
  <si>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2"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</si>
  <si>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</si>
  <si>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</si>
  <si>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</si>
  <si>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</si>
  <si>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</si>
  <si>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실적기성</t>
    </r>
    <phoneticPr fontId="2"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</si>
  <si>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2"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</si>
  <si>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2"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</si>
  <si>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</si>
  <si>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실적기성</t>
    </r>
    <r>
      <rPr>
        <sz val="9"/>
        <color theme="1"/>
        <rFont val="Calibri"/>
        <family val="2"/>
      </rPr>
      <t>( C )\nMan-day</t>
    </r>
    <phoneticPr fontId="2" type="noConversion"/>
  </si>
  <si>
    <r>
      <rPr>
        <sz val="9"/>
        <color theme="1"/>
        <rFont val="맑은 고딕"/>
        <family val="3"/>
        <charset val="129"/>
      </rPr>
      <t>실적기성</t>
    </r>
    <r>
      <rPr>
        <sz val="9"/>
        <color theme="1"/>
        <rFont val="Calibri"/>
        <family val="2"/>
      </rPr>
      <t>(Man-Day)</t>
    </r>
    <phoneticPr fontId="2"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</si>
  <si>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</si>
  <si>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2"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</si>
  <si>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</si>
  <si>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</si>
  <si>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</si>
  <si>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</si>
  <si>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</si>
  <si>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2"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</si>
  <si>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</si>
  <si>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</si>
  <si>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</si>
  <si>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</si>
  <si>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</si>
  <si>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</si>
  <si>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</si>
  <si>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</si>
  <si>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</si>
  <si>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</si>
  <si>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</si>
  <si>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</si>
  <si>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</si>
  <si>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</si>
  <si>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</si>
  <si>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</si>
  <si>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</si>
  <si>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</si>
  <si>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</si>
  <si>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2"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</si>
  <si>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</si>
  <si>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2" type="noConversion"/>
  </si>
  <si>
    <r>
      <rPr>
        <sz val="9"/>
        <color theme="1"/>
        <rFont val="맑은 고딕"/>
        <family val="3"/>
        <charset val="129"/>
      </rPr>
      <t>일반</t>
    </r>
    <phoneticPr fontId="2"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</si>
  <si>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</si>
  <si>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</si>
  <si>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</si>
  <si>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2" type="noConversion"/>
  </si>
  <si>
    <r>
      <rPr>
        <sz val="9"/>
        <color theme="1"/>
        <rFont val="맑은 고딕"/>
        <family val="3"/>
        <charset val="129"/>
      </rPr>
      <t>도움말</t>
    </r>
    <phoneticPr fontId="2"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</si>
  <si>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2" type="noConversion"/>
  </si>
  <si>
    <r>
      <rPr>
        <sz val="9"/>
        <color theme="1"/>
        <rFont val="맑은 고딕"/>
        <family val="3"/>
        <charset val="129"/>
      </rPr>
      <t>사용법</t>
    </r>
    <phoneticPr fontId="2"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</si>
  <si>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</si>
  <si>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</si>
  <si>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</si>
  <si>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</si>
  <si>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</si>
  <si>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2"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</si>
  <si>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</si>
  <si>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</si>
  <si>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</si>
  <si>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</si>
  <si>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</si>
  <si>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</si>
  <si>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2"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</si>
  <si>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2"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</si>
  <si>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</si>
  <si>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</si>
  <si>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</si>
  <si>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</si>
  <si>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</si>
  <si>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</si>
  <si>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</si>
  <si>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</si>
  <si>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</si>
  <si>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</si>
  <si>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</si>
  <si>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</si>
  <si>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</si>
  <si>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2"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</si>
  <si>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2"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</si>
  <si>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</si>
  <si>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</si>
  <si>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</si>
  <si>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</si>
  <si>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</si>
  <si>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2"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</si>
  <si>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</si>
  <si>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</si>
  <si>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2"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</si>
  <si>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</si>
  <si>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</si>
  <si>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2"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</si>
  <si>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2"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</si>
  <si>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</si>
  <si>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</si>
  <si>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</si>
  <si>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</si>
  <si>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</si>
  <si>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</si>
  <si>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</si>
  <si>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</si>
  <si>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2"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</si>
  <si>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</si>
  <si>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2"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</si>
  <si>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2"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</si>
  <si>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</si>
  <si>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</si>
  <si>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</si>
  <si>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</si>
  <si>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</si>
  <si>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2"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</si>
  <si>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</si>
  <si>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2"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</si>
  <si>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</si>
  <si>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2"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</si>
  <si>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2"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</si>
  <si>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</si>
  <si>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</si>
  <si>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</si>
  <si>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</si>
  <si>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</si>
  <si>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</si>
  <si>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</si>
  <si>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2" type="noConversion"/>
  </si>
  <si>
    <r>
      <rPr>
        <sz val="9"/>
        <color theme="1"/>
        <rFont val="맑은 고딕"/>
        <family val="3"/>
        <charset val="129"/>
      </rPr>
      <t>계획진척율</t>
    </r>
    <phoneticPr fontId="2"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</si>
  <si>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2"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</si>
  <si>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</si>
  <si>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</si>
  <si>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</si>
  <si>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</si>
  <si>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</si>
  <si>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</si>
  <si>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</si>
  <si>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</si>
  <si>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</si>
  <si>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2"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</si>
  <si>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</si>
  <si>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2" type="noConversion"/>
  </si>
  <si>
    <r>
      <rPr>
        <sz val="9"/>
        <color theme="1"/>
        <rFont val="맑은 고딕"/>
        <family val="3"/>
        <charset val="129"/>
      </rPr>
      <t>계획작업량</t>
    </r>
    <r>
      <rPr>
        <sz val="9"/>
        <color theme="1"/>
        <rFont val="Calibri"/>
        <family val="2"/>
      </rPr>
      <t>(Man-Day)</t>
    </r>
    <phoneticPr fontId="2"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</si>
  <si>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</si>
  <si>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4"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</si>
  <si>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4"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</si>
  <si>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</si>
  <si>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</si>
  <si>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</si>
  <si>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</si>
  <si>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</si>
  <si>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</si>
  <si>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</si>
  <si>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</si>
  <si>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</si>
  <si>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</si>
  <si>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</si>
  <si>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</si>
  <si>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</si>
  <si>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2"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</si>
  <si>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</si>
  <si>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2"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</si>
  <si>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</si>
  <si>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</si>
  <si>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</si>
  <si>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</si>
  <si>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</si>
  <si>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2"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</si>
  <si>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2"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</si>
  <si>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2" type="noConversion"/>
  </si>
  <si>
    <r>
      <rPr>
        <sz val="9"/>
        <color theme="1"/>
        <rFont val="맑은 고딕"/>
        <family val="3"/>
        <charset val="129"/>
      </rPr>
      <t>퍼플</t>
    </r>
    <phoneticPr fontId="2"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</si>
  <si>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2"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</si>
  <si>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2"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</si>
  <si>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</si>
  <si>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</si>
  <si>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2"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</si>
  <si>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</si>
  <si>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</si>
  <si>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</si>
  <si>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2"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</si>
  <si>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</si>
  <si>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</si>
  <si>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</si>
  <si>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</si>
  <si>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2"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</si>
  <si>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</si>
  <si>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</si>
  <si>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</si>
  <si>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</si>
  <si>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</si>
  <si>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</si>
  <si>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</si>
  <si>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</si>
  <si>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</si>
  <si>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2"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</si>
  <si>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</si>
  <si>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</si>
  <si>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</si>
  <si>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</si>
  <si>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</si>
  <si>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</si>
  <si>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2"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</si>
  <si>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</si>
  <si>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</si>
  <si>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</si>
  <si>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</si>
  <si>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</si>
  <si>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</si>
  <si>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</si>
  <si>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2"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</si>
  <si>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</si>
  <si>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2"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</si>
  <si>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</si>
  <si>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2"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</si>
  <si>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</si>
  <si>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2"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</si>
  <si>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</si>
  <si>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</si>
  <si>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</si>
  <si>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</si>
  <si>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</si>
  <si>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</si>
  <si>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</si>
  <si>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</si>
  <si>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</si>
  <si>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</si>
  <si>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</si>
  <si>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</si>
  <si>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</si>
  <si>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</si>
  <si>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</si>
  <si>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</si>
  <si>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</si>
  <si>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</si>
  <si>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</si>
  <si>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</si>
  <si>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</si>
  <si>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</si>
  <si>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</si>
  <si>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</si>
  <si>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</si>
  <si>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</si>
  <si>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</si>
  <si>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</si>
  <si>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</si>
  <si>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</si>
  <si>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</si>
  <si>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</si>
  <si>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</si>
  <si>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</si>
  <si>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</si>
  <si>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</si>
  <si>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</si>
  <si>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</si>
  <si>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</si>
  <si>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</si>
  <si>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</si>
  <si>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</si>
  <si>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</si>
  <si>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</si>
  <si>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</si>
  <si>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</si>
  <si>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</si>
  <si>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</si>
  <si>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4"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</si>
  <si>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</si>
  <si>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</si>
  <si>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</si>
  <si>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</si>
  <si>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2"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</si>
  <si>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</si>
  <si>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</si>
  <si>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</si>
  <si>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</si>
  <si>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2"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</si>
  <si>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</si>
  <si>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</si>
  <si>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</si>
  <si>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</si>
  <si>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</si>
  <si>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</si>
  <si>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2"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</si>
  <si>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2"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</si>
  <si>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</si>
  <si>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</si>
  <si>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</si>
  <si>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</si>
  <si>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</si>
  <si>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</si>
  <si>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</si>
  <si>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</si>
  <si>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</si>
  <si>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</si>
  <si>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</si>
  <si>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</si>
  <si>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</si>
  <si>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</si>
  <si>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</si>
  <si>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2"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</si>
  <si>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2"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</si>
  <si>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</si>
  <si>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</si>
  <si>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</si>
  <si>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</si>
  <si>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</si>
  <si>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</si>
  <si>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</si>
  <si>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</si>
  <si>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</si>
  <si>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</si>
  <si>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4"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</si>
  <si>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4"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</si>
  <si>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</si>
  <si>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</si>
  <si>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</si>
  <si>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</si>
  <si>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</si>
  <si>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</si>
  <si>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2"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</si>
  <si>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</si>
  <si>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</si>
  <si>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</si>
  <si>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</si>
  <si>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</si>
  <si>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</si>
  <si>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</si>
  <si>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2"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</si>
  <si>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2"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</si>
  <si>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</si>
  <si>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2"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</si>
  <si>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</si>
  <si>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</si>
  <si>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</si>
  <si>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</si>
  <si>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</si>
  <si>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2"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</si>
  <si>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2"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</si>
  <si>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2"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</si>
  <si>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</si>
  <si>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</si>
  <si>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2"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</si>
  <si>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</si>
  <si>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</si>
  <si>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</si>
  <si>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</si>
  <si>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4"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</si>
  <si>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2" type="noConversion"/>
  </si>
  <si>
    <r>
      <t xml:space="preserve">XLGantt Version {} </t>
    </r>
    <r>
      <rPr>
        <sz val="9"/>
        <color theme="1"/>
        <rFont val="맑은 고딕"/>
        <family val="3"/>
        <charset val="129"/>
      </rPr>
      <t>사용조건</t>
    </r>
    <phoneticPr fontId="2"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</si>
  <si>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</si>
  <si>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</si>
  <si>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</si>
  <si>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</si>
  <si>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</si>
  <si>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</si>
  <si>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</si>
  <si>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</si>
  <si>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</si>
  <si>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</si>
  <si>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</si>
  <si>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</si>
  <si>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</si>
  <si>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</si>
  <si>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</si>
  <si>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</si>
  <si>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</si>
  <si>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</si>
  <si>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</si>
  <si>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</si>
  <si>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</si>
  <si>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</si>
  <si>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</si>
  <si>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</si>
  <si>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</si>
  <si>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</si>
  <si>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2" type="noConversion"/>
  </si>
  <si>
    <r>
      <rPr>
        <sz val="9"/>
        <color theme="1"/>
        <rFont val="맑은 고딕"/>
        <family val="3"/>
        <charset val="129"/>
      </rPr>
      <t>요일</t>
    </r>
    <phoneticPr fontId="2"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</si>
  <si>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2"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</si>
  <si>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2" type="noConversion"/>
  </si>
  <si>
    <r>
      <rPr>
        <sz val="9"/>
        <color theme="1"/>
        <rFont val="맑은 고딕"/>
        <family val="3"/>
        <charset val="129"/>
      </rPr>
      <t>왼쪽</t>
    </r>
    <phoneticPr fontId="2" type="noConversion"/>
  </si>
  <si>
    <r>
      <rPr>
        <sz val="9"/>
        <color theme="1"/>
        <rFont val="맑은 고딕"/>
        <family val="3"/>
        <charset val="129"/>
      </rPr>
      <t>가운데</t>
    </r>
    <phoneticPr fontId="2" type="noConversion"/>
  </si>
  <si>
    <r>
      <rPr>
        <sz val="9"/>
        <color theme="1"/>
        <rFont val="맑은 고딕"/>
        <family val="3"/>
        <charset val="129"/>
      </rPr>
      <t>오른쪽</t>
    </r>
    <phoneticPr fontId="2"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</si>
  <si>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2"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</si>
  <si>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2"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</si>
  <si>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2"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</si>
  <si>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2"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</si>
  <si>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</si>
  <si>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2"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</si>
  <si>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</si>
  <si>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2" type="noConversion"/>
  </si>
  <si>
    <t>You can select the workload calculation method.</t>
    <phoneticPr fontId="2" type="noConversion"/>
  </si>
  <si>
    <t>You can set the appearance and color of the XLGantt.</t>
    <phoneticPr fontId="2" type="noConversion"/>
  </si>
  <si>
    <t>작업량 계산 방식을 선택할 수 있다.</t>
    <phoneticPr fontId="2" type="noConversion"/>
  </si>
  <si>
    <t>엑셀간트의 모양과 색상을 지정할 수 있다.</t>
    <phoneticPr fontId="2"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</si>
  <si>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2" type="noConversion"/>
  </si>
  <si>
    <t>https://xlworks.io/xlgantt-howto-14-workloads/</t>
    <phoneticPr fontId="2" type="noConversion"/>
  </si>
  <si>
    <t>https://xlworks.io/xlgantt-howto-15-color-theme/</t>
    <phoneticPr fontId="2" type="noConversion"/>
  </si>
  <si>
    <t>https://xlworks.net/xlgantt-howto-14-workloads/</t>
    <phoneticPr fontId="2" type="noConversion"/>
  </si>
  <si>
    <t>https://xlworks.net/xlgantt-howto-15-color-theme/</t>
    <phoneticPr fontId="2" type="noConversion"/>
  </si>
  <si>
    <t>OG</t>
  </si>
  <si>
    <t>XLGanttFileCalcMode</t>
  </si>
  <si>
    <t>Total</t>
  </si>
  <si>
    <t>pdf</t>
    <phoneticPr fontId="2" type="noConversion"/>
  </si>
  <si>
    <t>C:\Program Files\Adobe\Acrobat DC\Acrobat\acrobat.exe</t>
    <phoneticPr fontId="2" type="noConversion"/>
  </si>
  <si>
    <t>Setting Task Dependencies</t>
    <phoneticPr fontId="2" type="noConversion"/>
  </si>
  <si>
    <t>작업 의존관계 설정</t>
    <phoneticPr fontId="2" type="noConversion"/>
  </si>
  <si>
    <t>You can set the Task Dependencies(FS,SS,FF,SF).</t>
    <phoneticPr fontId="2" type="noConversion"/>
  </si>
  <si>
    <t>https://xlworks.io/xlgantt-howto-16-task-dependencies/</t>
    <phoneticPr fontId="2" type="noConversion"/>
  </si>
  <si>
    <t>https://xlworks.net/xlgantt-howto-16-task-dependencies/</t>
    <phoneticPr fontId="2" type="noConversion"/>
  </si>
  <si>
    <t>작업 의존관계(FS,SS,FF,SF)를 설정할 수 있다.</t>
    <phoneticPr fontId="2" type="noConversion"/>
  </si>
  <si>
    <t>2022년 설연휴</t>
    <phoneticPr fontId="2" type="noConversion"/>
  </si>
  <si>
    <t>2022년 설날</t>
    <phoneticPr fontId="2" type="noConversion"/>
  </si>
  <si>
    <t>2022년 삼일절</t>
    <phoneticPr fontId="2" type="noConversion"/>
  </si>
  <si>
    <t>2022년 20대 대통령 선거</t>
    <phoneticPr fontId="2" type="noConversion"/>
  </si>
  <si>
    <t>2022년 어린이날</t>
    <phoneticPr fontId="2" type="noConversion"/>
  </si>
  <si>
    <t>2022년 지방선거</t>
    <phoneticPr fontId="2" type="noConversion"/>
  </si>
  <si>
    <t>2022년 현충일</t>
    <phoneticPr fontId="2" type="noConversion"/>
  </si>
  <si>
    <t>2022년 광복절</t>
    <phoneticPr fontId="2" type="noConversion"/>
  </si>
  <si>
    <t>2022년 추석연휴</t>
    <phoneticPr fontId="2" type="noConversion"/>
  </si>
  <si>
    <t>2022년 추석 대체공휴일</t>
    <phoneticPr fontId="2" type="noConversion"/>
  </si>
  <si>
    <t>2022년 개천철</t>
    <phoneticPr fontId="2" type="noConversion"/>
  </si>
  <si>
    <t>2022년 한글날 대체공휴일</t>
    <phoneticPr fontId="2" type="noConversion"/>
  </si>
  <si>
    <t>파워포인트</t>
    <phoneticPr fontId="2" type="noConversion"/>
  </si>
  <si>
    <t>자동지정</t>
    <phoneticPr fontId="2" type="noConversion"/>
  </si>
  <si>
    <t>워드</t>
    <phoneticPr fontId="2" type="noConversion"/>
  </si>
  <si>
    <t>엑셀</t>
    <phoneticPr fontId="2" type="noConversion"/>
  </si>
  <si>
    <t>엑셀간트(XLGantt) - 엑셀 일정관리</t>
    <phoneticPr fontId="16"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</si>
  <si>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</si>
  <si>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6" type="noConversion"/>
  </si>
  <si>
    <t>시트 구성</t>
    <phoneticPr fontId="16" type="noConversion"/>
  </si>
  <si>
    <t>작업과 일정을 입력하면 진척율이 계산되며 작업의 일정을 간트차트로 표시해 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</si>
  <si>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</si>
  <si>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</si>
  <si>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</si>
  <si>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Workload data를 주별/월별로 만들어 준다. 피벗 등의 기능으로 사용자가 원하는대로 분석을 할 수 있다.</t>
    <phoneticPr fontId="2" type="noConversion"/>
  </si>
  <si>
    <t>(숨겨진 시트) 언어별 번역이 들어 있다.</t>
    <phoneticPr fontId="2" type="noConversion"/>
  </si>
  <si>
    <t>사용법</t>
    <phoneticPr fontId="16"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</si>
  <si>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</si>
  <si>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</si>
  <si>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</si>
  <si>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</si>
  <si>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</si>
  <si>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</si>
  <si>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</si>
  <si>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</si>
  <si>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</si>
  <si>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</si>
  <si>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작업량 계산</t>
    <phoneticPr fontId="2" type="noConversion"/>
  </si>
  <si>
    <t>WBS영역, 컬러테마 설정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</si>
  <si>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</si>
  <si>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</si>
  <si>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</si>
  <si>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</si>
  <si>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</si>
  <si>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</si>
  <si>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</si>
  <si>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</si>
  <si>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</si>
  <si>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</si>
  <si>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한주의 시작요일 지정, 휴무일 설정, 주차표시 기능을 제공한다.
리본메뉴 &gt; XLGantt – Project Scheduler &gt; 옵션 &gt; “Calendar” 탭에서 설정할 수 있다.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</si>
  <si>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</si>
  <si>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도움말</t>
    <phoneticPr fontId="2" type="noConversion"/>
  </si>
  <si>
    <t>XLGantt Version 5.0.0 사용조건</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</si>
  <si>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</si>
  <si>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</si>
  <si>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</si>
  <si>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</si>
  <si>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</si>
  <si>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</si>
  <si>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</si>
  <si>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</si>
  <si>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</si>
  <si>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</si>
  <si>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</si>
  <si>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</si>
  <si>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</si>
  <si>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</si>
  <si>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</si>
  <si>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시작일</t>
  </si>
  <si>
    <t>완료일</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</si>
  <si>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</si>
  <si>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</si>
  <si>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</si>
  <si>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</si>
  <si>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</si>
  <si>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</si>
  <si>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</si>
  <si>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</si>
  <si>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</si>
  <si>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분석</t>
  </si>
  <si>
    <t>1.1.1</t>
  </si>
  <si>
    <t>1.1.2</t>
  </si>
  <si>
    <t>이지은</t>
  </si>
  <si>
    <t>설계</t>
  </si>
  <si>
    <t>1.2.1</t>
  </si>
  <si>
    <t>1.2.2</t>
  </si>
  <si>
    <t>1.3.1</t>
  </si>
  <si>
    <t>1.3.2</t>
  </si>
  <si>
    <t>홍길동</t>
  </si>
  <si>
    <t>W13</t>
  </si>
  <si>
    <t>1.2</t>
  </si>
  <si>
    <t>1.3</t>
  </si>
  <si>
    <t>프로젝트 관리</t>
  </si>
  <si>
    <t>프로젝트 착수 및 계획수립</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</si>
  <si>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</si>
  <si>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</si>
  <si>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</si>
  <si>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</si>
  <si>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</si>
  <si>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</si>
  <si>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</si>
  <si>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</si>
  <si>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</si>
  <si>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</si>
  <si>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</si>
  <si>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</si>
  <si>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</si>
  <si>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</si>
  <si>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</si>
  <si>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</si>
  <si>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</si>
  <si>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</si>
  <si>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</si>
  <si>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</si>
  <si>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</si>
  <si>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</si>
  <si>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</si>
  <si>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</si>
  <si>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</si>
  <si>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</si>
  <si>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</si>
  <si>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</si>
  <si>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</si>
  <si>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</si>
  <si>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</si>
  <si>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</si>
  <si>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</si>
  <si>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</si>
  <si>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</si>
  <si>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</si>
  <si>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</si>
  <si>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</si>
  <si>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</si>
  <si>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</si>
  <si>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</si>
  <si>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</si>
  <si>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</si>
  <si>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</si>
  <si>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</si>
  <si>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</si>
  <si>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</si>
  <si>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</si>
  <si>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</si>
  <si>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</si>
  <si>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</si>
  <si>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</si>
  <si>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</si>
  <si>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</si>
  <si>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</si>
  <si>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</si>
  <si>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</si>
  <si>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</si>
  <si>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</si>
  <si>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</si>
  <si>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</si>
  <si>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</si>
  <si>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</si>
  <si>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</si>
  <si>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</si>
  <si>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</si>
  <si>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</si>
  <si>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</si>
  <si>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</si>
  <si>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</si>
  <si>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</si>
  <si>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</si>
  <si>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</si>
  <si>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</si>
  <si>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</si>
  <si>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</si>
  <si>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</si>
  <si>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W17</t>
  </si>
  <si>
    <t>W21</t>
  </si>
  <si>
    <t>1;6</t>
  </si>
  <si>
    <t>DEFINED</t>
    <phoneticPr fontId="2" type="noConversion"/>
  </si>
  <si>
    <t>PDF</t>
    <phoneticPr fontId="2"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</si>
  <si>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</si>
  <si>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</si>
  <si>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</si>
  <si>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</si>
  <si>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</si>
  <si>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</si>
  <si>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</si>
  <si>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</si>
  <si>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</si>
  <si>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</si>
  <si>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</si>
  <si>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</si>
  <si>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</si>
  <si>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</si>
  <si>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t>신성통상 차세대 POS 및 키오스크 구축 프로젝트</t>
    <phoneticPr fontId="2" type="noConversion"/>
  </si>
  <si>
    <t>02/16
W8</t>
  </si>
  <si>
    <t>03/16
W12</t>
  </si>
  <si>
    <t>04/13
W16</t>
  </si>
  <si>
    <t>05/11
W20</t>
  </si>
  <si>
    <t>06/08
W24</t>
  </si>
  <si>
    <t>07/06
W28</t>
  </si>
  <si>
    <t>08/03
W32</t>
  </si>
  <si>
    <t>W25</t>
  </si>
  <si>
    <t>08/31
W36</t>
  </si>
  <si>
    <t>W29</t>
  </si>
  <si>
    <t>09/28
W40</t>
  </si>
  <si>
    <t>W33</t>
  </si>
  <si>
    <t>10/26
W44</t>
  </si>
  <si>
    <t>W37</t>
  </si>
  <si>
    <t>11/23
W48</t>
  </si>
  <si>
    <t>W41</t>
  </si>
  <si>
    <t>12/21
W52</t>
  </si>
  <si>
    <t>W45</t>
  </si>
  <si>
    <t>2026
W4</t>
  </si>
  <si>
    <t>W49</t>
  </si>
  <si>
    <t>02/15
W8</t>
  </si>
  <si>
    <t>W53</t>
  </si>
  <si>
    <t xml:space="preserve">문서번호 : </t>
    <phoneticPr fontId="4" type="noConversion"/>
  </si>
  <si>
    <t>Version</t>
    <phoneticPr fontId="4" type="noConversion"/>
  </si>
  <si>
    <t>개정일자</t>
    <phoneticPr fontId="4" type="noConversion"/>
  </si>
  <si>
    <t>작성자</t>
    <phoneticPr fontId="4" type="noConversion"/>
  </si>
  <si>
    <t>오승헌</t>
  </si>
  <si>
    <t>개정 이력</t>
  </si>
  <si>
    <t>버전</t>
  </si>
  <si>
    <t>개정일자</t>
  </si>
  <si>
    <t>[1]개정사유</t>
  </si>
  <si>
    <t>[2]개정내역</t>
  </si>
  <si>
    <t>작성자</t>
  </si>
  <si>
    <t>승인자</t>
  </si>
  <si>
    <t>개정</t>
    <phoneticPr fontId="4" type="noConversion"/>
  </si>
  <si>
    <t>구축일정 작성</t>
    <phoneticPr fontId="4" type="noConversion"/>
  </si>
  <si>
    <t>오승헌</t>
    <phoneticPr fontId="2" type="noConversion"/>
  </si>
  <si>
    <t>[1] 개정 사유: 제정 또는 개정 내용이 이전 문서에 대해 추가/수정/삭제인지 선택 기입</t>
  </si>
  <si>
    <t>[2] 개정 내역: 개정이 발생하는 페이지 번호와 변경 내용을 기술</t>
  </si>
  <si>
    <t>신성통상 차세대 POS 및 키오스크 구축 프로젝트</t>
    <phoneticPr fontId="4" type="noConversion"/>
  </si>
  <si>
    <t>V1.0</t>
    <phoneticPr fontId="4" type="noConversion"/>
  </si>
  <si>
    <t>프로젝트관리 표준수립</t>
  </si>
  <si>
    <t>프로젝트 문서표준 협의/확정</t>
  </si>
  <si>
    <t>프로젝트 산출물 협의/확정</t>
  </si>
  <si>
    <t>프로젝트 범위 정의</t>
  </si>
  <si>
    <t>일정관리 협의/확정</t>
  </si>
  <si>
    <t>보고 및 커뮤니케이션 체계 협의/확정</t>
  </si>
  <si>
    <t>품질관리 협의/확정</t>
  </si>
  <si>
    <t>위험관리 협의/확정</t>
  </si>
  <si>
    <t>정기보고</t>
  </si>
  <si>
    <t>완료보고</t>
  </si>
  <si>
    <t>주간보고</t>
  </si>
  <si>
    <t>1주차 주간보고</t>
  </si>
  <si>
    <t>2주차 주간보고</t>
  </si>
  <si>
    <t>3주차 주간보고</t>
  </si>
  <si>
    <t>4주차 주간보고</t>
  </si>
  <si>
    <t>5주차 주간보고</t>
  </si>
  <si>
    <t>6주차 주간보고</t>
  </si>
  <si>
    <t>7주차 주간보고</t>
  </si>
  <si>
    <t>8주차 주간보고</t>
  </si>
  <si>
    <t>9주차 주간보고</t>
  </si>
  <si>
    <t>10주차 주간보고</t>
  </si>
  <si>
    <t>11주차 주간보고</t>
  </si>
  <si>
    <t>12주차 주간보고</t>
  </si>
  <si>
    <t>13주차 주간보고</t>
  </si>
  <si>
    <t>14주차 주간보고</t>
  </si>
  <si>
    <t>15주차 주간보고</t>
  </si>
  <si>
    <t>16주차 주간보고</t>
  </si>
  <si>
    <t>17주차 주간보고</t>
  </si>
  <si>
    <t>18주차 주간보고</t>
  </si>
  <si>
    <t>19주차 주간보고</t>
  </si>
  <si>
    <t>20주차 주간보고</t>
  </si>
  <si>
    <t>21주차 주간보고</t>
  </si>
  <si>
    <t>22주차 주간보고</t>
  </si>
  <si>
    <t>23주차 주간보고</t>
  </si>
  <si>
    <t>24주차 주간보고</t>
  </si>
  <si>
    <t>25주차 주간보고</t>
  </si>
  <si>
    <t>26주차 주간보고</t>
  </si>
  <si>
    <t>27주차 주간보고</t>
  </si>
  <si>
    <t>28주차 주간보고</t>
  </si>
  <si>
    <t>29주차 주간보고</t>
  </si>
  <si>
    <t>30주차 주간보고</t>
  </si>
  <si>
    <t>31주차 주간보고</t>
  </si>
  <si>
    <t>32주차 주간보고</t>
  </si>
  <si>
    <t>33주차 주간보고</t>
  </si>
  <si>
    <t>34주차 주간보고</t>
  </si>
  <si>
    <t>35주차 주간보고</t>
  </si>
  <si>
    <t>36주차 주간보고</t>
  </si>
  <si>
    <t>37주차 주간보고</t>
  </si>
  <si>
    <t>38주차 주간보고</t>
  </si>
  <si>
    <t>워크샵</t>
  </si>
  <si>
    <t>분석/설계 단계</t>
  </si>
  <si>
    <t>품질 점검</t>
  </si>
  <si>
    <t>착수 가이드</t>
  </si>
  <si>
    <t>착수가이드 설명</t>
  </si>
  <si>
    <t>중간 점검</t>
  </si>
  <si>
    <t>중간점검 계획수립</t>
  </si>
  <si>
    <t>중간점검 수행</t>
  </si>
  <si>
    <t>점검결과 개선</t>
  </si>
  <si>
    <t>오픈 사전 점검</t>
  </si>
  <si>
    <t>오픈 사전 점검 계획수립</t>
  </si>
  <si>
    <t>오픈 사전 테스트 수행</t>
  </si>
  <si>
    <t>오픈 사전 점검 수행</t>
  </si>
  <si>
    <t>시스템 점검</t>
  </si>
  <si>
    <t>소스코드 점검</t>
  </si>
  <si>
    <t>소스점검 수행</t>
  </si>
  <si>
    <t>구성 점검</t>
  </si>
  <si>
    <t>구성진단 계획수립</t>
  </si>
  <si>
    <t>구성진단 수행</t>
  </si>
  <si>
    <t>진단결과 개선</t>
  </si>
  <si>
    <t>보안 점검</t>
  </si>
  <si>
    <t>보안점검 계획수립</t>
  </si>
  <si>
    <t>보안점검 수행</t>
  </si>
  <si>
    <t>성능 점검(인프라)</t>
  </si>
  <si>
    <t>성능테스트 계획수립</t>
  </si>
  <si>
    <t>성능테스트 수행</t>
  </si>
  <si>
    <t>수행결과 조치</t>
  </si>
  <si>
    <t>프로젝트 구축 종료</t>
  </si>
  <si>
    <t>검수</t>
  </si>
  <si>
    <t>검수 요청</t>
  </si>
  <si>
    <t>검수 완료</t>
  </si>
  <si>
    <t xml:space="preserve">전환 Base Line 설정 </t>
  </si>
  <si>
    <t xml:space="preserve">sonarQube, Secure Code 예외처리를 위한 base line  설정 </t>
  </si>
  <si>
    <t>데이터 전환</t>
  </si>
  <si>
    <t xml:space="preserve">전환 계획 수립 </t>
  </si>
  <si>
    <t xml:space="preserve">전환 분석 </t>
  </si>
  <si>
    <t>개발 전환</t>
  </si>
  <si>
    <t>통합테스트</t>
  </si>
  <si>
    <t>1차 통합테스트</t>
  </si>
  <si>
    <t>통합테스트 계획수립 및 환경구성</t>
  </si>
  <si>
    <t>통합테스트 수행</t>
  </si>
  <si>
    <t>테스트결과 조치</t>
  </si>
  <si>
    <t>2차 통합테스트</t>
  </si>
  <si>
    <t>성능테스트(운영)</t>
  </si>
  <si>
    <t xml:space="preserve">성능테스트 계획수립 및 준비 </t>
  </si>
  <si>
    <t>오픈 및 안정화</t>
  </si>
  <si>
    <t>오픈계획 수립 및 환경 구성</t>
  </si>
  <si>
    <t>오픈 실시</t>
  </si>
  <si>
    <t>오픈 안정화</t>
  </si>
  <si>
    <t>오픈 안정화계획 수립</t>
  </si>
  <si>
    <t>안정화 수행</t>
  </si>
  <si>
    <t>인수인계</t>
  </si>
  <si>
    <t xml:space="preserve">인수인계 산출물 작성 </t>
  </si>
  <si>
    <t>인수인계 계획수립</t>
  </si>
  <si>
    <t>인수인계 수행</t>
  </si>
  <si>
    <t>POS 구축</t>
  </si>
  <si>
    <t>시스템 구축</t>
  </si>
  <si>
    <t>키오스크 구축</t>
  </si>
  <si>
    <t>API 구축</t>
  </si>
  <si>
    <t>기획</t>
  </si>
  <si>
    <t>디자인</t>
  </si>
  <si>
    <t>퍼블리싱</t>
  </si>
  <si>
    <t>개발</t>
  </si>
  <si>
    <t>단위테스트</t>
  </si>
  <si>
    <t>설계 (1차)</t>
  </si>
  <si>
    <t>개발 (1차)</t>
  </si>
  <si>
    <t>단위테스트 (1차)</t>
  </si>
  <si>
    <t>설계 (2차)</t>
  </si>
  <si>
    <t>개발 (2차)</t>
  </si>
  <si>
    <t>단위테스트 (2차)</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</si>
  <si>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</si>
  <si>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{"TASK_FIRST_COL":"5","START_ROW":"5","WBS_AREA_LAST_COL":"31"}</t>
    <phoneticPr fontId="2" type="noConversion"/>
  </si>
  <si>
    <t>SCHEDULE_SHEET_POSITION:3545151617181920212223242526272829303132</t>
    <phoneticPr fontId="2" type="noConversion"/>
  </si>
  <si>
    <t>POS관리시스템 구축</t>
  </si>
  <si>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</si>
  <si>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</si>
  <si>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</si>
  <si>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</si>
  <si>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</si>
  <si>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</si>
  <si>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</si>
  <si>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</si>
  <si>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</si>
  <si>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</si>
  <si>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</si>
  <si>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</si>
  <si>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</si>
  <si>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</si>
  <si>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</si>
  <si>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</si>
  <si>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</si>
  <si>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3차 통합테스트</t>
  </si>
  <si>
    <t>4차 통합테스트</t>
  </si>
  <si>
    <t>1차 오픈</t>
  </si>
  <si>
    <t>2차 오픈</t>
  </si>
  <si>
    <t>3차 오픈</t>
  </si>
  <si>
    <t>운영 전환</t>
  </si>
  <si>
    <t>reserved</t>
    <phoneticPr fontId="4" type="noConversion"/>
  </si>
  <si>
    <t>task_group</t>
    <phoneticPr fontId="4" type="noConversion"/>
  </si>
  <si>
    <t>wbs_level</t>
    <phoneticPr fontId="4" type="noConversion"/>
  </si>
  <si>
    <t>작업*</t>
    <phoneticPr fontId="4" type="noConversion"/>
  </si>
  <si>
    <t>비고</t>
    <phoneticPr fontId="4" type="noConversion"/>
  </si>
  <si>
    <t>실적기성</t>
    <phoneticPr fontId="4" type="noConversion"/>
  </si>
  <si>
    <t>실적기성(총기간 x 총실적진행율)</t>
    <phoneticPr fontId="4" type="noConversion"/>
  </si>
  <si>
    <t>i</t>
  </si>
  <si>
    <t>39주차 주간보고</t>
  </si>
  <si>
    <t>40주차 주간보고</t>
  </si>
  <si>
    <t>41주차 주간보고</t>
  </si>
  <si>
    <t>42주차 주간보고</t>
  </si>
  <si>
    <t>43주차 주간보고</t>
  </si>
  <si>
    <t>44주차 주간보고</t>
  </si>
  <si>
    <t>45주차 주간보고</t>
  </si>
  <si>
    <t>46주차 주간보고</t>
  </si>
  <si>
    <t>47주차 주간보고</t>
  </si>
  <si>
    <t>48주차 주간보고</t>
  </si>
  <si>
    <t>49주차 주간보고</t>
  </si>
  <si>
    <t>50주차 주간보고</t>
  </si>
  <si>
    <t>1차 오픈단계</t>
  </si>
  <si>
    <t>2차 오픈단계</t>
  </si>
  <si>
    <t>3차 오픈단계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</si>
</sst>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412]yy/mm/dd\(ddd\)"/>
  </numFmts>
  <fonts count="69">
    <font>
      <sz val="11"/>
      <color theme="1"/>
      <name val="맑은 고딕"/>
      <family val="2"/>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name val="돋움"/>
      <family val="3"/>
      <charset val="129"/>
    </font>
    <font>
      <sz val="12"/>
      <color theme="1" tint="0.499984740745262"/>
      <name val="맑은 고딕"/>
      <family val="3"/>
      <charset val="129"/>
      <scheme val="minor"/>
    </font>
    <font>
      <sz val="10"/>
      <name val="맑은 고딕"/>
      <family val="3"/>
      <charset val="129"/>
      <scheme val="minor"/>
    </font>
    <font>
      <sz val="11"/>
      <color theme="1"/>
      <name val="맑은 고딕"/>
      <family val="3"/>
      <charset val="129"/>
      <scheme val="minor"/>
    </font>
    <font>
      <sz val="10"/>
      <color indexed="12"/>
      <name val="맑은 고딕"/>
      <family val="3"/>
      <charset val="129"/>
      <scheme val="minor"/>
    </font>
    <font>
      <b/>
      <sz val="18"/>
      <color theme="1" tint="0.499984740745262"/>
      <name val="CJ ONLYONE NEW 제목 Medium"/>
      <family val="3"/>
      <charset val="129"/>
    </font>
    <font>
      <sz val="24"/>
      <name val="CJ ONLYONE NEW 제목 Medium"/>
      <family val="3"/>
      <charset val="129"/>
    </font>
    <font>
      <b/>
      <sz val="16"/>
      <name val="맑은 고딕"/>
      <family val="3"/>
      <charset val="129"/>
      <scheme val="minor"/>
    </font>
    <font>
      <b/>
      <sz val="11"/>
      <name val="맑은 고딕"/>
      <family val="3"/>
      <charset val="129"/>
      <scheme val="minor"/>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s>
  <borders count="4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medium">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right style="medium">
        <color indexed="23"/>
      </right>
      <top style="medium">
        <color indexed="23"/>
      </top>
      <bottom style="thin">
        <color indexed="23"/>
      </bottom>
      <diagonal/>
    </border>
    <border>
      <left style="medium">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style="medium">
        <color indexed="23"/>
      </right>
      <top style="thin">
        <color indexed="23"/>
      </top>
      <bottom style="thin">
        <color indexed="23"/>
      </bottom>
      <diagonal/>
    </border>
    <border>
      <left style="medium">
        <color indexed="23"/>
      </left>
      <right style="thin">
        <color indexed="23"/>
      </right>
      <top style="thin">
        <color indexed="23"/>
      </top>
      <bottom style="medium">
        <color indexed="23"/>
      </bottom>
      <diagonal/>
    </border>
    <border>
      <left style="thin">
        <color indexed="23"/>
      </left>
      <right/>
      <top style="thin">
        <color indexed="23"/>
      </top>
      <bottom style="medium">
        <color indexed="23"/>
      </bottom>
      <diagonal/>
    </border>
    <border>
      <left/>
      <right style="medium">
        <color indexed="23"/>
      </right>
      <top style="thin">
        <color indexed="23"/>
      </top>
      <bottom style="medium">
        <color indexed="23"/>
      </bottom>
      <diagonal/>
    </border>
  </borders>
  <cellStyleXfs count="6">
    <xf numFmtId="0" fontId="0" fillId="0" borderId="0"/>
    <xf numFmtId="0" fontId="3" fillId="0" borderId="0" applyNumberFormat="0" applyFill="0" applyBorder="0" applyAlignment="0" applyProtection="0"/>
    <xf numFmtId="9" fontId="39" fillId="0" borderId="0" applyFont="0" applyFill="0" applyBorder="0" applyAlignment="0" applyProtection="0">
      <alignment vertical="center"/>
    </xf>
    <xf numFmtId="0" fontId="60" fillId="0" borderId="0">
      <alignment vertical="center"/>
    </xf>
    <xf numFmtId="0" fontId="1" fillId="0" borderId="0">
      <alignment vertical="center"/>
    </xf>
    <xf numFmtId="0" fontId="60" fillId="0" borderId="0"/>
  </cellStyleXfs>
  <cellXfs count="310">
    <xf numFmtId="0" fontId="0" fillId="0" borderId="0" xfId="0"/>
    <xf numFmtId="0" fontId="6" fillId="0" borderId="0" xfId="0" applyFont="1" applyAlignment="1">
      <alignment vertical="center"/>
    </xf>
    <xf numFmtId="0" fontId="5" fillId="0" borderId="0" xfId="0" applyFont="1" applyAlignment="1">
      <alignment vertical="center"/>
    </xf>
    <xf numFmtId="14" fontId="7" fillId="0" borderId="0" xfId="0" applyNumberFormat="1" applyFont="1" applyAlignment="1">
      <alignment vertical="center"/>
    </xf>
    <xf numFmtId="14" fontId="8" fillId="0" borderId="0" xfId="0" applyNumberFormat="1" applyFont="1" applyAlignment="1">
      <alignment vertical="center"/>
    </xf>
    <xf numFmtId="14" fontId="9" fillId="2" borderId="0" xfId="0" quotePrefix="1" applyNumberFormat="1" applyFont="1" applyFill="1"/>
    <xf numFmtId="14" fontId="9" fillId="2" borderId="0" xfId="0" applyNumberFormat="1" applyFont="1" applyFill="1" applyAlignment="1">
      <alignment vertical="center"/>
    </xf>
    <xf numFmtId="0" fontId="9" fillId="2" borderId="0" xfId="0" applyFont="1" applyFill="1"/>
    <xf numFmtId="176" fontId="11" fillId="2" borderId="0" xfId="0" applyNumberFormat="1" applyFont="1" applyFill="1" applyAlignment="1" applyProtection="1">
      <alignment vertical="center"/>
      <protection locked="0"/>
    </xf>
    <xf numFmtId="14" fontId="10" fillId="2" borderId="0" xfId="0" applyNumberFormat="1" applyFont="1" applyFill="1" applyAlignment="1">
      <alignment vertical="center"/>
    </xf>
    <xf numFmtId="14" fontId="9" fillId="0" borderId="6" xfId="0" applyNumberFormat="1" applyFont="1" applyBorder="1" applyAlignment="1" applyProtection="1">
      <alignment vertical="top"/>
      <protection locked="0"/>
    </xf>
    <xf numFmtId="14" fontId="9" fillId="0" borderId="6" xfId="0" applyNumberFormat="1" applyFont="1" applyBorder="1" applyAlignment="1" applyProtection="1">
      <alignment vertical="center"/>
      <protection locked="0"/>
    </xf>
    <xf numFmtId="0" fontId="9" fillId="0" borderId="6" xfId="0" applyFont="1" applyBorder="1" applyAlignment="1" applyProtection="1">
      <alignment vertical="top"/>
      <protection locked="0"/>
    </xf>
    <xf numFmtId="0" fontId="9" fillId="0" borderId="6" xfId="0" applyFont="1" applyBorder="1" applyAlignment="1" applyProtection="1">
      <alignment vertical="center" wrapText="1"/>
      <protection locked="0"/>
    </xf>
    <xf numFmtId="0" fontId="9" fillId="0" borderId="6" xfId="0" applyFont="1" applyBorder="1" applyAlignment="1" applyProtection="1">
      <alignment vertical="center"/>
      <protection locked="0"/>
    </xf>
    <xf numFmtId="0" fontId="9" fillId="0" borderId="0" xfId="0" applyFont="1" applyAlignment="1" applyProtection="1">
      <alignment vertical="top"/>
      <protection locked="0"/>
    </xf>
    <xf numFmtId="14" fontId="12" fillId="0" borderId="0" xfId="0" applyNumberFormat="1" applyFont="1" applyAlignment="1" applyProtection="1">
      <alignment horizontal="right" vertical="top"/>
      <protection locked="0"/>
    </xf>
    <xf numFmtId="179" fontId="9" fillId="4" borderId="7" xfId="0" applyNumberFormat="1" applyFont="1" applyFill="1" applyBorder="1" applyAlignment="1" applyProtection="1">
      <alignment vertical="center"/>
      <protection locked="0"/>
    </xf>
    <xf numFmtId="14" fontId="12" fillId="0" borderId="8" xfId="0" applyNumberFormat="1" applyFont="1" applyBorder="1" applyAlignment="1" applyProtection="1">
      <alignment horizontal="right" vertical="top"/>
      <protection locked="0"/>
    </xf>
    <xf numFmtId="14" fontId="9" fillId="0" borderId="8" xfId="0" applyNumberFormat="1" applyFont="1" applyBorder="1" applyAlignment="1" applyProtection="1">
      <alignment vertical="center"/>
      <protection locked="0"/>
    </xf>
    <xf numFmtId="0" fontId="9" fillId="0" borderId="8" xfId="0" applyFont="1" applyBorder="1" applyAlignment="1" applyProtection="1">
      <alignment vertical="top"/>
      <protection locked="0"/>
    </xf>
    <xf numFmtId="0" fontId="9" fillId="0" borderId="8" xfId="0" applyFont="1" applyBorder="1" applyAlignment="1" applyProtection="1">
      <alignment vertical="center"/>
      <protection locked="0"/>
    </xf>
    <xf numFmtId="14" fontId="12" fillId="0" borderId="0" xfId="0" applyNumberFormat="1" applyFont="1" applyAlignment="1" applyProtection="1">
      <alignment vertical="top"/>
      <protection locked="0"/>
    </xf>
    <xf numFmtId="14" fontId="9" fillId="0" borderId="0" xfId="0" applyNumberFormat="1" applyFont="1" applyAlignment="1" applyProtection="1">
      <alignment vertical="center"/>
      <protection locked="0"/>
    </xf>
    <xf numFmtId="0" fontId="9" fillId="0" borderId="9" xfId="0" applyFont="1" applyBorder="1" applyAlignment="1" applyProtection="1">
      <alignment vertical="center" wrapText="1"/>
      <protection locked="0"/>
    </xf>
    <xf numFmtId="14" fontId="9" fillId="0" borderId="0" xfId="0" applyNumberFormat="1" applyFont="1" applyAlignment="1" applyProtection="1">
      <alignment vertical="top"/>
      <protection locked="0"/>
    </xf>
    <xf numFmtId="14" fontId="12" fillId="0" borderId="8" xfId="0" applyNumberFormat="1" applyFont="1" applyBorder="1" applyAlignment="1" applyProtection="1">
      <alignment vertical="top"/>
      <protection locked="0"/>
    </xf>
    <xf numFmtId="0" fontId="9" fillId="0" borderId="8" xfId="0" applyFont="1" applyBorder="1" applyAlignment="1" applyProtection="1">
      <alignment vertical="center" wrapText="1"/>
      <protection locked="0"/>
    </xf>
    <xf numFmtId="14" fontId="12" fillId="0" borderId="9" xfId="0" applyNumberFormat="1" applyFont="1" applyBorder="1" applyAlignment="1" applyProtection="1">
      <alignment vertical="center" wrapText="1"/>
      <protection locked="0"/>
    </xf>
    <xf numFmtId="14" fontId="12" fillId="0" borderId="0" xfId="0" applyNumberFormat="1" applyFont="1" applyAlignment="1" applyProtection="1">
      <alignment horizontal="right" vertical="center" wrapText="1"/>
      <protection locked="0"/>
    </xf>
    <xf numFmtId="14" fontId="12" fillId="0" borderId="8" xfId="0" applyNumberFormat="1" applyFont="1" applyBorder="1" applyAlignment="1" applyProtection="1">
      <alignment vertical="center" wrapText="1"/>
      <protection locked="0"/>
    </xf>
    <xf numFmtId="0" fontId="9" fillId="0" borderId="8" xfId="0" applyFont="1" applyBorder="1" applyProtection="1">
      <protection locked="0"/>
    </xf>
    <xf numFmtId="0" fontId="9" fillId="0" borderId="0" xfId="0" applyFont="1" applyProtection="1">
      <protection locked="0"/>
    </xf>
    <xf numFmtId="14" fontId="9" fillId="0" borderId="0" xfId="0" applyNumberFormat="1" applyFont="1" applyProtection="1">
      <protection locked="0"/>
    </xf>
    <xf numFmtId="14" fontId="9" fillId="0" borderId="9" xfId="0" applyNumberFormat="1" applyFont="1" applyBorder="1" applyAlignment="1" applyProtection="1">
      <alignment vertical="center"/>
      <protection locked="0"/>
    </xf>
    <xf numFmtId="0" fontId="9" fillId="0" borderId="9" xfId="0" applyFont="1" applyBorder="1" applyProtection="1">
      <protection locked="0"/>
    </xf>
    <xf numFmtId="14" fontId="9" fillId="0" borderId="10" xfId="0" applyNumberFormat="1" applyFont="1" applyBorder="1" applyAlignment="1" applyProtection="1">
      <alignment vertical="center"/>
      <protection locked="0"/>
    </xf>
    <xf numFmtId="0" fontId="9" fillId="0" borderId="10" xfId="0" applyFont="1" applyBorder="1" applyAlignment="1" applyProtection="1">
      <alignment vertical="top"/>
      <protection locked="0"/>
    </xf>
    <xf numFmtId="14" fontId="12" fillId="0" borderId="9" xfId="0" applyNumberFormat="1" applyFont="1" applyBorder="1" applyProtection="1">
      <protection locked="0"/>
    </xf>
    <xf numFmtId="10" fontId="9" fillId="4" borderId="7" xfId="0" applyNumberFormat="1" applyFont="1" applyFill="1" applyBorder="1" applyAlignment="1" applyProtection="1">
      <alignment vertical="center"/>
      <protection locked="0"/>
    </xf>
    <xf numFmtId="14" fontId="12" fillId="0" borderId="10" xfId="0" applyNumberFormat="1" applyFont="1" applyBorder="1" applyAlignment="1" applyProtection="1">
      <alignment horizontal="right" vertical="top"/>
      <protection locked="0"/>
    </xf>
    <xf numFmtId="14" fontId="12" fillId="0" borderId="6" xfId="0" applyNumberFormat="1" applyFont="1" applyBorder="1" applyAlignment="1" applyProtection="1">
      <alignment horizontal="right" vertical="top"/>
      <protection locked="0"/>
    </xf>
    <xf numFmtId="14" fontId="12" fillId="0" borderId="11" xfId="0" applyNumberFormat="1" applyFont="1" applyBorder="1" applyAlignment="1" applyProtection="1">
      <alignment horizontal="right" vertical="top"/>
      <protection locked="0"/>
    </xf>
    <xf numFmtId="14" fontId="9" fillId="0" borderId="11" xfId="0" applyNumberFormat="1" applyFont="1" applyBorder="1" applyAlignment="1" applyProtection="1">
      <alignment vertical="center"/>
      <protection locked="0"/>
    </xf>
    <xf numFmtId="0" fontId="9" fillId="0" borderId="11" xfId="0" applyFont="1" applyBorder="1" applyAlignment="1" applyProtection="1">
      <alignment vertical="top"/>
      <protection locked="0"/>
    </xf>
    <xf numFmtId="14" fontId="12" fillId="0" borderId="12" xfId="0" applyNumberFormat="1" applyFont="1" applyBorder="1" applyAlignment="1" applyProtection="1">
      <alignment vertical="top"/>
      <protection locked="0"/>
    </xf>
    <xf numFmtId="14" fontId="9" fillId="0" borderId="12" xfId="0" applyNumberFormat="1" applyFont="1" applyBorder="1" applyAlignment="1" applyProtection="1">
      <alignment vertical="center"/>
      <protection locked="0"/>
    </xf>
    <xf numFmtId="0" fontId="9" fillId="0" borderId="12" xfId="0" applyFont="1" applyBorder="1" applyAlignment="1" applyProtection="1">
      <alignment vertical="top"/>
      <protection locked="0"/>
    </xf>
    <xf numFmtId="0" fontId="9" fillId="0" borderId="9" xfId="0" applyFont="1" applyBorder="1" applyAlignment="1" applyProtection="1">
      <alignment vertical="center"/>
      <protection locked="0"/>
    </xf>
    <xf numFmtId="10" fontId="9" fillId="4" borderId="7" xfId="0" applyNumberFormat="1" applyFont="1" applyFill="1" applyBorder="1" applyAlignment="1">
      <alignment vertical="center"/>
    </xf>
    <xf numFmtId="14" fontId="9" fillId="0" borderId="13" xfId="0" applyNumberFormat="1" applyFont="1" applyBorder="1" applyAlignment="1" applyProtection="1">
      <alignment horizontal="right" vertical="top"/>
      <protection locked="0"/>
    </xf>
    <xf numFmtId="14" fontId="9" fillId="0" borderId="13" xfId="0" applyNumberFormat="1" applyFont="1" applyBorder="1" applyAlignment="1" applyProtection="1">
      <alignment vertical="center"/>
      <protection locked="0"/>
    </xf>
    <xf numFmtId="0" fontId="9" fillId="0" borderId="13" xfId="0" applyFont="1" applyBorder="1" applyAlignment="1" applyProtection="1">
      <alignment vertical="top"/>
      <protection locked="0"/>
    </xf>
    <xf numFmtId="0" fontId="9" fillId="0" borderId="13" xfId="0" applyFont="1" applyBorder="1" applyAlignment="1" applyProtection="1">
      <alignment vertical="center"/>
      <protection locked="0"/>
    </xf>
    <xf numFmtId="14" fontId="8"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0" xfId="0" applyFont="1" applyAlignment="1" applyProtection="1">
      <alignment vertical="top"/>
      <protection locked="0"/>
    </xf>
    <xf numFmtId="14" fontId="8" fillId="0" borderId="0" xfId="0" applyNumberFormat="1" applyFont="1" applyProtection="1">
      <protection locked="0"/>
    </xf>
    <xf numFmtId="179" fontId="8" fillId="0" borderId="0" xfId="0" applyNumberFormat="1" applyFont="1" applyAlignment="1" applyProtection="1">
      <alignment vertical="center"/>
      <protection locked="0"/>
    </xf>
    <xf numFmtId="0" fontId="8" fillId="0" borderId="0" xfId="0" applyFont="1" applyProtection="1">
      <protection locked="0"/>
    </xf>
    <xf numFmtId="1" fontId="8" fillId="0" borderId="0" xfId="0" applyNumberFormat="1" applyFont="1" applyAlignment="1" applyProtection="1">
      <alignment vertical="center"/>
      <protection locked="0"/>
    </xf>
    <xf numFmtId="176" fontId="8" fillId="0" borderId="0" xfId="0" applyNumberFormat="1" applyFont="1" applyAlignment="1" applyProtection="1">
      <alignment vertical="center"/>
      <protection locked="0"/>
    </xf>
    <xf numFmtId="0" fontId="8" fillId="5" borderId="1" xfId="0" applyFont="1" applyFill="1" applyBorder="1" applyAlignment="1">
      <alignment horizontal="left" wrapText="1"/>
    </xf>
    <xf numFmtId="14" fontId="8" fillId="0" borderId="0" xfId="0" applyNumberFormat="1" applyFont="1"/>
    <xf numFmtId="14" fontId="8" fillId="2" borderId="0" xfId="0" applyNumberFormat="1" applyFont="1" applyFill="1" applyAlignment="1">
      <alignment vertical="top"/>
    </xf>
    <xf numFmtId="14" fontId="14" fillId="3" borderId="14" xfId="0" applyNumberFormat="1" applyFont="1" applyFill="1" applyBorder="1" applyAlignment="1">
      <alignment horizontal="center" vertical="center"/>
    </xf>
    <xf numFmtId="14" fontId="8" fillId="0" borderId="0" xfId="0" applyNumberFormat="1" applyFont="1" applyAlignment="1">
      <alignment horizontal="center" vertical="center"/>
    </xf>
    <xf numFmtId="0" fontId="9" fillId="7" borderId="15" xfId="0" applyFont="1" applyFill="1" applyBorder="1" applyAlignment="1">
      <alignment horizontal="left" vertical="top"/>
    </xf>
    <xf numFmtId="0" fontId="9" fillId="0" borderId="0" xfId="0" applyFont="1" applyAlignment="1">
      <alignment horizontal="left" vertical="top"/>
    </xf>
    <xf numFmtId="0" fontId="9" fillId="0" borderId="0" xfId="0" applyFont="1" applyAlignment="1">
      <alignment vertical="top"/>
    </xf>
    <xf numFmtId="14" fontId="9" fillId="0" borderId="0" xfId="0" applyNumberFormat="1" applyFont="1" applyAlignment="1">
      <alignment horizontal="left" vertical="top"/>
    </xf>
    <xf numFmtId="22" fontId="9" fillId="0" borderId="0" xfId="0" applyNumberFormat="1" applyFont="1" applyAlignment="1">
      <alignment horizontal="left" vertical="top"/>
    </xf>
    <xf numFmtId="0" fontId="8" fillId="5" borderId="2" xfId="0" applyFont="1" applyFill="1" applyBorder="1" applyAlignment="1">
      <alignment horizontal="left" wrapText="1"/>
    </xf>
    <xf numFmtId="0" fontId="8" fillId="0" borderId="0" xfId="0" applyFont="1"/>
    <xf numFmtId="14" fontId="17" fillId="6" borderId="14" xfId="0" applyNumberFormat="1" applyFont="1" applyFill="1" applyBorder="1" applyProtection="1">
      <protection locked="0"/>
    </xf>
    <xf numFmtId="14" fontId="17" fillId="0" borderId="14" xfId="0" applyNumberFormat="1" applyFont="1" applyBorder="1" applyProtection="1">
      <protection locked="0"/>
    </xf>
    <xf numFmtId="14" fontId="17" fillId="0" borderId="0" xfId="0" applyNumberFormat="1" applyFont="1"/>
    <xf numFmtId="0" fontId="20" fillId="0" borderId="0" xfId="0" applyFont="1"/>
    <xf numFmtId="14" fontId="17" fillId="0" borderId="14" xfId="0" applyNumberFormat="1" applyFont="1" applyBorder="1"/>
    <xf numFmtId="0" fontId="22" fillId="0" borderId="0" xfId="0" applyFont="1"/>
    <xf numFmtId="0" fontId="9" fillId="0" borderId="0" xfId="0" applyFont="1" applyAlignment="1" applyProtection="1">
      <alignment horizontal="center"/>
      <protection locked="0"/>
    </xf>
    <xf numFmtId="0" fontId="23" fillId="0" borderId="0" xfId="0" applyFont="1" applyAlignment="1" applyProtection="1">
      <alignment horizontal="center"/>
      <protection locked="0"/>
    </xf>
    <xf numFmtId="0" fontId="24" fillId="0" borderId="0" xfId="0" applyFont="1" applyProtection="1">
      <protection locked="0"/>
    </xf>
    <xf numFmtId="0" fontId="9" fillId="0" borderId="0" xfId="0" applyFont="1" applyAlignment="1" applyProtection="1">
      <alignment vertical="center"/>
      <protection locked="0"/>
    </xf>
    <xf numFmtId="0" fontId="25" fillId="11" borderId="17" xfId="1" applyFont="1" applyFill="1" applyBorder="1" applyAlignment="1" applyProtection="1">
      <alignment horizontal="center" vertical="center" wrapText="1"/>
      <protection locked="0"/>
    </xf>
    <xf numFmtId="0" fontId="25" fillId="10" borderId="17" xfId="1" applyFont="1" applyFill="1" applyBorder="1" applyAlignment="1" applyProtection="1">
      <alignment horizontal="center" vertical="center" wrapText="1"/>
      <protection locked="0"/>
    </xf>
    <xf numFmtId="0" fontId="25" fillId="12" borderId="17" xfId="1" applyFont="1" applyFill="1" applyBorder="1" applyAlignment="1" applyProtection="1">
      <alignment horizontal="center" vertical="center" wrapText="1"/>
      <protection locked="0"/>
    </xf>
    <xf numFmtId="0" fontId="25" fillId="13"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6" fillId="9" borderId="17" xfId="1" applyFont="1" applyFill="1" applyBorder="1" applyAlignment="1" applyProtection="1">
      <alignment horizontal="center" vertical="center" wrapText="1"/>
      <protection locked="0"/>
    </xf>
    <xf numFmtId="0" fontId="22" fillId="0" borderId="0" xfId="0" applyFont="1" applyAlignment="1">
      <alignment vertical="center"/>
    </xf>
    <xf numFmtId="0" fontId="22" fillId="0" borderId="0" xfId="0" applyFont="1" applyAlignment="1">
      <alignment horizontal="center" vertical="center"/>
    </xf>
    <xf numFmtId="0" fontId="8" fillId="0" borderId="0" xfId="0" applyFont="1" applyAlignment="1">
      <alignment vertical="center"/>
    </xf>
    <xf numFmtId="0" fontId="27" fillId="0" borderId="0" xfId="0" applyFont="1" applyAlignment="1" applyProtection="1">
      <alignment horizontal="center"/>
      <protection locked="0"/>
    </xf>
    <xf numFmtId="0" fontId="26" fillId="8" borderId="17" xfId="1" applyFont="1" applyFill="1" applyBorder="1" applyAlignment="1" applyProtection="1">
      <alignment horizontal="center" vertical="center" wrapText="1"/>
      <protection locked="0"/>
    </xf>
    <xf numFmtId="0" fontId="24" fillId="0" borderId="0" xfId="0" applyFont="1" applyAlignment="1" applyProtection="1">
      <alignment horizontal="center"/>
      <protection locked="0"/>
    </xf>
    <xf numFmtId="0" fontId="27" fillId="14" borderId="0" xfId="0" applyFont="1" applyFill="1" applyAlignment="1" applyProtection="1">
      <alignment horizontal="left"/>
      <protection locked="0"/>
    </xf>
    <xf numFmtId="0" fontId="9" fillId="14" borderId="0" xfId="0" applyFont="1" applyFill="1" applyProtection="1">
      <protection locked="0"/>
    </xf>
    <xf numFmtId="0" fontId="24" fillId="14" borderId="0" xfId="0" applyFont="1" applyFill="1" applyProtection="1">
      <protection locked="0"/>
    </xf>
    <xf numFmtId="0" fontId="9" fillId="14" borderId="0" xfId="0" applyFont="1" applyFill="1" applyAlignment="1" applyProtection="1">
      <alignment vertical="center"/>
      <protection locked="0"/>
    </xf>
    <xf numFmtId="0" fontId="22" fillId="0" borderId="0" xfId="0" applyFont="1" applyAlignment="1">
      <alignment horizontal="center"/>
    </xf>
    <xf numFmtId="0" fontId="3" fillId="0" borderId="18" xfId="1" applyFill="1" applyBorder="1" applyAlignment="1" applyProtection="1">
      <alignment horizontal="center" vertical="center" wrapText="1"/>
      <protection locked="0"/>
    </xf>
    <xf numFmtId="14" fontId="8" fillId="0" borderId="0" xfId="0" applyNumberFormat="1" applyFont="1" applyAlignment="1" applyProtection="1">
      <alignment horizontal="left"/>
      <protection locked="0"/>
    </xf>
    <xf numFmtId="0" fontId="8" fillId="0" borderId="0" xfId="0" applyFont="1" applyAlignment="1" applyProtection="1">
      <alignment horizontal="left"/>
      <protection locked="0"/>
    </xf>
    <xf numFmtId="10" fontId="8" fillId="0" borderId="0" xfId="0" applyNumberFormat="1" applyFont="1" applyAlignment="1" applyProtection="1">
      <alignment horizontal="left"/>
      <protection locked="0"/>
    </xf>
    <xf numFmtId="0" fontId="8" fillId="0" borderId="0" xfId="0" quotePrefix="1" applyFont="1" applyAlignment="1" applyProtection="1">
      <alignment horizontal="left"/>
      <protection locked="0"/>
    </xf>
    <xf numFmtId="0" fontId="8" fillId="0" borderId="0" xfId="0" applyFont="1" applyAlignment="1" applyProtection="1">
      <alignment horizontal="center"/>
      <protection locked="0"/>
    </xf>
    <xf numFmtId="10" fontId="8" fillId="0" borderId="0" xfId="0" applyNumberFormat="1" applyFont="1" applyAlignment="1" applyProtection="1">
      <alignment horizontal="center"/>
      <protection locked="0"/>
    </xf>
    <xf numFmtId="0" fontId="34" fillId="16" borderId="0" xfId="1" applyFont="1" applyFill="1" applyBorder="1" applyAlignment="1">
      <alignment vertical="top" wrapText="1"/>
    </xf>
    <xf numFmtId="0" fontId="34" fillId="16" borderId="0" xfId="1" applyNumberFormat="1" applyFont="1" applyFill="1" applyBorder="1" applyAlignment="1">
      <alignment vertical="top"/>
    </xf>
    <xf numFmtId="0" fontId="34" fillId="16" borderId="0" xfId="1" applyFont="1" applyFill="1" applyBorder="1" applyAlignment="1">
      <alignment vertical="top"/>
    </xf>
    <xf numFmtId="0" fontId="31" fillId="16" borderId="0" xfId="1" applyFont="1" applyFill="1" applyBorder="1" applyAlignment="1">
      <alignment horizontal="right" vertical="top"/>
    </xf>
    <xf numFmtId="0" fontId="31" fillId="16" borderId="0" xfId="1" applyFont="1" applyFill="1" applyBorder="1" applyAlignment="1">
      <alignment horizontal="right" vertical="center"/>
    </xf>
    <xf numFmtId="0" fontId="22" fillId="19" borderId="20" xfId="0" applyFont="1" applyFill="1" applyBorder="1" applyAlignment="1">
      <alignment vertical="center"/>
    </xf>
    <xf numFmtId="0" fontId="35" fillId="16" borderId="0" xfId="1" applyNumberFormat="1" applyFont="1" applyFill="1" applyBorder="1" applyAlignment="1">
      <alignment horizontal="right"/>
    </xf>
    <xf numFmtId="178" fontId="35" fillId="16" borderId="0" xfId="1" applyNumberFormat="1" applyFont="1" applyFill="1" applyBorder="1" applyAlignment="1">
      <alignment horizontal="right"/>
    </xf>
    <xf numFmtId="0" fontId="36" fillId="16" borderId="0" xfId="1" applyNumberFormat="1" applyFont="1" applyFill="1" applyBorder="1" applyAlignment="1"/>
    <xf numFmtId="0" fontId="36" fillId="16" borderId="0" xfId="1" applyNumberFormat="1" applyFont="1" applyFill="1" applyBorder="1" applyAlignment="1">
      <alignment horizontal="right"/>
    </xf>
    <xf numFmtId="0" fontId="19" fillId="0" borderId="0" xfId="0" applyFont="1" applyAlignment="1">
      <alignment horizontal="left" vertical="center"/>
    </xf>
    <xf numFmtId="0" fontId="19" fillId="0" borderId="4" xfId="0" applyFont="1" applyBorder="1" applyAlignment="1" applyProtection="1">
      <alignment horizontal="left" vertical="center"/>
      <protection locked="0"/>
    </xf>
    <xf numFmtId="0" fontId="30" fillId="16" borderId="0" xfId="0" applyFont="1" applyFill="1" applyAlignment="1">
      <alignment horizontal="left" vertical="top"/>
    </xf>
    <xf numFmtId="0" fontId="30" fillId="16" borderId="0" xfId="0" applyFont="1" applyFill="1" applyAlignment="1">
      <alignment horizontal="left" vertical="center"/>
    </xf>
    <xf numFmtId="0" fontId="31" fillId="16" borderId="0" xfId="0" applyFont="1" applyFill="1" applyAlignment="1">
      <alignment horizontal="left" vertical="top"/>
    </xf>
    <xf numFmtId="0" fontId="32" fillId="16" borderId="0" xfId="0" applyFont="1" applyFill="1" applyAlignment="1">
      <alignment vertical="center"/>
    </xf>
    <xf numFmtId="14" fontId="33" fillId="16" borderId="0" xfId="0" applyNumberFormat="1" applyFont="1" applyFill="1" applyAlignment="1">
      <alignment horizontal="left" vertical="top" wrapText="1"/>
    </xf>
    <xf numFmtId="178" fontId="34" fillId="16" borderId="0" xfId="0" applyNumberFormat="1" applyFont="1" applyFill="1" applyAlignment="1">
      <alignment horizontal="center" vertical="top"/>
    </xf>
    <xf numFmtId="178" fontId="30" fillId="16" borderId="0" xfId="0" applyNumberFormat="1" applyFont="1" applyFill="1" applyAlignment="1">
      <alignment horizontal="center" vertical="top"/>
    </xf>
    <xf numFmtId="178" fontId="32" fillId="16" borderId="0" xfId="0" applyNumberFormat="1" applyFont="1" applyFill="1" applyAlignment="1">
      <alignment horizontal="center" vertical="top"/>
    </xf>
    <xf numFmtId="1" fontId="32" fillId="16" borderId="0" xfId="0" applyNumberFormat="1" applyFont="1" applyFill="1" applyAlignment="1">
      <alignment horizontal="center" vertical="top"/>
    </xf>
    <xf numFmtId="0" fontId="19" fillId="16" borderId="0" xfId="0" applyFont="1" applyFill="1" applyAlignment="1">
      <alignment horizontal="left" vertical="center"/>
    </xf>
    <xf numFmtId="0" fontId="30" fillId="16" borderId="0" xfId="0" applyFont="1" applyFill="1" applyAlignment="1">
      <alignment horizontal="left"/>
    </xf>
    <xf numFmtId="0" fontId="31" fillId="16" borderId="0" xfId="0" applyFont="1" applyFill="1" applyAlignment="1">
      <alignment horizontal="left"/>
    </xf>
    <xf numFmtId="10" fontId="35" fillId="16" borderId="0" xfId="0" applyNumberFormat="1" applyFont="1" applyFill="1" applyAlignment="1">
      <alignment horizontal="right"/>
    </xf>
    <xf numFmtId="0" fontId="19" fillId="0" borderId="23" xfId="0" applyFont="1" applyBorder="1" applyAlignment="1" applyProtection="1">
      <alignment vertical="top"/>
      <protection locked="0"/>
    </xf>
    <xf numFmtId="0" fontId="19" fillId="0" borderId="23" xfId="0" applyFont="1" applyBorder="1" applyAlignment="1" applyProtection="1">
      <alignment horizontal="left" vertical="top"/>
      <protection locked="0"/>
    </xf>
    <xf numFmtId="178" fontId="19" fillId="0" borderId="23" xfId="0" applyNumberFormat="1" applyFont="1" applyBorder="1" applyAlignment="1" applyProtection="1">
      <alignment horizontal="center" vertical="top"/>
      <protection locked="0"/>
    </xf>
    <xf numFmtId="177" fontId="19" fillId="0" borderId="23" xfId="0" applyNumberFormat="1" applyFont="1" applyBorder="1" applyAlignment="1" applyProtection="1">
      <alignment horizontal="center" vertical="top"/>
      <protection locked="0"/>
    </xf>
    <xf numFmtId="1" fontId="19" fillId="0" borderId="23" xfId="0" applyNumberFormat="1" applyFont="1" applyBorder="1" applyAlignment="1" applyProtection="1">
      <alignment horizontal="center" vertical="top"/>
      <protection locked="0"/>
    </xf>
    <xf numFmtId="14" fontId="19" fillId="0" borderId="23" xfId="0" applyNumberFormat="1" applyFont="1" applyBorder="1" applyAlignment="1" applyProtection="1">
      <alignment horizontal="left" vertical="top"/>
      <protection locked="0"/>
    </xf>
    <xf numFmtId="0" fontId="19" fillId="0" borderId="5" xfId="0" applyFont="1" applyBorder="1" applyAlignment="1" applyProtection="1">
      <alignment vertical="top"/>
      <protection locked="0"/>
    </xf>
    <xf numFmtId="0" fontId="19" fillId="0" borderId="5" xfId="0" applyFont="1" applyBorder="1" applyAlignment="1" applyProtection="1">
      <alignment horizontal="center" vertical="top"/>
      <protection locked="0"/>
    </xf>
    <xf numFmtId="0" fontId="19" fillId="0" borderId="5" xfId="0" applyFont="1" applyBorder="1" applyAlignment="1" applyProtection="1">
      <alignment horizontal="left" vertical="top"/>
      <protection locked="0"/>
    </xf>
    <xf numFmtId="178" fontId="19" fillId="0" borderId="5" xfId="0" applyNumberFormat="1" applyFont="1" applyBorder="1" applyAlignment="1" applyProtection="1">
      <alignment horizontal="center" vertical="top"/>
      <protection locked="0"/>
    </xf>
    <xf numFmtId="177" fontId="19" fillId="0" borderId="5" xfId="0" applyNumberFormat="1" applyFont="1" applyBorder="1" applyAlignment="1" applyProtection="1">
      <alignment horizontal="center" vertical="top"/>
      <protection locked="0"/>
    </xf>
    <xf numFmtId="1" fontId="19" fillId="0" borderId="5" xfId="0" applyNumberFormat="1" applyFont="1" applyBorder="1" applyAlignment="1" applyProtection="1">
      <alignment horizontal="center" vertical="top"/>
      <protection locked="0"/>
    </xf>
    <xf numFmtId="14" fontId="19" fillId="0" borderId="5" xfId="0" applyNumberFormat="1" applyFont="1" applyBorder="1" applyAlignment="1" applyProtection="1">
      <alignment horizontal="left" vertical="top"/>
      <protection locked="0"/>
    </xf>
    <xf numFmtId="10" fontId="19" fillId="0" borderId="5" xfId="0" applyNumberFormat="1" applyFont="1" applyBorder="1" applyAlignment="1" applyProtection="1">
      <alignment horizontal="right" vertical="top" wrapText="1"/>
      <protection locked="0"/>
    </xf>
    <xf numFmtId="10" fontId="19" fillId="0" borderId="5" xfId="0" applyNumberFormat="1" applyFont="1" applyBorder="1" applyAlignment="1" applyProtection="1">
      <alignment horizontal="right" vertical="top"/>
      <protection locked="0"/>
    </xf>
    <xf numFmtId="0" fontId="3" fillId="16" borderId="0" xfId="1" applyFill="1" applyAlignment="1">
      <alignment horizontal="left" vertical="center"/>
    </xf>
    <xf numFmtId="0" fontId="32" fillId="16" borderId="0" xfId="0" applyFont="1" applyFill="1" applyAlignment="1">
      <alignment horizontal="left" vertical="center"/>
    </xf>
    <xf numFmtId="0" fontId="19" fillId="0" borderId="24" xfId="0" applyFont="1" applyBorder="1" applyAlignment="1" applyProtection="1">
      <alignment vertical="top"/>
      <protection locked="0"/>
    </xf>
    <xf numFmtId="0" fontId="19" fillId="0" borderId="24" xfId="0" applyFont="1" applyBorder="1" applyAlignment="1" applyProtection="1">
      <alignment horizontal="center" vertical="top"/>
      <protection locked="0"/>
    </xf>
    <xf numFmtId="0" fontId="19" fillId="0" borderId="24" xfId="0" applyFont="1" applyBorder="1" applyAlignment="1" applyProtection="1">
      <alignment horizontal="left" vertical="top"/>
      <protection locked="0"/>
    </xf>
    <xf numFmtId="178" fontId="19" fillId="0" borderId="24" xfId="0" applyNumberFormat="1" applyFont="1" applyBorder="1" applyAlignment="1" applyProtection="1">
      <alignment horizontal="center" vertical="top"/>
      <protection locked="0"/>
    </xf>
    <xf numFmtId="177" fontId="19" fillId="0" borderId="24" xfId="0" applyNumberFormat="1" applyFont="1" applyBorder="1" applyAlignment="1" applyProtection="1">
      <alignment horizontal="center" vertical="top"/>
      <protection locked="0"/>
    </xf>
    <xf numFmtId="1" fontId="19" fillId="0" borderId="24" xfId="0" applyNumberFormat="1" applyFont="1" applyBorder="1" applyAlignment="1" applyProtection="1">
      <alignment horizontal="center" vertical="top"/>
      <protection locked="0"/>
    </xf>
    <xf numFmtId="14" fontId="19" fillId="0" borderId="24" xfId="0" applyNumberFormat="1" applyFont="1" applyBorder="1" applyAlignment="1" applyProtection="1">
      <alignment horizontal="left" vertical="top"/>
      <protection locked="0"/>
    </xf>
    <xf numFmtId="10" fontId="19" fillId="0" borderId="24" xfId="0" applyNumberFormat="1" applyFont="1" applyBorder="1" applyAlignment="1" applyProtection="1">
      <alignment horizontal="right" vertical="top" wrapText="1"/>
      <protection locked="0"/>
    </xf>
    <xf numFmtId="10" fontId="19" fillId="0" borderId="24" xfId="0" applyNumberFormat="1" applyFont="1" applyBorder="1" applyAlignment="1" applyProtection="1">
      <alignment horizontal="right" vertical="top"/>
      <protection locked="0"/>
    </xf>
    <xf numFmtId="10" fontId="19" fillId="0" borderId="23" xfId="2" applyNumberFormat="1" applyFont="1" applyBorder="1" applyAlignment="1" applyProtection="1">
      <alignment horizontal="right" vertical="top" wrapText="1"/>
      <protection locked="0"/>
    </xf>
    <xf numFmtId="0" fontId="19" fillId="0" borderId="23" xfId="0" quotePrefix="1" applyFont="1" applyBorder="1" applyAlignment="1" applyProtection="1">
      <alignment horizontal="left" vertical="top"/>
      <protection locked="0"/>
    </xf>
    <xf numFmtId="0" fontId="41" fillId="16" borderId="0" xfId="1" applyFont="1" applyFill="1" applyAlignment="1">
      <alignment horizontal="left" vertical="center"/>
    </xf>
    <xf numFmtId="0" fontId="19" fillId="0" borderId="25" xfId="0" applyFont="1" applyBorder="1" applyAlignment="1" applyProtection="1">
      <alignment horizontal="left" vertical="center"/>
      <protection locked="0"/>
    </xf>
    <xf numFmtId="14" fontId="44" fillId="18" borderId="26" xfId="0" applyNumberFormat="1" applyFont="1" applyFill="1" applyBorder="1" applyAlignment="1">
      <alignment horizontal="center" vertical="center"/>
    </xf>
    <xf numFmtId="14" fontId="44" fillId="18" borderId="27" xfId="0" applyNumberFormat="1" applyFont="1" applyFill="1" applyBorder="1" applyAlignment="1">
      <alignment horizontal="center" vertical="center"/>
    </xf>
    <xf numFmtId="0" fontId="19" fillId="0" borderId="29" xfId="0" applyFont="1" applyBorder="1" applyAlignment="1" applyProtection="1">
      <alignment horizontal="left" vertical="center"/>
      <protection locked="0"/>
    </xf>
    <xf numFmtId="0" fontId="19" fillId="0" borderId="30" xfId="0" applyFont="1" applyBorder="1" applyAlignment="1" applyProtection="1">
      <alignment horizontal="left" vertical="center"/>
      <protection locked="0"/>
    </xf>
    <xf numFmtId="10" fontId="19" fillId="20" borderId="23" xfId="2" applyNumberFormat="1" applyFont="1" applyFill="1" applyBorder="1" applyAlignment="1" applyProtection="1">
      <alignment horizontal="right" vertical="top"/>
      <protection locked="0"/>
    </xf>
    <xf numFmtId="10" fontId="40" fillId="20" borderId="23" xfId="2" applyNumberFormat="1" applyFont="1" applyFill="1" applyBorder="1" applyAlignment="1" applyProtection="1">
      <alignment horizontal="right" vertical="top"/>
      <protection locked="0"/>
    </xf>
    <xf numFmtId="0" fontId="9" fillId="21" borderId="0" xfId="0" applyFont="1" applyFill="1" applyAlignment="1">
      <alignment vertical="top"/>
    </xf>
    <xf numFmtId="0" fontId="9" fillId="21" borderId="0" xfId="0" applyFont="1" applyFill="1" applyAlignment="1">
      <alignment horizontal="left" vertical="top"/>
    </xf>
    <xf numFmtId="0" fontId="47" fillId="3" borderId="1" xfId="0" applyFont="1" applyFill="1" applyBorder="1" applyAlignment="1">
      <alignment horizontal="center" vertical="center"/>
    </xf>
    <xf numFmtId="0" fontId="47" fillId="3" borderId="1" xfId="0" applyFont="1" applyFill="1" applyBorder="1" applyAlignment="1">
      <alignment horizontal="center" vertical="center" wrapText="1"/>
    </xf>
    <xf numFmtId="0" fontId="48" fillId="0" borderId="0" xfId="0" applyFont="1" applyAlignment="1">
      <alignment vertical="top"/>
    </xf>
    <xf numFmtId="0" fontId="48" fillId="0" borderId="0" xfId="0" applyFont="1" applyAlignment="1">
      <alignment horizontal="center" vertical="top"/>
    </xf>
    <xf numFmtId="0" fontId="49" fillId="0" borderId="0" xfId="0" applyFont="1" applyAlignment="1">
      <alignment vertical="top"/>
    </xf>
    <xf numFmtId="0" fontId="48" fillId="0" borderId="0" xfId="0" applyFont="1" applyAlignment="1">
      <alignment vertical="top" wrapText="1"/>
    </xf>
    <xf numFmtId="0" fontId="48" fillId="0" borderId="0" xfId="0" applyFont="1" applyAlignment="1">
      <alignment horizontal="left" vertical="top" wrapText="1"/>
    </xf>
    <xf numFmtId="0" fontId="48" fillId="0" borderId="0" xfId="0" applyFont="1" applyAlignment="1">
      <alignment horizontal="left" vertical="top"/>
    </xf>
    <xf numFmtId="0" fontId="49" fillId="0" borderId="0" xfId="0" applyFont="1" applyAlignment="1">
      <alignment horizontal="left" vertical="top"/>
    </xf>
    <xf numFmtId="14" fontId="48" fillId="0" borderId="0" xfId="0" applyNumberFormat="1" applyFont="1" applyAlignment="1">
      <alignment horizontal="left" vertical="top" wrapText="1"/>
    </xf>
    <xf numFmtId="0" fontId="48" fillId="0" borderId="0" xfId="0" applyFont="1"/>
    <xf numFmtId="0" fontId="46" fillId="0" borderId="0" xfId="0" applyFont="1" applyAlignment="1">
      <alignment horizontal="left" vertical="top"/>
    </xf>
    <xf numFmtId="0" fontId="49" fillId="0" borderId="0" xfId="0" applyFont="1" applyAlignment="1">
      <alignment horizontal="left" vertical="top" wrapText="1"/>
    </xf>
    <xf numFmtId="0" fontId="51" fillId="8" borderId="17" xfId="1" applyFont="1" applyFill="1" applyBorder="1" applyAlignment="1" applyProtection="1">
      <alignment horizontal="center" vertical="center" wrapText="1"/>
      <protection locked="0"/>
    </xf>
    <xf numFmtId="0" fontId="15" fillId="21" borderId="0" xfId="0" applyFont="1" applyFill="1"/>
    <xf numFmtId="0" fontId="3" fillId="21" borderId="0" xfId="1" applyFill="1" applyBorder="1" applyAlignment="1">
      <alignment horizontal="left" vertical="top"/>
    </xf>
    <xf numFmtId="14" fontId="9" fillId="21" borderId="0" xfId="0" applyNumberFormat="1" applyFont="1" applyFill="1" applyAlignment="1">
      <alignment horizontal="left" vertical="top"/>
    </xf>
    <xf numFmtId="0" fontId="9" fillId="18" borderId="0" xfId="0" applyFont="1" applyFill="1" applyAlignment="1">
      <alignment vertical="top"/>
    </xf>
    <xf numFmtId="0" fontId="9" fillId="18" borderId="0" xfId="0" quotePrefix="1" applyFont="1" applyFill="1" applyAlignment="1">
      <alignment horizontal="left" vertical="top"/>
    </xf>
    <xf numFmtId="0" fontId="9" fillId="18" borderId="0" xfId="0" applyFont="1" applyFill="1" applyAlignment="1">
      <alignment horizontal="left" vertical="top"/>
    </xf>
    <xf numFmtId="0" fontId="53" fillId="0" borderId="0" xfId="0" applyFont="1" applyAlignment="1">
      <alignment vertical="top" wrapText="1"/>
    </xf>
    <xf numFmtId="0" fontId="54" fillId="0" borderId="0" xfId="0" applyFont="1" applyAlignment="1">
      <alignment vertical="top" wrapText="1"/>
    </xf>
    <xf numFmtId="14" fontId="8" fillId="0" borderId="10" xfId="0" applyNumberFormat="1" applyFont="1" applyBorder="1"/>
    <xf numFmtId="0" fontId="8" fillId="0" borderId="10" xfId="0" applyFont="1" applyBorder="1"/>
    <xf numFmtId="14" fontId="8" fillId="0" borderId="31" xfId="0" applyNumberFormat="1" applyFont="1" applyBorder="1"/>
    <xf numFmtId="0" fontId="8" fillId="0" borderId="31" xfId="0" applyFont="1" applyBorder="1"/>
    <xf numFmtId="0" fontId="55" fillId="0" borderId="0" xfId="0" applyFont="1" applyAlignment="1">
      <alignment vertical="top" wrapText="1"/>
    </xf>
    <xf numFmtId="10" fontId="8" fillId="0" borderId="0" xfId="0" applyNumberFormat="1" applyFont="1"/>
    <xf numFmtId="0" fontId="58" fillId="0" borderId="0" xfId="0" applyFont="1" applyAlignment="1">
      <alignment horizontal="left" vertical="center"/>
    </xf>
    <xf numFmtId="0" fontId="8" fillId="0" borderId="7" xfId="0" applyFont="1" applyBorder="1"/>
    <xf numFmtId="2" fontId="8" fillId="0" borderId="0" xfId="0" applyNumberFormat="1" applyFont="1"/>
    <xf numFmtId="2" fontId="8" fillId="0" borderId="10" xfId="0" applyNumberFormat="1" applyFont="1" applyBorder="1"/>
    <xf numFmtId="10" fontId="59" fillId="0" borderId="10" xfId="0" applyNumberFormat="1" applyFont="1" applyBorder="1"/>
    <xf numFmtId="2" fontId="8" fillId="0" borderId="31" xfId="0" applyNumberFormat="1" applyFont="1" applyBorder="1"/>
    <xf numFmtId="10" fontId="59" fillId="0" borderId="31" xfId="0" applyNumberFormat="1" applyFont="1" applyBorder="1"/>
    <xf numFmtId="0" fontId="44" fillId="18" borderId="27" xfId="0" applyFont="1" applyFill="1" applyBorder="1" applyAlignment="1">
      <alignment horizontal="left" vertical="center"/>
    </xf>
    <xf numFmtId="0" fontId="44" fillId="18" borderId="28" xfId="0" applyFont="1" applyFill="1" applyBorder="1" applyAlignment="1">
      <alignment horizontal="left" vertical="center"/>
    </xf>
    <xf numFmtId="0" fontId="61" fillId="0" borderId="0" xfId="3" applyFont="1">
      <alignment vertical="center"/>
    </xf>
    <xf numFmtId="0" fontId="62" fillId="0" borderId="0" xfId="3" applyFont="1">
      <alignment vertical="center"/>
    </xf>
    <xf numFmtId="0" fontId="63" fillId="0" borderId="0" xfId="4" applyFont="1">
      <alignment vertical="center"/>
    </xf>
    <xf numFmtId="0" fontId="62" fillId="0" borderId="32" xfId="3" applyFont="1" applyBorder="1" applyAlignment="1">
      <alignment horizontal="center" vertical="center"/>
    </xf>
    <xf numFmtId="14" fontId="62" fillId="0" borderId="0" xfId="3" applyNumberFormat="1" applyFont="1">
      <alignment vertical="center"/>
    </xf>
    <xf numFmtId="0" fontId="64" fillId="0" borderId="0" xfId="3" applyFont="1">
      <alignment vertical="center"/>
    </xf>
    <xf numFmtId="0" fontId="62" fillId="0" borderId="35" xfId="3" applyFont="1" applyBorder="1" applyAlignment="1">
      <alignment horizontal="center" vertical="center"/>
    </xf>
    <xf numFmtId="0" fontId="62" fillId="0" borderId="38" xfId="3" applyFont="1" applyBorder="1" applyAlignment="1">
      <alignment horizontal="center" vertical="center"/>
    </xf>
    <xf numFmtId="0" fontId="62" fillId="4" borderId="0" xfId="3" applyFont="1" applyFill="1">
      <alignment vertical="center"/>
    </xf>
    <xf numFmtId="0" fontId="65" fillId="0" borderId="0" xfId="3" applyFont="1">
      <alignment vertical="center"/>
    </xf>
    <xf numFmtId="0" fontId="66" fillId="0" borderId="0" xfId="3" applyFont="1">
      <alignment vertical="center"/>
    </xf>
    <xf numFmtId="0" fontId="68" fillId="22" borderId="7" xfId="4" applyFont="1" applyFill="1" applyBorder="1" applyAlignment="1">
      <alignment horizontal="center" vertical="center" wrapText="1"/>
    </xf>
    <xf numFmtId="0" fontId="68" fillId="22" borderId="7" xfId="4" applyFont="1" applyFill="1" applyBorder="1" applyAlignment="1">
      <alignment horizontal="center" vertical="center"/>
    </xf>
    <xf numFmtId="0" fontId="64" fillId="0" borderId="7" xfId="4" applyFont="1" applyBorder="1" applyAlignment="1">
      <alignment horizontal="center" vertical="center" wrapText="1"/>
    </xf>
    <xf numFmtId="14" fontId="64" fillId="0" borderId="7" xfId="4" applyNumberFormat="1" applyFont="1" applyBorder="1" applyAlignment="1">
      <alignment horizontal="center" vertical="center" wrapText="1"/>
    </xf>
    <xf numFmtId="0" fontId="64" fillId="0" borderId="7" xfId="4" applyFont="1" applyBorder="1" applyAlignment="1">
      <alignment horizontal="justify" vertical="center" wrapText="1"/>
    </xf>
    <xf numFmtId="177" fontId="64" fillId="0" borderId="7" xfId="4" applyNumberFormat="1" applyFont="1" applyBorder="1" applyAlignment="1">
      <alignment horizontal="center" vertical="center" wrapText="1"/>
    </xf>
    <xf numFmtId="177" fontId="64" fillId="0" borderId="7" xfId="3" applyNumberFormat="1" applyFont="1" applyBorder="1" applyAlignment="1">
      <alignment horizontal="center" vertical="center" wrapText="1"/>
    </xf>
    <xf numFmtId="14" fontId="64" fillId="0" borderId="7" xfId="3" applyNumberFormat="1" applyFont="1" applyBorder="1" applyAlignment="1">
      <alignment horizontal="center" vertical="center" wrapText="1"/>
    </xf>
    <xf numFmtId="0" fontId="64" fillId="0" borderId="7" xfId="3" applyFont="1" applyBorder="1" applyAlignment="1">
      <alignment horizontal="center" vertical="center" wrapText="1"/>
    </xf>
    <xf numFmtId="0" fontId="64" fillId="0" borderId="7" xfId="4" applyFont="1" applyBorder="1" applyAlignment="1">
      <alignment horizontal="justify" vertical="center"/>
    </xf>
    <xf numFmtId="0" fontId="64" fillId="0" borderId="7" xfId="4" applyFont="1" applyBorder="1">
      <alignment vertical="center"/>
    </xf>
    <xf numFmtId="0" fontId="64" fillId="0" borderId="0" xfId="4" applyFont="1">
      <alignment vertical="center"/>
    </xf>
    <xf numFmtId="0" fontId="62" fillId="0" borderId="0" xfId="4" applyFont="1">
      <alignment vertical="center"/>
    </xf>
    <xf numFmtId="0" fontId="19" fillId="0" borderId="0" xfId="4" applyFont="1">
      <alignment vertical="center"/>
    </xf>
    <xf numFmtId="180" fontId="32" fillId="16" borderId="0" xfId="0" applyNumberFormat="1" applyFont="1" applyFill="1" applyAlignment="1">
      <alignment vertical="center"/>
    </xf>
    <xf numFmtId="180" fontId="32" fillId="16" borderId="0" xfId="0" applyNumberFormat="1" applyFont="1" applyFill="1" applyAlignment="1">
      <alignment vertical="top"/>
    </xf>
    <xf numFmtId="180" fontId="35" fillId="16" borderId="0" xfId="1" applyNumberFormat="1" applyFont="1" applyFill="1" applyBorder="1" applyAlignment="1">
      <alignment horizontal="right"/>
    </xf>
    <xf numFmtId="180" fontId="19" fillId="0" borderId="23" xfId="0" applyNumberFormat="1" applyFont="1" applyBorder="1" applyAlignment="1" applyProtection="1">
      <alignment horizontal="center" vertical="top"/>
      <protection locked="0"/>
    </xf>
    <xf numFmtId="180" fontId="19" fillId="0" borderId="24" xfId="0" applyNumberFormat="1" applyFont="1" applyBorder="1" applyAlignment="1" applyProtection="1">
      <alignment horizontal="center" vertical="top"/>
      <protection locked="0"/>
    </xf>
    <xf numFmtId="180" fontId="19" fillId="0" borderId="5" xfId="0" applyNumberFormat="1" applyFont="1" applyBorder="1" applyAlignment="1" applyProtection="1">
      <alignment horizontal="center" vertical="top"/>
      <protection locked="0"/>
    </xf>
    <xf numFmtId="180" fontId="32" fillId="16" borderId="0" xfId="0" applyNumberFormat="1" applyFont="1" applyFill="1" applyAlignment="1">
      <alignment horizontal="center" vertical="top"/>
    </xf>
    <xf numFmtId="10" fontId="19" fillId="0" borderId="23" xfId="2" applyNumberFormat="1" applyFont="1" applyFill="1" applyBorder="1" applyAlignment="1" applyProtection="1">
      <alignment horizontal="right" vertical="top"/>
      <protection locked="0"/>
    </xf>
    <xf numFmtId="10" fontId="19" fillId="16" borderId="23" xfId="2" applyNumberFormat="1" applyFont="1" applyFill="1" applyBorder="1" applyAlignment="1" applyProtection="1">
      <alignment horizontal="right" vertical="top"/>
      <protection locked="0"/>
    </xf>
    <xf numFmtId="10" fontId="40" fillId="16" borderId="23" xfId="2" applyNumberFormat="1" applyFont="1" applyFill="1" applyBorder="1" applyAlignment="1" applyProtection="1">
      <alignment horizontal="right" vertical="top"/>
      <protection locked="0"/>
    </xf>
    <xf numFmtId="0" fontId="42" fillId="16" borderId="0" xfId="0" applyFont="1" applyFill="1" applyAlignment="1">
      <alignment horizontal="left" vertical="center"/>
    </xf>
    <xf numFmtId="0" fontId="62" fillId="0" borderId="33" xfId="3" applyFont="1" applyBorder="1" applyAlignment="1">
      <alignment horizontal="center" vertical="center"/>
    </xf>
    <xf numFmtId="0" fontId="62" fillId="0" borderId="34" xfId="3" applyFont="1" applyBorder="1" applyAlignment="1">
      <alignment horizontal="center" vertical="center"/>
    </xf>
    <xf numFmtId="14" fontId="62" fillId="0" borderId="36" xfId="3" applyNumberFormat="1" applyFont="1" applyBorder="1" applyAlignment="1">
      <alignment horizontal="center" vertical="center"/>
    </xf>
    <xf numFmtId="14" fontId="62" fillId="0" borderId="37" xfId="3" applyNumberFormat="1" applyFont="1" applyBorder="1" applyAlignment="1">
      <alignment horizontal="center" vertical="center"/>
    </xf>
    <xf numFmtId="0" fontId="62" fillId="0" borderId="39" xfId="3" applyFont="1" applyBorder="1" applyAlignment="1">
      <alignment horizontal="center" vertical="center"/>
    </xf>
    <xf numFmtId="0" fontId="62" fillId="0" borderId="40" xfId="3" applyFont="1" applyBorder="1" applyAlignment="1">
      <alignment horizontal="center" vertical="center"/>
    </xf>
    <xf numFmtId="0" fontId="67" fillId="0" borderId="0" xfId="4" applyFont="1" applyAlignment="1">
      <alignment horizontal="center" vertical="center"/>
    </xf>
    <xf numFmtId="0" fontId="42" fillId="16" borderId="0" xfId="0" applyFont="1" applyFill="1" applyAlignment="1">
      <alignment horizontal="left" vertical="center"/>
    </xf>
    <xf numFmtId="0" fontId="43" fillId="18" borderId="27" xfId="0" applyFont="1" applyFill="1" applyBorder="1" applyAlignment="1">
      <alignment horizontal="left" vertical="center" wrapText="1"/>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0" fontId="18" fillId="8" borderId="2" xfId="0" applyFont="1" applyFill="1" applyBorder="1" applyAlignment="1">
      <alignment horizontal="center" vertical="center"/>
    </xf>
    <xf numFmtId="0" fontId="18" fillId="17" borderId="2" xfId="0" applyFont="1" applyFill="1" applyBorder="1" applyAlignment="1">
      <alignment horizontal="center" vertical="center"/>
    </xf>
    <xf numFmtId="10" fontId="18" fillId="18" borderId="2" xfId="0" applyNumberFormat="1" applyFont="1" applyFill="1" applyBorder="1" applyAlignment="1">
      <alignment horizontal="center" vertical="center" wrapText="1"/>
    </xf>
    <xf numFmtId="10" fontId="18" fillId="10" borderId="2" xfId="0" applyNumberFormat="1" applyFont="1" applyFill="1" applyBorder="1" applyAlignment="1">
      <alignment horizontal="center" vertical="center" wrapText="1"/>
    </xf>
    <xf numFmtId="0" fontId="18" fillId="15" borderId="1" xfId="0" applyFont="1" applyFill="1" applyBorder="1" applyAlignment="1">
      <alignment horizontal="center" vertical="center" wrapText="1"/>
    </xf>
    <xf numFmtId="0" fontId="18" fillId="15" borderId="0" xfId="0" applyFont="1" applyFill="1" applyAlignment="1">
      <alignment horizontal="center" vertical="center" wrapText="1"/>
    </xf>
    <xf numFmtId="0" fontId="18" fillId="15" borderId="2" xfId="0" applyFont="1" applyFill="1" applyBorder="1" applyAlignment="1">
      <alignment horizontal="center" vertical="center"/>
    </xf>
    <xf numFmtId="0" fontId="18" fillId="15" borderId="16" xfId="0" applyFont="1" applyFill="1" applyBorder="1" applyAlignment="1">
      <alignment horizontal="center" vertical="center"/>
    </xf>
    <xf numFmtId="0" fontId="18" fillId="15" borderId="2" xfId="0" applyFont="1" applyFill="1" applyBorder="1" applyAlignment="1">
      <alignment horizontal="center" vertical="center" wrapText="1"/>
    </xf>
    <xf numFmtId="0" fontId="18" fillId="18" borderId="2" xfId="0" applyFont="1" applyFill="1" applyBorder="1" applyAlignment="1">
      <alignment horizontal="center" vertical="center"/>
    </xf>
    <xf numFmtId="0" fontId="18" fillId="8" borderId="3" xfId="0" applyFont="1" applyFill="1" applyBorder="1" applyAlignment="1">
      <alignment horizontal="center" vertical="center"/>
    </xf>
    <xf numFmtId="0" fontId="18" fillId="17" borderId="0" xfId="0" applyFont="1" applyFill="1" applyAlignment="1">
      <alignment horizontal="center" vertical="center"/>
    </xf>
    <xf numFmtId="0" fontId="18" fillId="17" borderId="3" xfId="0" applyFont="1" applyFill="1" applyBorder="1" applyAlignment="1">
      <alignment horizontal="center" vertical="center"/>
    </xf>
    <xf numFmtId="10" fontId="18" fillId="8" borderId="3" xfId="0" applyNumberFormat="1" applyFont="1" applyFill="1" applyBorder="1" applyAlignment="1">
      <alignment horizontal="center" vertical="center" wrapText="1"/>
    </xf>
    <xf numFmtId="10" fontId="18" fillId="17" borderId="3" xfId="0" applyNumberFormat="1" applyFont="1" applyFill="1" applyBorder="1" applyAlignment="1">
      <alignment horizontal="center" vertical="center" wrapText="1"/>
    </xf>
    <xf numFmtId="0" fontId="35" fillId="16" borderId="0" xfId="0" applyFont="1" applyFill="1" applyAlignment="1">
      <alignment horizontal="center" wrapText="1"/>
    </xf>
    <xf numFmtId="176" fontId="18" fillId="8" borderId="2" xfId="0" applyNumberFormat="1" applyFont="1" applyFill="1" applyBorder="1" applyAlignment="1">
      <alignment horizontal="center" vertical="center"/>
    </xf>
    <xf numFmtId="176" fontId="18" fillId="17" borderId="2" xfId="0" applyNumberFormat="1" applyFont="1" applyFill="1" applyBorder="1" applyAlignment="1">
      <alignment horizontal="center" vertical="center"/>
    </xf>
    <xf numFmtId="180" fontId="18" fillId="8" borderId="2" xfId="0" applyNumberFormat="1" applyFont="1" applyFill="1" applyBorder="1" applyAlignment="1">
      <alignment horizontal="center" vertical="center"/>
    </xf>
    <xf numFmtId="180" fontId="18" fillId="17" borderId="2" xfId="0" applyNumberFormat="1" applyFont="1" applyFill="1" applyBorder="1" applyAlignment="1">
      <alignment horizontal="center" vertical="center"/>
    </xf>
    <xf numFmtId="178" fontId="18" fillId="18" borderId="2" xfId="0" applyNumberFormat="1" applyFont="1" applyFill="1" applyBorder="1" applyAlignment="1">
      <alignment horizontal="center" vertical="center" wrapText="1"/>
    </xf>
    <xf numFmtId="178" fontId="18" fillId="10" borderId="2" xfId="0" applyNumberFormat="1" applyFont="1" applyFill="1" applyBorder="1" applyAlignment="1">
      <alignment horizontal="center" vertical="center" wrapText="1"/>
    </xf>
    <xf numFmtId="177" fontId="18" fillId="18" borderId="2" xfId="0" applyNumberFormat="1" applyFont="1" applyFill="1" applyBorder="1" applyAlignment="1">
      <alignment horizontal="center" vertical="center" wrapText="1"/>
    </xf>
    <xf numFmtId="177" fontId="18" fillId="17" borderId="2" xfId="0" applyNumberFormat="1" applyFont="1" applyFill="1" applyBorder="1" applyAlignment="1">
      <alignment horizontal="center" vertical="center" wrapText="1"/>
    </xf>
    <xf numFmtId="1" fontId="18" fillId="18" borderId="2" xfId="0" applyNumberFormat="1" applyFont="1" applyFill="1" applyBorder="1" applyAlignment="1">
      <alignment horizontal="center" vertical="center" wrapText="1"/>
    </xf>
    <xf numFmtId="1" fontId="18" fillId="17" borderId="2" xfId="0" applyNumberFormat="1" applyFont="1" applyFill="1" applyBorder="1" applyAlignment="1">
      <alignment horizontal="center" vertical="center" wrapText="1"/>
    </xf>
    <xf numFmtId="178" fontId="18" fillId="18" borderId="2" xfId="0" applyNumberFormat="1" applyFont="1" applyFill="1" applyBorder="1" applyAlignment="1">
      <alignment horizontal="center" vertical="top" wrapText="1"/>
    </xf>
    <xf numFmtId="178" fontId="18" fillId="10" borderId="2" xfId="0" applyNumberFormat="1" applyFont="1" applyFill="1" applyBorder="1" applyAlignment="1">
      <alignment horizontal="center" vertical="top" wrapText="1"/>
    </xf>
    <xf numFmtId="180" fontId="18" fillId="8" borderId="2" xfId="0" applyNumberFormat="1" applyFont="1" applyFill="1" applyBorder="1" applyAlignment="1">
      <alignment horizontal="center" vertical="center" wrapText="1"/>
    </xf>
    <xf numFmtId="14" fontId="18" fillId="8" borderId="2" xfId="0" applyNumberFormat="1" applyFont="1" applyFill="1" applyBorder="1" applyAlignment="1">
      <alignment horizontal="center" vertical="center"/>
    </xf>
    <xf numFmtId="14" fontId="18" fillId="17" borderId="2" xfId="0" applyNumberFormat="1" applyFont="1" applyFill="1" applyBorder="1" applyAlignment="1">
      <alignment horizontal="center" vertical="center"/>
    </xf>
    <xf numFmtId="0" fontId="43" fillId="18" borderId="26" xfId="0" applyFont="1" applyFill="1" applyBorder="1" applyAlignment="1">
      <alignment horizontal="left" vertical="center" wrapText="1"/>
    </xf>
    <xf numFmtId="0" fontId="9" fillId="0" borderId="0" xfId="0" applyFont="1" applyAlignment="1" applyProtection="1">
      <alignment horizontal="left" vertical="center" wrapText="1"/>
      <protection locked="0"/>
    </xf>
    <xf numFmtId="0" fontId="9" fillId="0" borderId="0" xfId="0" applyFont="1" applyAlignment="1" applyProtection="1">
      <alignment horizontal="left" vertical="center"/>
      <protection locked="0"/>
    </xf>
    <xf numFmtId="0" fontId="6" fillId="0" borderId="0" xfId="0" applyFont="1" applyAlignment="1">
      <alignment horizontal="left" vertical="center"/>
    </xf>
    <xf numFmtId="0" fontId="5" fillId="0" borderId="0" xfId="0" applyFont="1" applyAlignment="1">
      <alignment horizontal="left" vertical="center"/>
    </xf>
    <xf numFmtId="14" fontId="10" fillId="2" borderId="0" xfId="0" applyNumberFormat="1" applyFont="1" applyFill="1" applyAlignment="1">
      <alignment horizontal="right" vertical="center"/>
    </xf>
    <xf numFmtId="0" fontId="21" fillId="0" borderId="0" xfId="0" applyFont="1" applyAlignment="1" applyProtection="1">
      <alignment horizontal="left" vertical="center" wrapText="1"/>
      <protection locked="0"/>
    </xf>
    <xf numFmtId="10" fontId="8" fillId="5" borderId="3" xfId="0" applyNumberFormat="1" applyFont="1" applyFill="1" applyBorder="1" applyAlignment="1">
      <alignment horizontal="left" wrapText="1"/>
    </xf>
    <xf numFmtId="10" fontId="8" fillId="0" borderId="0" xfId="0" applyNumberFormat="1" applyFont="1"/>
    <xf numFmtId="14" fontId="8" fillId="2" borderId="0" xfId="0" applyNumberFormat="1" applyFont="1" applyFill="1" applyAlignment="1">
      <alignment horizontal="left" vertical="top" wrapText="1"/>
    </xf>
    <xf numFmtId="14" fontId="13" fillId="6" borderId="14" xfId="0" applyNumberFormat="1" applyFont="1" applyFill="1" applyBorder="1" applyAlignment="1" applyProtection="1">
      <alignment horizontal="center" vertical="center"/>
      <protection locked="0"/>
    </xf>
    <xf numFmtId="0" fontId="8" fillId="0" borderId="18" xfId="0" applyFont="1" applyBorder="1" applyAlignment="1" applyProtection="1">
      <alignment horizontal="left" vertical="top" wrapText="1"/>
      <protection locked="0"/>
    </xf>
    <xf numFmtId="0" fontId="28" fillId="14" borderId="0" xfId="0" applyFont="1" applyFill="1" applyAlignment="1">
      <alignment horizontal="left" vertical="top" wrapText="1"/>
    </xf>
    <xf numFmtId="0" fontId="38" fillId="19" borderId="22" xfId="1" applyFont="1" applyFill="1" applyBorder="1" applyAlignment="1">
      <alignment vertical="center"/>
    </xf>
    <xf numFmtId="0" fontId="0" fillId="19" borderId="22" xfId="0" applyFill="1" applyBorder="1" applyAlignment="1">
      <alignment vertical="center"/>
    </xf>
    <xf numFmtId="0" fontId="29" fillId="19" borderId="19" xfId="0" applyFont="1" applyFill="1" applyBorder="1" applyAlignment="1">
      <alignment horizontal="center" vertical="center"/>
    </xf>
    <xf numFmtId="0" fontId="29" fillId="19" borderId="20" xfId="0" applyFont="1" applyFill="1" applyBorder="1" applyAlignment="1">
      <alignment horizontal="center" vertical="center"/>
    </xf>
    <xf numFmtId="0" fontId="29" fillId="19" borderId="21" xfId="0" applyFont="1" applyFill="1" applyBorder="1" applyAlignment="1">
      <alignment horizontal="center" vertical="center"/>
    </xf>
    <xf numFmtId="0" fontId="29" fillId="19" borderId="22" xfId="0" applyFont="1" applyFill="1" applyBorder="1" applyAlignment="1">
      <alignment horizontal="center" vertical="center"/>
    </xf>
    <xf numFmtId="0" fontId="45" fillId="19" borderId="20" xfId="1" applyFont="1" applyFill="1" applyBorder="1" applyAlignment="1">
      <alignment horizontal="right"/>
    </xf>
    <xf numFmtId="0" fontId="0" fillId="19" borderId="20" xfId="0" applyFill="1" applyBorder="1" applyAlignment="1">
      <alignment horizontal="right"/>
    </xf>
    <xf numFmtId="0" fontId="52" fillId="0" borderId="0" xfId="0" applyFont="1" applyAlignment="1">
      <alignment horizontal="left" vertical="top" wrapText="1"/>
    </xf>
    <xf numFmtId="0" fontId="22" fillId="0" borderId="0" xfId="0" applyFont="1" applyAlignment="1">
      <alignment horizontal="left" vertical="top" wrapText="1"/>
    </xf>
    <xf numFmtId="0" fontId="8" fillId="0" borderId="18" xfId="0" applyFont="1" applyBorder="1" applyAlignment="1" applyProtection="1">
      <alignment horizontal="left" vertical="center" wrapText="1"/>
      <protection locked="0"/>
    </xf>
  </cellXfs>
  <cellStyles count="6">
    <cellStyle name="백분율" xfId="2" builtinId="5"/>
    <cellStyle name="표준" xfId="0" builtinId="0"/>
    <cellStyle name="표준 2" xfId="5"/>
    <cellStyle name="표준 2 2" xfId="3"/>
    <cellStyle name="표준 3" xfId="4"/>
    <cellStyle name="하이퍼링크" xfId="1" builtinId="8"/>
  </cellStyles>
  <dxfs count="3">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11</xdr:row>
      <xdr:rowOff>142875</xdr:rowOff>
    </xdr:from>
    <xdr:to>
      <xdr:col>15</xdr:col>
      <xdr:colOff>609600</xdr:colOff>
      <xdr:row>29</xdr:row>
      <xdr:rowOff>28575</xdr:rowOff>
    </xdr:to>
    <xdr:pic>
      <xdr:nvPicPr>
        <xdr:cNvPr id="2" name="Picture 8" descr="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2771775"/>
          <a:ext cx="9829800" cy="3657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378199</xdr:colOff>
      <xdr:row>26</xdr:row>
      <xdr:rowOff>47624</xdr:rowOff>
    </xdr:from>
    <xdr:to>
      <xdr:col>12</xdr:col>
      <xdr:colOff>409575</xdr:colOff>
      <xdr:row>30</xdr:row>
      <xdr:rowOff>25774</xdr:rowOff>
    </xdr:to>
    <xdr:sp macro="" textlink="">
      <xdr:nvSpPr>
        <xdr:cNvPr id="3" name="Text Box 6">
          <a:extLst>
            <a:ext uri="{FF2B5EF4-FFF2-40B4-BE49-F238E27FC236}">
              <a16:creationId xmlns:a16="http://schemas.microsoft.com/office/drawing/2014/main" id="{00000000-0008-0000-0000-000003000000}"/>
            </a:ext>
          </a:extLst>
        </xdr:cNvPr>
        <xdr:cNvSpPr txBox="1">
          <a:spLocks noChangeArrowheads="1"/>
        </xdr:cNvSpPr>
      </xdr:nvSpPr>
      <xdr:spPr bwMode="auto">
        <a:xfrm>
          <a:off x="1749799" y="5819774"/>
          <a:ext cx="5879726" cy="816350"/>
        </a:xfrm>
        <a:prstGeom prst="rect">
          <a:avLst/>
        </a:prstGeom>
        <a:noFill/>
        <a:ln w="9525">
          <a:noFill/>
          <a:miter lim="800000"/>
          <a:headEnd/>
          <a:tailEnd/>
        </a:ln>
      </xdr:spPr>
      <xdr:txBody>
        <a:bodyPr vertOverflow="clip" wrap="square" lIns="91440" tIns="45720" rIns="91440" bIns="45720" anchor="ctr" upright="1"/>
        <a:lstStyle/>
        <a:p>
          <a:pPr algn="ctr" rtl="0">
            <a:defRPr sz="1000"/>
          </a:pPr>
          <a:r>
            <a:rPr lang="en-US" altLang="ko-KR" sz="900" b="0" i="0" u="none" strike="noStrike" baseline="0">
              <a:solidFill>
                <a:srgbClr val="000000"/>
              </a:solidFill>
              <a:latin typeface="+mn-ea"/>
              <a:ea typeface="+mn-ea"/>
            </a:rPr>
            <a:t>CJ</a:t>
          </a:r>
          <a:r>
            <a:rPr lang="ko-KR" altLang="en-US" sz="900" b="0" i="0" u="none" strike="noStrike" baseline="0">
              <a:solidFill>
                <a:srgbClr val="000000"/>
              </a:solidFill>
              <a:latin typeface="+mn-ea"/>
              <a:ea typeface="+mn-ea"/>
            </a:rPr>
            <a:t>올리브네트웍스의 사전 승인 없이 본 내용의 전부 또는 일부에 대한 복사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전재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배포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사용을 금합니다</a:t>
          </a:r>
          <a:r>
            <a:rPr lang="en-US" altLang="ko-KR" sz="900" b="0" i="0" u="none" strike="noStrike" baseline="0">
              <a:solidFill>
                <a:srgbClr val="000000"/>
              </a:solidFill>
              <a:latin typeface="+mn-ea"/>
              <a:ea typeface="+mn-ea"/>
            </a:rPr>
            <a:t>.</a:t>
          </a:r>
        </a:p>
      </xdr:txBody>
    </xdr:sp>
    <xdr:clientData/>
  </xdr:twoCellAnchor>
  <xdr:twoCellAnchor editAs="oneCell">
    <xdr:from>
      <xdr:col>12</xdr:col>
      <xdr:colOff>676275</xdr:colOff>
      <xdr:row>25</xdr:row>
      <xdr:rowOff>28575</xdr:rowOff>
    </xdr:from>
    <xdr:to>
      <xdr:col>15</xdr:col>
      <xdr:colOff>257175</xdr:colOff>
      <xdr:row>27</xdr:row>
      <xdr:rowOff>142875</xdr:rowOff>
    </xdr:to>
    <xdr:pic>
      <xdr:nvPicPr>
        <xdr:cNvPr id="4" name="그림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6225" y="5591175"/>
          <a:ext cx="16383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2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2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2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2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2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2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2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2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2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2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2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2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2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2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2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2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2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2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2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2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2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2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2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2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2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2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2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2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2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2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2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2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2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2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2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2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2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2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2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2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2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2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2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2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2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2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2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2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2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2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2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2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2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2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2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2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2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2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2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2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2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2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2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2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2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2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2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2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2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2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2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2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2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2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2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2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2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2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2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2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2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2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2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2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2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2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2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2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2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2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2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2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2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2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2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2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2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2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2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2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2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2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2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2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2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2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2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2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2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2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2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2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2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2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2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2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2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2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2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2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2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2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2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2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2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2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2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2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2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2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2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2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2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2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2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2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2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2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2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2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2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2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2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2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2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2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2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2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2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2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2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2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2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2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2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2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2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2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2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2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2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2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2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2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2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2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2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2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2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2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2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2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2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2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2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2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2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2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2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2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2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2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2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2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2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2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2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2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2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2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2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2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2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2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2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2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2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2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2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2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2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2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2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2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2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2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2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2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2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2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2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2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2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2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2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2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2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2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2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2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2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2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2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2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2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2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2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2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2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2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2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2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2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2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2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2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2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2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2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2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2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2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2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2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2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2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2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2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2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2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2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2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2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2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2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2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2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2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2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2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2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2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2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2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2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2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2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2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2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2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2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2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2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2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2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2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2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2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2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2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2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2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2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2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2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2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2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2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2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2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2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2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2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2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2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2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2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2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2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2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2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2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2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2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2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2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2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2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2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2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2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2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2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2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2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2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2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2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2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2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2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2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2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2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2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2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2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2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2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2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2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2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2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2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2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2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2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2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2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2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2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2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2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2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2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2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2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2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2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2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2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2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2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2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2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2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2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2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2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2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2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2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2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2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2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2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2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2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2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2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2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2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2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2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2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2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2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2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2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2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2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2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2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2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2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2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2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2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2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2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2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2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2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2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2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2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2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2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2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2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2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2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2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2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2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2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2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2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2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2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2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2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2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2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2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2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2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2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2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2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2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2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2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2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2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2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2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2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2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2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2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2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2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2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2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2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2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2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2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2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2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2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2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2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2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2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2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2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2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2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2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2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2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2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2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2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2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2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2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2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2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2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2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2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2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2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2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2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2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2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2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2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2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2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2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2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2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2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2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2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2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2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2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2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2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2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2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2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2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2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2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2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2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2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2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2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2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2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2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2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2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2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2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2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2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2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2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2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2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2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2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2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2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2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2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2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2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2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2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2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2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2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2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2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2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2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2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2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2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2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2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2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2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2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2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2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2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2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2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2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2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2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2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2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2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2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2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2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2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2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2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2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2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2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2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2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2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2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2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2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2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2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2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2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2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2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2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2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2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2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2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2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2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2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2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2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2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2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2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2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2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2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2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2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2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2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2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2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2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2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2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2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2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2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2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2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2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2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2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2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2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2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2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2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2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2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2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2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2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2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2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2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2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2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2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2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2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2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2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2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2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2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2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2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2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2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2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2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2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6" name="연결선: 꺾임 64975">
          <a:extLst>
            <a:ext uri="{FF2B5EF4-FFF2-40B4-BE49-F238E27FC236}">
              <a16:creationId xmlns:a16="http://schemas.microsoft.com/office/drawing/2014/main" id="{00000000-0008-0000-0200-0000D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7" name="연결선: 꺾임 64976">
          <a:extLst>
            <a:ext uri="{FF2B5EF4-FFF2-40B4-BE49-F238E27FC236}">
              <a16:creationId xmlns:a16="http://schemas.microsoft.com/office/drawing/2014/main" id="{00000000-0008-0000-0200-0000D1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연결선: 꺾임 64977">
          <a:extLst>
            <a:ext uri="{FF2B5EF4-FFF2-40B4-BE49-F238E27FC236}">
              <a16:creationId xmlns:a16="http://schemas.microsoft.com/office/drawing/2014/main" id="{00000000-0008-0000-02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연결선: 꺾임 64978">
          <a:extLst>
            <a:ext uri="{FF2B5EF4-FFF2-40B4-BE49-F238E27FC236}">
              <a16:creationId xmlns:a16="http://schemas.microsoft.com/office/drawing/2014/main" id="{00000000-0008-0000-02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연결선: 꺾임 64979">
          <a:extLst>
            <a:ext uri="{FF2B5EF4-FFF2-40B4-BE49-F238E27FC236}">
              <a16:creationId xmlns:a16="http://schemas.microsoft.com/office/drawing/2014/main" id="{00000000-0008-0000-02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4" name="연결선: 꺾임 64993">
          <a:extLst>
            <a:ext uri="{FF2B5EF4-FFF2-40B4-BE49-F238E27FC236}">
              <a16:creationId xmlns:a16="http://schemas.microsoft.com/office/drawing/2014/main" id="{00000000-0008-0000-0200-0000E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5" name="연결선: 꺾임 64994">
          <a:extLst>
            <a:ext uri="{FF2B5EF4-FFF2-40B4-BE49-F238E27FC236}">
              <a16:creationId xmlns:a16="http://schemas.microsoft.com/office/drawing/2014/main" id="{00000000-0008-0000-0200-0000E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6" name="연결선: 꺾임 64995">
          <a:extLst>
            <a:ext uri="{FF2B5EF4-FFF2-40B4-BE49-F238E27FC236}">
              <a16:creationId xmlns:a16="http://schemas.microsoft.com/office/drawing/2014/main" id="{00000000-0008-0000-0200-0000E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7" name="연결선: 꺾임 64996">
          <a:extLst>
            <a:ext uri="{FF2B5EF4-FFF2-40B4-BE49-F238E27FC236}">
              <a16:creationId xmlns:a16="http://schemas.microsoft.com/office/drawing/2014/main" id="{00000000-0008-0000-0200-0000E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8" name="연결선: 꺾임 64997">
          <a:extLst>
            <a:ext uri="{FF2B5EF4-FFF2-40B4-BE49-F238E27FC236}">
              <a16:creationId xmlns:a16="http://schemas.microsoft.com/office/drawing/2014/main" id="{00000000-0008-0000-0200-0000E6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181</xdr:row>
      <xdr:rowOff>152399</xdr:rowOff>
    </xdr:to>
    <xdr:cxnSp macro="">
      <xdr:nvCxnSpPr>
        <xdr:cNvPr id="68901" name="직선 화살표 연결선 68900">
          <a:extLst>
            <a:ext uri="{FF2B5EF4-FFF2-40B4-BE49-F238E27FC236}">
              <a16:creationId xmlns:a16="http://schemas.microsoft.com/office/drawing/2014/main" id="{C00DB453-D4AD-4D38-8EEB-6A44B9546175}"/>
            </a:ext>
          </a:extLst>
        </xdr:cNvPr>
        <xdr:cNvCxnSpPr/>
      </xdr:nvCxnSpPr>
      <xdr:spPr>
        <a:xfrm>
          <a:off x="22959061" y="815213"/>
          <a:ext cx="0" cy="27127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181</xdr:row>
      <xdr:rowOff>152399</xdr:rowOff>
    </xdr:to>
    <xdr:cxnSp macro="">
      <xdr:nvCxnSpPr>
        <xdr:cNvPr id="68902" name="직선 화살표 연결선 68901">
          <a:extLst>
            <a:ext uri="{FF2B5EF4-FFF2-40B4-BE49-F238E27FC236}">
              <a16:creationId xmlns:a16="http://schemas.microsoft.com/office/drawing/2014/main" id="{79C21CDF-4665-446E-B6A2-6BC8871592F1}"/>
            </a:ext>
          </a:extLst>
        </xdr:cNvPr>
        <xdr:cNvCxnSpPr/>
      </xdr:nvCxnSpPr>
      <xdr:spPr>
        <a:xfrm>
          <a:off x="35151061" y="815213"/>
          <a:ext cx="0" cy="27127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xdr:colOff>
      <xdr:row>3</xdr:row>
      <xdr:rowOff>76073</xdr:rowOff>
    </xdr:from>
    <xdr:to>
      <xdr:col>79</xdr:col>
      <xdr:colOff>1</xdr:colOff>
      <xdr:row>181</xdr:row>
      <xdr:rowOff>152399</xdr:rowOff>
    </xdr:to>
    <xdr:cxnSp macro="">
      <xdr:nvCxnSpPr>
        <xdr:cNvPr id="68903" name="직선 화살표 연결선 68902">
          <a:extLst>
            <a:ext uri="{FF2B5EF4-FFF2-40B4-BE49-F238E27FC236}">
              <a16:creationId xmlns:a16="http://schemas.microsoft.com/office/drawing/2014/main" id="{20BC13C7-839F-4B4B-B2B8-4C75ACD46FA0}"/>
            </a:ext>
          </a:extLst>
        </xdr:cNvPr>
        <xdr:cNvCxnSpPr/>
      </xdr:nvCxnSpPr>
      <xdr:spPr>
        <a:xfrm>
          <a:off x="47343061" y="815213"/>
          <a:ext cx="0" cy="27127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3</xdr:row>
      <xdr:rowOff>76073</xdr:rowOff>
    </xdr:from>
    <xdr:to>
      <xdr:col>33</xdr:col>
      <xdr:colOff>62049</xdr:colOff>
      <xdr:row>181</xdr:row>
      <xdr:rowOff>152399</xdr:rowOff>
    </xdr:to>
    <xdr:cxnSp macro="">
      <xdr:nvCxnSpPr>
        <xdr:cNvPr id="68904" name="직선 화살표 연결선 68903">
          <a:extLst>
            <a:ext uri="{FF2B5EF4-FFF2-40B4-BE49-F238E27FC236}">
              <a16:creationId xmlns:a16="http://schemas.microsoft.com/office/drawing/2014/main" id="{D7BE6F34-A356-4695-B6FE-9D8C131481B1}"/>
            </a:ext>
          </a:extLst>
        </xdr:cNvPr>
        <xdr:cNvCxnSpPr/>
      </xdr:nvCxnSpPr>
      <xdr:spPr>
        <a:xfrm>
          <a:off x="11118669" y="815213"/>
          <a:ext cx="0" cy="271273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124098</xdr:colOff>
      <xdr:row>181</xdr:row>
      <xdr:rowOff>19049</xdr:rowOff>
    </xdr:from>
    <xdr:to>
      <xdr:col>82</xdr:col>
      <xdr:colOff>125367</xdr:colOff>
      <xdr:row>181</xdr:row>
      <xdr:rowOff>133349</xdr:rowOff>
    </xdr:to>
    <xdr:sp macro="" textlink="">
      <xdr:nvSpPr>
        <xdr:cNvPr id="68905" name="178">
          <a:extLst>
            <a:ext uri="{FF2B5EF4-FFF2-40B4-BE49-F238E27FC236}">
              <a16:creationId xmlns:a16="http://schemas.microsoft.com/office/drawing/2014/main" id="{0F862C05-DB00-4BBF-8B9D-4DE19AED8C4D}"/>
            </a:ext>
          </a:extLst>
        </xdr:cNvPr>
        <xdr:cNvSpPr/>
      </xdr:nvSpPr>
      <xdr:spPr>
        <a:xfrm>
          <a:off x="17695818" y="27809189"/>
          <a:ext cx="5803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124098</xdr:colOff>
      <xdr:row>181</xdr:row>
      <xdr:rowOff>76199</xdr:rowOff>
    </xdr:from>
    <xdr:to>
      <xdr:col>78</xdr:col>
      <xdr:colOff>124098</xdr:colOff>
      <xdr:row>181</xdr:row>
      <xdr:rowOff>76199</xdr:rowOff>
    </xdr:to>
    <xdr:cxnSp macro="">
      <xdr:nvCxnSpPr>
        <xdr:cNvPr id="68906" name="직선 화살표 연결선 68905">
          <a:extLst>
            <a:ext uri="{FF2B5EF4-FFF2-40B4-BE49-F238E27FC236}">
              <a16:creationId xmlns:a16="http://schemas.microsoft.com/office/drawing/2014/main" id="{EDA31AF1-F032-4884-803D-4806E3D17DAF}"/>
            </a:ext>
          </a:extLst>
        </xdr:cNvPr>
        <xdr:cNvCxnSpPr/>
      </xdr:nvCxnSpPr>
      <xdr:spPr>
        <a:xfrm>
          <a:off x="17695818" y="2786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20682</xdr:colOff>
      <xdr:row>180</xdr:row>
      <xdr:rowOff>19049</xdr:rowOff>
    </xdr:from>
    <xdr:to>
      <xdr:col>76</xdr:col>
      <xdr:colOff>84002</xdr:colOff>
      <xdr:row>180</xdr:row>
      <xdr:rowOff>133349</xdr:rowOff>
    </xdr:to>
    <xdr:sp macro="" textlink="">
      <xdr:nvSpPr>
        <xdr:cNvPr id="68907" name="177">
          <a:extLst>
            <a:ext uri="{FF2B5EF4-FFF2-40B4-BE49-F238E27FC236}">
              <a16:creationId xmlns:a16="http://schemas.microsoft.com/office/drawing/2014/main" id="{BE47888E-3EB0-4956-936D-0C7E28BA90EA}"/>
            </a:ext>
          </a:extLst>
        </xdr:cNvPr>
        <xdr:cNvSpPr/>
      </xdr:nvSpPr>
      <xdr:spPr>
        <a:xfrm>
          <a:off x="17013282" y="27656789"/>
          <a:ext cx="35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20682</xdr:colOff>
      <xdr:row>180</xdr:row>
      <xdr:rowOff>76199</xdr:rowOff>
    </xdr:from>
    <xdr:to>
      <xdr:col>74</xdr:col>
      <xdr:colOff>20682</xdr:colOff>
      <xdr:row>180</xdr:row>
      <xdr:rowOff>76199</xdr:rowOff>
    </xdr:to>
    <xdr:cxnSp macro="">
      <xdr:nvCxnSpPr>
        <xdr:cNvPr id="68908" name="직선 화살표 연결선 68907">
          <a:extLst>
            <a:ext uri="{FF2B5EF4-FFF2-40B4-BE49-F238E27FC236}">
              <a16:creationId xmlns:a16="http://schemas.microsoft.com/office/drawing/2014/main" id="{D7150201-CBB4-4F55-896E-A265140934D4}"/>
            </a:ext>
          </a:extLst>
        </xdr:cNvPr>
        <xdr:cNvCxnSpPr/>
      </xdr:nvCxnSpPr>
      <xdr:spPr>
        <a:xfrm>
          <a:off x="17013282" y="2771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179</xdr:row>
      <xdr:rowOff>19049</xdr:rowOff>
    </xdr:from>
    <xdr:to>
      <xdr:col>75</xdr:col>
      <xdr:colOff>125366</xdr:colOff>
      <xdr:row>179</xdr:row>
      <xdr:rowOff>133349</xdr:rowOff>
    </xdr:to>
    <xdr:sp macro="" textlink="">
      <xdr:nvSpPr>
        <xdr:cNvPr id="68909" name="176">
          <a:extLst>
            <a:ext uri="{FF2B5EF4-FFF2-40B4-BE49-F238E27FC236}">
              <a16:creationId xmlns:a16="http://schemas.microsoft.com/office/drawing/2014/main" id="{E3AE86AB-14FE-4355-9D92-52FA5055CC88}"/>
            </a:ext>
          </a:extLst>
        </xdr:cNvPr>
        <xdr:cNvSpPr/>
      </xdr:nvSpPr>
      <xdr:spPr>
        <a:xfrm>
          <a:off x="16144602" y="275043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179</xdr:row>
      <xdr:rowOff>76199</xdr:rowOff>
    </xdr:from>
    <xdr:to>
      <xdr:col>68</xdr:col>
      <xdr:colOff>20682</xdr:colOff>
      <xdr:row>179</xdr:row>
      <xdr:rowOff>76199</xdr:rowOff>
    </xdr:to>
    <xdr:cxnSp macro="">
      <xdr:nvCxnSpPr>
        <xdr:cNvPr id="68910" name="직선 화살표 연결선 68909">
          <a:extLst>
            <a:ext uri="{FF2B5EF4-FFF2-40B4-BE49-F238E27FC236}">
              <a16:creationId xmlns:a16="http://schemas.microsoft.com/office/drawing/2014/main" id="{397DC5B5-97F7-4432-B307-96E01EF770B2}"/>
            </a:ext>
          </a:extLst>
        </xdr:cNvPr>
        <xdr:cNvCxnSpPr/>
      </xdr:nvCxnSpPr>
      <xdr:spPr>
        <a:xfrm>
          <a:off x="16144602" y="2756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178</xdr:row>
      <xdr:rowOff>19049</xdr:rowOff>
    </xdr:from>
    <xdr:to>
      <xdr:col>82</xdr:col>
      <xdr:colOff>125367</xdr:colOff>
      <xdr:row>178</xdr:row>
      <xdr:rowOff>133349</xdr:rowOff>
    </xdr:to>
    <xdr:sp macro="" textlink="">
      <xdr:nvSpPr>
        <xdr:cNvPr id="68911" name="175">
          <a:extLst>
            <a:ext uri="{FF2B5EF4-FFF2-40B4-BE49-F238E27FC236}">
              <a16:creationId xmlns:a16="http://schemas.microsoft.com/office/drawing/2014/main" id="{678FD189-9C0E-4548-99F7-CD1D0FBF4D3B}"/>
            </a:ext>
          </a:extLst>
        </xdr:cNvPr>
        <xdr:cNvSpPr/>
      </xdr:nvSpPr>
      <xdr:spPr>
        <a:xfrm>
          <a:off x="16144602" y="27351989"/>
          <a:ext cx="21316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178</xdr:row>
      <xdr:rowOff>76199</xdr:rowOff>
    </xdr:from>
    <xdr:to>
      <xdr:col>68</xdr:col>
      <xdr:colOff>20682</xdr:colOff>
      <xdr:row>178</xdr:row>
      <xdr:rowOff>76199</xdr:rowOff>
    </xdr:to>
    <xdr:cxnSp macro="">
      <xdr:nvCxnSpPr>
        <xdr:cNvPr id="68912" name="직선 화살표 연결선 68911">
          <a:extLst>
            <a:ext uri="{FF2B5EF4-FFF2-40B4-BE49-F238E27FC236}">
              <a16:creationId xmlns:a16="http://schemas.microsoft.com/office/drawing/2014/main" id="{0EF109E7-D705-4362-9B9A-A0D10CF49E03}"/>
            </a:ext>
          </a:extLst>
        </xdr:cNvPr>
        <xdr:cNvCxnSpPr/>
      </xdr:nvCxnSpPr>
      <xdr:spPr>
        <a:xfrm>
          <a:off x="16144602" y="2740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177</xdr:row>
      <xdr:rowOff>19049</xdr:rowOff>
    </xdr:from>
    <xdr:to>
      <xdr:col>83</xdr:col>
      <xdr:colOff>42636</xdr:colOff>
      <xdr:row>177</xdr:row>
      <xdr:rowOff>133349</xdr:rowOff>
    </xdr:to>
    <xdr:sp macro="" textlink="">
      <xdr:nvSpPr>
        <xdr:cNvPr id="68913" name="174">
          <a:extLst>
            <a:ext uri="{FF2B5EF4-FFF2-40B4-BE49-F238E27FC236}">
              <a16:creationId xmlns:a16="http://schemas.microsoft.com/office/drawing/2014/main" id="{A211891A-C9F2-46AF-8325-188DDAB8F4FE}"/>
            </a:ext>
          </a:extLst>
        </xdr:cNvPr>
        <xdr:cNvSpPr/>
      </xdr:nvSpPr>
      <xdr:spPr>
        <a:xfrm>
          <a:off x="14841582" y="27199589"/>
          <a:ext cx="34966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177</xdr:row>
      <xdr:rowOff>76199</xdr:rowOff>
    </xdr:from>
    <xdr:to>
      <xdr:col>59</xdr:col>
      <xdr:colOff>20682</xdr:colOff>
      <xdr:row>177</xdr:row>
      <xdr:rowOff>76199</xdr:rowOff>
    </xdr:to>
    <xdr:cxnSp macro="">
      <xdr:nvCxnSpPr>
        <xdr:cNvPr id="68914" name="직선 화살표 연결선 68913">
          <a:extLst>
            <a:ext uri="{FF2B5EF4-FFF2-40B4-BE49-F238E27FC236}">
              <a16:creationId xmlns:a16="http://schemas.microsoft.com/office/drawing/2014/main" id="{A60A495C-9980-4519-A5EF-D4EC81341B7F}"/>
            </a:ext>
          </a:extLst>
        </xdr:cNvPr>
        <xdr:cNvCxnSpPr/>
      </xdr:nvCxnSpPr>
      <xdr:spPr>
        <a:xfrm>
          <a:off x="14841582" y="2725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176</xdr:row>
      <xdr:rowOff>19049</xdr:rowOff>
    </xdr:from>
    <xdr:to>
      <xdr:col>74</xdr:col>
      <xdr:colOff>125368</xdr:colOff>
      <xdr:row>176</xdr:row>
      <xdr:rowOff>133349</xdr:rowOff>
    </xdr:to>
    <xdr:sp macro="" textlink="">
      <xdr:nvSpPr>
        <xdr:cNvPr id="68915" name="173">
          <a:extLst>
            <a:ext uri="{FF2B5EF4-FFF2-40B4-BE49-F238E27FC236}">
              <a16:creationId xmlns:a16="http://schemas.microsoft.com/office/drawing/2014/main" id="{128DF211-C6F4-4C97-8A35-3A5AFCC29BEB}"/>
            </a:ext>
          </a:extLst>
        </xdr:cNvPr>
        <xdr:cNvSpPr/>
      </xdr:nvSpPr>
      <xdr:spPr>
        <a:xfrm>
          <a:off x="14200414" y="270471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176</xdr:row>
      <xdr:rowOff>76199</xdr:rowOff>
    </xdr:from>
    <xdr:to>
      <xdr:col>54</xdr:col>
      <xdr:colOff>103414</xdr:colOff>
      <xdr:row>176</xdr:row>
      <xdr:rowOff>76199</xdr:rowOff>
    </xdr:to>
    <xdr:cxnSp macro="">
      <xdr:nvCxnSpPr>
        <xdr:cNvPr id="68916" name="직선 화살표 연결선 68915">
          <a:extLst>
            <a:ext uri="{FF2B5EF4-FFF2-40B4-BE49-F238E27FC236}">
              <a16:creationId xmlns:a16="http://schemas.microsoft.com/office/drawing/2014/main" id="{29E81986-4434-4463-A11C-9B7DA0C721A9}"/>
            </a:ext>
          </a:extLst>
        </xdr:cNvPr>
        <xdr:cNvCxnSpPr/>
      </xdr:nvCxnSpPr>
      <xdr:spPr>
        <a:xfrm>
          <a:off x="14200414" y="2710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175</xdr:row>
      <xdr:rowOff>19049</xdr:rowOff>
    </xdr:from>
    <xdr:to>
      <xdr:col>83</xdr:col>
      <xdr:colOff>42636</xdr:colOff>
      <xdr:row>175</xdr:row>
      <xdr:rowOff>133349</xdr:rowOff>
    </xdr:to>
    <xdr:sp macro="" textlink="">
      <xdr:nvSpPr>
        <xdr:cNvPr id="68917" name="172">
          <a:extLst>
            <a:ext uri="{FF2B5EF4-FFF2-40B4-BE49-F238E27FC236}">
              <a16:creationId xmlns:a16="http://schemas.microsoft.com/office/drawing/2014/main" id="{4B0315A7-4E69-4DA8-B8F7-6F5DAA9F776A}"/>
            </a:ext>
          </a:extLst>
        </xdr:cNvPr>
        <xdr:cNvSpPr/>
      </xdr:nvSpPr>
      <xdr:spPr>
        <a:xfrm>
          <a:off x="14200414" y="268947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175</xdr:row>
      <xdr:rowOff>76199</xdr:rowOff>
    </xdr:from>
    <xdr:to>
      <xdr:col>54</xdr:col>
      <xdr:colOff>103414</xdr:colOff>
      <xdr:row>175</xdr:row>
      <xdr:rowOff>76199</xdr:rowOff>
    </xdr:to>
    <xdr:cxnSp macro="">
      <xdr:nvCxnSpPr>
        <xdr:cNvPr id="68918" name="직선 화살표 연결선 68917">
          <a:extLst>
            <a:ext uri="{FF2B5EF4-FFF2-40B4-BE49-F238E27FC236}">
              <a16:creationId xmlns:a16="http://schemas.microsoft.com/office/drawing/2014/main" id="{91E8D174-EE2C-43E8-B2F5-295B77E73253}"/>
            </a:ext>
          </a:extLst>
        </xdr:cNvPr>
        <xdr:cNvCxnSpPr/>
      </xdr:nvCxnSpPr>
      <xdr:spPr>
        <a:xfrm>
          <a:off x="14200414" y="2695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20683</xdr:colOff>
      <xdr:row>174</xdr:row>
      <xdr:rowOff>19049</xdr:rowOff>
    </xdr:from>
    <xdr:to>
      <xdr:col>80</xdr:col>
      <xdr:colOff>125366</xdr:colOff>
      <xdr:row>174</xdr:row>
      <xdr:rowOff>133349</xdr:rowOff>
    </xdr:to>
    <xdr:sp macro="" textlink="">
      <xdr:nvSpPr>
        <xdr:cNvPr id="68919" name="171">
          <a:extLst>
            <a:ext uri="{FF2B5EF4-FFF2-40B4-BE49-F238E27FC236}">
              <a16:creationId xmlns:a16="http://schemas.microsoft.com/office/drawing/2014/main" id="{ED2598CB-18E6-4E74-9C0F-05DED573A2EF}"/>
            </a:ext>
          </a:extLst>
        </xdr:cNvPr>
        <xdr:cNvSpPr/>
      </xdr:nvSpPr>
      <xdr:spPr>
        <a:xfrm>
          <a:off x="17302843" y="26742389"/>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20683</xdr:colOff>
      <xdr:row>174</xdr:row>
      <xdr:rowOff>76199</xdr:rowOff>
    </xdr:from>
    <xdr:to>
      <xdr:col>76</xdr:col>
      <xdr:colOff>20683</xdr:colOff>
      <xdr:row>174</xdr:row>
      <xdr:rowOff>76199</xdr:rowOff>
    </xdr:to>
    <xdr:cxnSp macro="">
      <xdr:nvCxnSpPr>
        <xdr:cNvPr id="68920" name="직선 화살표 연결선 68919">
          <a:extLst>
            <a:ext uri="{FF2B5EF4-FFF2-40B4-BE49-F238E27FC236}">
              <a16:creationId xmlns:a16="http://schemas.microsoft.com/office/drawing/2014/main" id="{53B83CDF-3750-4839-9B38-69E97AA28D74}"/>
            </a:ext>
          </a:extLst>
        </xdr:cNvPr>
        <xdr:cNvCxnSpPr/>
      </xdr:nvCxnSpPr>
      <xdr:spPr>
        <a:xfrm>
          <a:off x="17302843" y="2679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173</xdr:row>
      <xdr:rowOff>19049</xdr:rowOff>
    </xdr:from>
    <xdr:to>
      <xdr:col>74</xdr:col>
      <xdr:colOff>125368</xdr:colOff>
      <xdr:row>173</xdr:row>
      <xdr:rowOff>133349</xdr:rowOff>
    </xdr:to>
    <xdr:sp macro="" textlink="">
      <xdr:nvSpPr>
        <xdr:cNvPr id="68921" name="170">
          <a:extLst>
            <a:ext uri="{FF2B5EF4-FFF2-40B4-BE49-F238E27FC236}">
              <a16:creationId xmlns:a16="http://schemas.microsoft.com/office/drawing/2014/main" id="{93F08B6B-953F-4CBD-B59B-B81F9851A145}"/>
            </a:ext>
          </a:extLst>
        </xdr:cNvPr>
        <xdr:cNvSpPr/>
      </xdr:nvSpPr>
      <xdr:spPr>
        <a:xfrm>
          <a:off x="16723723" y="265899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173</xdr:row>
      <xdr:rowOff>76199</xdr:rowOff>
    </xdr:from>
    <xdr:to>
      <xdr:col>72</xdr:col>
      <xdr:colOff>20683</xdr:colOff>
      <xdr:row>173</xdr:row>
      <xdr:rowOff>76199</xdr:rowOff>
    </xdr:to>
    <xdr:cxnSp macro="">
      <xdr:nvCxnSpPr>
        <xdr:cNvPr id="68922" name="직선 화살표 연결선 68921">
          <a:extLst>
            <a:ext uri="{FF2B5EF4-FFF2-40B4-BE49-F238E27FC236}">
              <a16:creationId xmlns:a16="http://schemas.microsoft.com/office/drawing/2014/main" id="{9A114584-7A1B-4F3F-B8F5-498B64DDFCFF}"/>
            </a:ext>
          </a:extLst>
        </xdr:cNvPr>
        <xdr:cNvCxnSpPr/>
      </xdr:nvCxnSpPr>
      <xdr:spPr>
        <a:xfrm>
          <a:off x="16723723" y="2664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172</xdr:row>
      <xdr:rowOff>19049</xdr:rowOff>
    </xdr:from>
    <xdr:to>
      <xdr:col>80</xdr:col>
      <xdr:colOff>125366</xdr:colOff>
      <xdr:row>172</xdr:row>
      <xdr:rowOff>133349</xdr:rowOff>
    </xdr:to>
    <xdr:sp macro="" textlink="">
      <xdr:nvSpPr>
        <xdr:cNvPr id="68923" name="169">
          <a:extLst>
            <a:ext uri="{FF2B5EF4-FFF2-40B4-BE49-F238E27FC236}">
              <a16:creationId xmlns:a16="http://schemas.microsoft.com/office/drawing/2014/main" id="{CD52A7D6-D630-4176-8971-E219C11C2C79}"/>
            </a:ext>
          </a:extLst>
        </xdr:cNvPr>
        <xdr:cNvSpPr/>
      </xdr:nvSpPr>
      <xdr:spPr>
        <a:xfrm>
          <a:off x="16723723" y="26437589"/>
          <a:ext cx="1262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172</xdr:row>
      <xdr:rowOff>76199</xdr:rowOff>
    </xdr:from>
    <xdr:to>
      <xdr:col>72</xdr:col>
      <xdr:colOff>20683</xdr:colOff>
      <xdr:row>172</xdr:row>
      <xdr:rowOff>76199</xdr:rowOff>
    </xdr:to>
    <xdr:cxnSp macro="">
      <xdr:nvCxnSpPr>
        <xdr:cNvPr id="68924" name="직선 화살표 연결선 68923">
          <a:extLst>
            <a:ext uri="{FF2B5EF4-FFF2-40B4-BE49-F238E27FC236}">
              <a16:creationId xmlns:a16="http://schemas.microsoft.com/office/drawing/2014/main" id="{703D0474-A1F2-42A4-803D-9C5635E2E811}"/>
            </a:ext>
          </a:extLst>
        </xdr:cNvPr>
        <xdr:cNvCxnSpPr/>
      </xdr:nvCxnSpPr>
      <xdr:spPr>
        <a:xfrm>
          <a:off x="16723723" y="2649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171</xdr:row>
      <xdr:rowOff>19049</xdr:rowOff>
    </xdr:from>
    <xdr:to>
      <xdr:col>75</xdr:col>
      <xdr:colOff>125366</xdr:colOff>
      <xdr:row>171</xdr:row>
      <xdr:rowOff>133349</xdr:rowOff>
    </xdr:to>
    <xdr:sp macro="" textlink="">
      <xdr:nvSpPr>
        <xdr:cNvPr id="68925" name="168">
          <a:extLst>
            <a:ext uri="{FF2B5EF4-FFF2-40B4-BE49-F238E27FC236}">
              <a16:creationId xmlns:a16="http://schemas.microsoft.com/office/drawing/2014/main" id="{88317F92-33E8-4848-9AA5-07CF98DF786F}"/>
            </a:ext>
          </a:extLst>
        </xdr:cNvPr>
        <xdr:cNvSpPr/>
      </xdr:nvSpPr>
      <xdr:spPr>
        <a:xfrm>
          <a:off x="16144602" y="262851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171</xdr:row>
      <xdr:rowOff>76199</xdr:rowOff>
    </xdr:from>
    <xdr:to>
      <xdr:col>68</xdr:col>
      <xdr:colOff>20682</xdr:colOff>
      <xdr:row>171</xdr:row>
      <xdr:rowOff>76199</xdr:rowOff>
    </xdr:to>
    <xdr:cxnSp macro="">
      <xdr:nvCxnSpPr>
        <xdr:cNvPr id="68926" name="직선 화살표 연결선 68925">
          <a:extLst>
            <a:ext uri="{FF2B5EF4-FFF2-40B4-BE49-F238E27FC236}">
              <a16:creationId xmlns:a16="http://schemas.microsoft.com/office/drawing/2014/main" id="{2AF2A845-A414-42EA-97C5-23EF53EFA2AB}"/>
            </a:ext>
          </a:extLst>
        </xdr:cNvPr>
        <xdr:cNvCxnSpPr/>
      </xdr:nvCxnSpPr>
      <xdr:spPr>
        <a:xfrm>
          <a:off x="16144602" y="2634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170</xdr:row>
      <xdr:rowOff>19049</xdr:rowOff>
    </xdr:from>
    <xdr:to>
      <xdr:col>67</xdr:col>
      <xdr:colOff>125367</xdr:colOff>
      <xdr:row>170</xdr:row>
      <xdr:rowOff>133349</xdr:rowOff>
    </xdr:to>
    <xdr:sp macro="" textlink="">
      <xdr:nvSpPr>
        <xdr:cNvPr id="68927" name="167">
          <a:extLst>
            <a:ext uri="{FF2B5EF4-FFF2-40B4-BE49-F238E27FC236}">
              <a16:creationId xmlns:a16="http://schemas.microsoft.com/office/drawing/2014/main" id="{2923838D-985C-4C10-8CBD-B230FA23DBAA}"/>
            </a:ext>
          </a:extLst>
        </xdr:cNvPr>
        <xdr:cNvSpPr/>
      </xdr:nvSpPr>
      <xdr:spPr>
        <a:xfrm>
          <a:off x="15462069" y="26132789"/>
          <a:ext cx="642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170</xdr:row>
      <xdr:rowOff>76199</xdr:rowOff>
    </xdr:from>
    <xdr:to>
      <xdr:col>63</xdr:col>
      <xdr:colOff>62049</xdr:colOff>
      <xdr:row>170</xdr:row>
      <xdr:rowOff>76199</xdr:rowOff>
    </xdr:to>
    <xdr:cxnSp macro="">
      <xdr:nvCxnSpPr>
        <xdr:cNvPr id="68928" name="직선 화살표 연결선 68927">
          <a:extLst>
            <a:ext uri="{FF2B5EF4-FFF2-40B4-BE49-F238E27FC236}">
              <a16:creationId xmlns:a16="http://schemas.microsoft.com/office/drawing/2014/main" id="{81397DE1-3A56-4575-A503-0BB1491FD9FD}"/>
            </a:ext>
          </a:extLst>
        </xdr:cNvPr>
        <xdr:cNvCxnSpPr/>
      </xdr:nvCxnSpPr>
      <xdr:spPr>
        <a:xfrm>
          <a:off x="15462069" y="2618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169</xdr:row>
      <xdr:rowOff>19049</xdr:rowOff>
    </xdr:from>
    <xdr:to>
      <xdr:col>75</xdr:col>
      <xdr:colOff>125366</xdr:colOff>
      <xdr:row>169</xdr:row>
      <xdr:rowOff>133349</xdr:rowOff>
    </xdr:to>
    <xdr:sp macro="" textlink="">
      <xdr:nvSpPr>
        <xdr:cNvPr id="68929" name="166">
          <a:extLst>
            <a:ext uri="{FF2B5EF4-FFF2-40B4-BE49-F238E27FC236}">
              <a16:creationId xmlns:a16="http://schemas.microsoft.com/office/drawing/2014/main" id="{2AE60468-D7E2-4C66-A0A7-F98036E0C69B}"/>
            </a:ext>
          </a:extLst>
        </xdr:cNvPr>
        <xdr:cNvSpPr/>
      </xdr:nvSpPr>
      <xdr:spPr>
        <a:xfrm>
          <a:off x="15462069" y="25980389"/>
          <a:ext cx="18006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169</xdr:row>
      <xdr:rowOff>76199</xdr:rowOff>
    </xdr:from>
    <xdr:to>
      <xdr:col>63</xdr:col>
      <xdr:colOff>62049</xdr:colOff>
      <xdr:row>169</xdr:row>
      <xdr:rowOff>76199</xdr:rowOff>
    </xdr:to>
    <xdr:cxnSp macro="">
      <xdr:nvCxnSpPr>
        <xdr:cNvPr id="68930" name="직선 화살표 연결선 68929">
          <a:extLst>
            <a:ext uri="{FF2B5EF4-FFF2-40B4-BE49-F238E27FC236}">
              <a16:creationId xmlns:a16="http://schemas.microsoft.com/office/drawing/2014/main" id="{F6649940-1244-4E5F-B0BB-3EBE48B04041}"/>
            </a:ext>
          </a:extLst>
        </xdr:cNvPr>
        <xdr:cNvCxnSpPr/>
      </xdr:nvCxnSpPr>
      <xdr:spPr>
        <a:xfrm>
          <a:off x="15462069" y="2603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168</xdr:row>
      <xdr:rowOff>19049</xdr:rowOff>
    </xdr:from>
    <xdr:to>
      <xdr:col>63</xdr:col>
      <xdr:colOff>63318</xdr:colOff>
      <xdr:row>168</xdr:row>
      <xdr:rowOff>133349</xdr:rowOff>
    </xdr:to>
    <xdr:sp macro="" textlink="">
      <xdr:nvSpPr>
        <xdr:cNvPr id="68931" name="165">
          <a:extLst>
            <a:ext uri="{FF2B5EF4-FFF2-40B4-BE49-F238E27FC236}">
              <a16:creationId xmlns:a16="http://schemas.microsoft.com/office/drawing/2014/main" id="{A5EDBD79-691E-4FC7-9996-39AB9FA73911}"/>
            </a:ext>
          </a:extLst>
        </xdr:cNvPr>
        <xdr:cNvSpPr/>
      </xdr:nvSpPr>
      <xdr:spPr>
        <a:xfrm>
          <a:off x="14841582" y="25827989"/>
          <a:ext cx="6217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168</xdr:row>
      <xdr:rowOff>76199</xdr:rowOff>
    </xdr:from>
    <xdr:to>
      <xdr:col>59</xdr:col>
      <xdr:colOff>20682</xdr:colOff>
      <xdr:row>168</xdr:row>
      <xdr:rowOff>76199</xdr:rowOff>
    </xdr:to>
    <xdr:cxnSp macro="">
      <xdr:nvCxnSpPr>
        <xdr:cNvPr id="68932" name="직선 화살표 연결선 68931">
          <a:extLst>
            <a:ext uri="{FF2B5EF4-FFF2-40B4-BE49-F238E27FC236}">
              <a16:creationId xmlns:a16="http://schemas.microsoft.com/office/drawing/2014/main" id="{16B3F228-A1FE-4CDC-84A2-195A289BDB97}"/>
            </a:ext>
          </a:extLst>
        </xdr:cNvPr>
        <xdr:cNvCxnSpPr/>
      </xdr:nvCxnSpPr>
      <xdr:spPr>
        <a:xfrm>
          <a:off x="14841582" y="2588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167</xdr:row>
      <xdr:rowOff>19049</xdr:rowOff>
    </xdr:from>
    <xdr:to>
      <xdr:col>57</xdr:col>
      <xdr:colOff>125367</xdr:colOff>
      <xdr:row>167</xdr:row>
      <xdr:rowOff>133349</xdr:rowOff>
    </xdr:to>
    <xdr:sp macro="" textlink="">
      <xdr:nvSpPr>
        <xdr:cNvPr id="68933" name="164">
          <a:extLst>
            <a:ext uri="{FF2B5EF4-FFF2-40B4-BE49-F238E27FC236}">
              <a16:creationId xmlns:a16="http://schemas.microsoft.com/office/drawing/2014/main" id="{EBADA266-80A0-4AF6-A1EE-A51FF7F4E380}"/>
            </a:ext>
          </a:extLst>
        </xdr:cNvPr>
        <xdr:cNvSpPr/>
      </xdr:nvSpPr>
      <xdr:spPr>
        <a:xfrm>
          <a:off x="14200414" y="256755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167</xdr:row>
      <xdr:rowOff>76199</xdr:rowOff>
    </xdr:from>
    <xdr:to>
      <xdr:col>54</xdr:col>
      <xdr:colOff>103414</xdr:colOff>
      <xdr:row>167</xdr:row>
      <xdr:rowOff>76199</xdr:rowOff>
    </xdr:to>
    <xdr:cxnSp macro="">
      <xdr:nvCxnSpPr>
        <xdr:cNvPr id="68934" name="직선 화살표 연결선 68933">
          <a:extLst>
            <a:ext uri="{FF2B5EF4-FFF2-40B4-BE49-F238E27FC236}">
              <a16:creationId xmlns:a16="http://schemas.microsoft.com/office/drawing/2014/main" id="{3B4D126E-5C12-4E2F-9EAB-432D1130AAE1}"/>
            </a:ext>
          </a:extLst>
        </xdr:cNvPr>
        <xdr:cNvCxnSpPr/>
      </xdr:nvCxnSpPr>
      <xdr:spPr>
        <a:xfrm>
          <a:off x="14200414" y="2573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166</xdr:row>
      <xdr:rowOff>19049</xdr:rowOff>
    </xdr:from>
    <xdr:to>
      <xdr:col>63</xdr:col>
      <xdr:colOff>63318</xdr:colOff>
      <xdr:row>166</xdr:row>
      <xdr:rowOff>133349</xdr:rowOff>
    </xdr:to>
    <xdr:sp macro="" textlink="">
      <xdr:nvSpPr>
        <xdr:cNvPr id="68935" name="163">
          <a:extLst>
            <a:ext uri="{FF2B5EF4-FFF2-40B4-BE49-F238E27FC236}">
              <a16:creationId xmlns:a16="http://schemas.microsoft.com/office/drawing/2014/main" id="{5D383D7C-DFDF-4EFD-8843-6DC379DE76CF}"/>
            </a:ext>
          </a:extLst>
        </xdr:cNvPr>
        <xdr:cNvSpPr/>
      </xdr:nvSpPr>
      <xdr:spPr>
        <a:xfrm>
          <a:off x="14200414" y="25523189"/>
          <a:ext cx="1262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166</xdr:row>
      <xdr:rowOff>76199</xdr:rowOff>
    </xdr:from>
    <xdr:to>
      <xdr:col>54</xdr:col>
      <xdr:colOff>103414</xdr:colOff>
      <xdr:row>166</xdr:row>
      <xdr:rowOff>76199</xdr:rowOff>
    </xdr:to>
    <xdr:cxnSp macro="">
      <xdr:nvCxnSpPr>
        <xdr:cNvPr id="68936" name="직선 화살표 연결선 68935">
          <a:extLst>
            <a:ext uri="{FF2B5EF4-FFF2-40B4-BE49-F238E27FC236}">
              <a16:creationId xmlns:a16="http://schemas.microsoft.com/office/drawing/2014/main" id="{6ED86BC0-418E-4CC7-BC94-A54C0C9B2D87}"/>
            </a:ext>
          </a:extLst>
        </xdr:cNvPr>
        <xdr:cNvCxnSpPr/>
      </xdr:nvCxnSpPr>
      <xdr:spPr>
        <a:xfrm>
          <a:off x="14200414" y="2558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165</xdr:row>
      <xdr:rowOff>19049</xdr:rowOff>
    </xdr:from>
    <xdr:to>
      <xdr:col>83</xdr:col>
      <xdr:colOff>42636</xdr:colOff>
      <xdr:row>165</xdr:row>
      <xdr:rowOff>133349</xdr:rowOff>
    </xdr:to>
    <xdr:sp macro="" textlink="">
      <xdr:nvSpPr>
        <xdr:cNvPr id="68937" name="162">
          <a:extLst>
            <a:ext uri="{FF2B5EF4-FFF2-40B4-BE49-F238E27FC236}">
              <a16:creationId xmlns:a16="http://schemas.microsoft.com/office/drawing/2014/main" id="{A1F59069-6551-4218-BC9F-937CF0D3AAAB}"/>
            </a:ext>
          </a:extLst>
        </xdr:cNvPr>
        <xdr:cNvSpPr/>
      </xdr:nvSpPr>
      <xdr:spPr>
        <a:xfrm>
          <a:off x="14200414" y="253707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165</xdr:row>
      <xdr:rowOff>76199</xdr:rowOff>
    </xdr:from>
    <xdr:to>
      <xdr:col>54</xdr:col>
      <xdr:colOff>103414</xdr:colOff>
      <xdr:row>165</xdr:row>
      <xdr:rowOff>76199</xdr:rowOff>
    </xdr:to>
    <xdr:cxnSp macro="">
      <xdr:nvCxnSpPr>
        <xdr:cNvPr id="68938" name="직선 화살표 연결선 68937">
          <a:extLst>
            <a:ext uri="{FF2B5EF4-FFF2-40B4-BE49-F238E27FC236}">
              <a16:creationId xmlns:a16="http://schemas.microsoft.com/office/drawing/2014/main" id="{1C30DE2F-02C1-4617-BA39-55CE573C87CF}"/>
            </a:ext>
          </a:extLst>
        </xdr:cNvPr>
        <xdr:cNvCxnSpPr/>
      </xdr:nvCxnSpPr>
      <xdr:spPr>
        <a:xfrm>
          <a:off x="14200414" y="2542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164</xdr:row>
      <xdr:rowOff>19049</xdr:rowOff>
    </xdr:from>
    <xdr:to>
      <xdr:col>76</xdr:col>
      <xdr:colOff>42635</xdr:colOff>
      <xdr:row>164</xdr:row>
      <xdr:rowOff>133349</xdr:rowOff>
    </xdr:to>
    <xdr:sp macro="" textlink="">
      <xdr:nvSpPr>
        <xdr:cNvPr id="68939" name="161">
          <a:extLst>
            <a:ext uri="{FF2B5EF4-FFF2-40B4-BE49-F238E27FC236}">
              <a16:creationId xmlns:a16="http://schemas.microsoft.com/office/drawing/2014/main" id="{B3550205-3999-4102-9A62-FDCCBDF4F7A8}"/>
            </a:ext>
          </a:extLst>
        </xdr:cNvPr>
        <xdr:cNvSpPr/>
      </xdr:nvSpPr>
      <xdr:spPr>
        <a:xfrm>
          <a:off x="14841582" y="25218389"/>
          <a:ext cx="24832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164</xdr:row>
      <xdr:rowOff>76199</xdr:rowOff>
    </xdr:from>
    <xdr:to>
      <xdr:col>59</xdr:col>
      <xdr:colOff>20682</xdr:colOff>
      <xdr:row>164</xdr:row>
      <xdr:rowOff>76199</xdr:rowOff>
    </xdr:to>
    <xdr:cxnSp macro="">
      <xdr:nvCxnSpPr>
        <xdr:cNvPr id="68940" name="직선 화살표 연결선 68939">
          <a:extLst>
            <a:ext uri="{FF2B5EF4-FFF2-40B4-BE49-F238E27FC236}">
              <a16:creationId xmlns:a16="http://schemas.microsoft.com/office/drawing/2014/main" id="{C7E21618-E1B1-40AC-B93D-DC8DEDAF9190}"/>
            </a:ext>
          </a:extLst>
        </xdr:cNvPr>
        <xdr:cNvCxnSpPr/>
      </xdr:nvCxnSpPr>
      <xdr:spPr>
        <a:xfrm>
          <a:off x="14841582" y="2527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163</xdr:row>
      <xdr:rowOff>19049</xdr:rowOff>
    </xdr:from>
    <xdr:to>
      <xdr:col>58</xdr:col>
      <xdr:colOff>125367</xdr:colOff>
      <xdr:row>163</xdr:row>
      <xdr:rowOff>133349</xdr:rowOff>
    </xdr:to>
    <xdr:sp macro="" textlink="">
      <xdr:nvSpPr>
        <xdr:cNvPr id="68941" name="160">
          <a:extLst>
            <a:ext uri="{FF2B5EF4-FFF2-40B4-BE49-F238E27FC236}">
              <a16:creationId xmlns:a16="http://schemas.microsoft.com/office/drawing/2014/main" id="{DE58887F-C985-44C1-BA3E-B428840D5C60}"/>
            </a:ext>
          </a:extLst>
        </xdr:cNvPr>
        <xdr:cNvSpPr/>
      </xdr:nvSpPr>
      <xdr:spPr>
        <a:xfrm>
          <a:off x="14552023" y="25065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163</xdr:row>
      <xdr:rowOff>76199</xdr:rowOff>
    </xdr:from>
    <xdr:to>
      <xdr:col>57</xdr:col>
      <xdr:colOff>20683</xdr:colOff>
      <xdr:row>163</xdr:row>
      <xdr:rowOff>76199</xdr:rowOff>
    </xdr:to>
    <xdr:cxnSp macro="">
      <xdr:nvCxnSpPr>
        <xdr:cNvPr id="68942" name="직선 화살표 연결선 68941">
          <a:extLst>
            <a:ext uri="{FF2B5EF4-FFF2-40B4-BE49-F238E27FC236}">
              <a16:creationId xmlns:a16="http://schemas.microsoft.com/office/drawing/2014/main" id="{61F46B03-137C-4C34-B027-027515973BEA}"/>
            </a:ext>
          </a:extLst>
        </xdr:cNvPr>
        <xdr:cNvCxnSpPr/>
      </xdr:nvCxnSpPr>
      <xdr:spPr>
        <a:xfrm>
          <a:off x="14552023" y="2512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162</xdr:row>
      <xdr:rowOff>19049</xdr:rowOff>
    </xdr:from>
    <xdr:to>
      <xdr:col>56</xdr:col>
      <xdr:colOff>104684</xdr:colOff>
      <xdr:row>162</xdr:row>
      <xdr:rowOff>133349</xdr:rowOff>
    </xdr:to>
    <xdr:sp macro="" textlink="">
      <xdr:nvSpPr>
        <xdr:cNvPr id="68943" name="159">
          <a:extLst>
            <a:ext uri="{FF2B5EF4-FFF2-40B4-BE49-F238E27FC236}">
              <a16:creationId xmlns:a16="http://schemas.microsoft.com/office/drawing/2014/main" id="{D658969B-DD6E-4B06-BCFF-E51752246B25}"/>
            </a:ext>
          </a:extLst>
        </xdr:cNvPr>
        <xdr:cNvSpPr/>
      </xdr:nvSpPr>
      <xdr:spPr>
        <a:xfrm>
          <a:off x="14200414" y="24913589"/>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162</xdr:row>
      <xdr:rowOff>76199</xdr:rowOff>
    </xdr:from>
    <xdr:to>
      <xdr:col>54</xdr:col>
      <xdr:colOff>103414</xdr:colOff>
      <xdr:row>162</xdr:row>
      <xdr:rowOff>76199</xdr:rowOff>
    </xdr:to>
    <xdr:cxnSp macro="">
      <xdr:nvCxnSpPr>
        <xdr:cNvPr id="68944" name="직선 화살표 연결선 68943">
          <a:extLst>
            <a:ext uri="{FF2B5EF4-FFF2-40B4-BE49-F238E27FC236}">
              <a16:creationId xmlns:a16="http://schemas.microsoft.com/office/drawing/2014/main" id="{F85606BA-8157-4D9C-8FB6-548E6F8CC03E}"/>
            </a:ext>
          </a:extLst>
        </xdr:cNvPr>
        <xdr:cNvCxnSpPr/>
      </xdr:nvCxnSpPr>
      <xdr:spPr>
        <a:xfrm>
          <a:off x="14200414" y="2497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161</xdr:row>
      <xdr:rowOff>19049</xdr:rowOff>
    </xdr:from>
    <xdr:to>
      <xdr:col>74</xdr:col>
      <xdr:colOff>125368</xdr:colOff>
      <xdr:row>161</xdr:row>
      <xdr:rowOff>133349</xdr:rowOff>
    </xdr:to>
    <xdr:sp macro="" textlink="">
      <xdr:nvSpPr>
        <xdr:cNvPr id="68945" name="158">
          <a:extLst>
            <a:ext uri="{FF2B5EF4-FFF2-40B4-BE49-F238E27FC236}">
              <a16:creationId xmlns:a16="http://schemas.microsoft.com/office/drawing/2014/main" id="{4F4757E3-CA6A-474D-BE62-B53B5F8F4376}"/>
            </a:ext>
          </a:extLst>
        </xdr:cNvPr>
        <xdr:cNvSpPr/>
      </xdr:nvSpPr>
      <xdr:spPr>
        <a:xfrm>
          <a:off x="14200414" y="247611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161</xdr:row>
      <xdr:rowOff>76199</xdr:rowOff>
    </xdr:from>
    <xdr:to>
      <xdr:col>54</xdr:col>
      <xdr:colOff>103414</xdr:colOff>
      <xdr:row>161</xdr:row>
      <xdr:rowOff>76199</xdr:rowOff>
    </xdr:to>
    <xdr:cxnSp macro="">
      <xdr:nvCxnSpPr>
        <xdr:cNvPr id="68946" name="직선 화살표 연결선 68945">
          <a:extLst>
            <a:ext uri="{FF2B5EF4-FFF2-40B4-BE49-F238E27FC236}">
              <a16:creationId xmlns:a16="http://schemas.microsoft.com/office/drawing/2014/main" id="{43F37D90-DD32-4F7A-92CD-F158294A261B}"/>
            </a:ext>
          </a:extLst>
        </xdr:cNvPr>
        <xdr:cNvCxnSpPr/>
      </xdr:nvCxnSpPr>
      <xdr:spPr>
        <a:xfrm>
          <a:off x="14200414" y="2481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160</xdr:row>
      <xdr:rowOff>19049</xdr:rowOff>
    </xdr:from>
    <xdr:to>
      <xdr:col>76</xdr:col>
      <xdr:colOff>42635</xdr:colOff>
      <xdr:row>160</xdr:row>
      <xdr:rowOff>133349</xdr:rowOff>
    </xdr:to>
    <xdr:sp macro="" textlink="">
      <xdr:nvSpPr>
        <xdr:cNvPr id="68947" name="157">
          <a:extLst>
            <a:ext uri="{FF2B5EF4-FFF2-40B4-BE49-F238E27FC236}">
              <a16:creationId xmlns:a16="http://schemas.microsoft.com/office/drawing/2014/main" id="{39E690B5-A36D-4861-A55B-1EEEE6E9A34A}"/>
            </a:ext>
          </a:extLst>
        </xdr:cNvPr>
        <xdr:cNvSpPr/>
      </xdr:nvSpPr>
      <xdr:spPr>
        <a:xfrm>
          <a:off x="14200414" y="24608789"/>
          <a:ext cx="31243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160</xdr:row>
      <xdr:rowOff>76199</xdr:rowOff>
    </xdr:from>
    <xdr:to>
      <xdr:col>54</xdr:col>
      <xdr:colOff>103414</xdr:colOff>
      <xdr:row>160</xdr:row>
      <xdr:rowOff>76199</xdr:rowOff>
    </xdr:to>
    <xdr:cxnSp macro="">
      <xdr:nvCxnSpPr>
        <xdr:cNvPr id="68948" name="직선 화살표 연결선 68947">
          <a:extLst>
            <a:ext uri="{FF2B5EF4-FFF2-40B4-BE49-F238E27FC236}">
              <a16:creationId xmlns:a16="http://schemas.microsoft.com/office/drawing/2014/main" id="{AFC7C355-1900-464B-B013-1DC96CE9B562}"/>
            </a:ext>
          </a:extLst>
        </xdr:cNvPr>
        <xdr:cNvCxnSpPr/>
      </xdr:nvCxnSpPr>
      <xdr:spPr>
        <a:xfrm>
          <a:off x="14200414" y="2466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20683</xdr:colOff>
      <xdr:row>159</xdr:row>
      <xdr:rowOff>19049</xdr:rowOff>
    </xdr:from>
    <xdr:to>
      <xdr:col>62</xdr:col>
      <xdr:colOff>125367</xdr:colOff>
      <xdr:row>159</xdr:row>
      <xdr:rowOff>133349</xdr:rowOff>
    </xdr:to>
    <xdr:sp macro="" textlink="">
      <xdr:nvSpPr>
        <xdr:cNvPr id="68949" name="156">
          <a:extLst>
            <a:ext uri="{FF2B5EF4-FFF2-40B4-BE49-F238E27FC236}">
              <a16:creationId xmlns:a16="http://schemas.microsoft.com/office/drawing/2014/main" id="{3B0ABC5F-5F94-46DD-9E22-8CD61E9DEF58}"/>
            </a:ext>
          </a:extLst>
        </xdr:cNvPr>
        <xdr:cNvSpPr/>
      </xdr:nvSpPr>
      <xdr:spPr>
        <a:xfrm>
          <a:off x="15275923" y="24456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20683</xdr:colOff>
      <xdr:row>159</xdr:row>
      <xdr:rowOff>76199</xdr:rowOff>
    </xdr:from>
    <xdr:to>
      <xdr:col>62</xdr:col>
      <xdr:colOff>20683</xdr:colOff>
      <xdr:row>159</xdr:row>
      <xdr:rowOff>76199</xdr:rowOff>
    </xdr:to>
    <xdr:cxnSp macro="">
      <xdr:nvCxnSpPr>
        <xdr:cNvPr id="68950" name="직선 화살표 연결선 68949">
          <a:extLst>
            <a:ext uri="{FF2B5EF4-FFF2-40B4-BE49-F238E27FC236}">
              <a16:creationId xmlns:a16="http://schemas.microsoft.com/office/drawing/2014/main" id="{DF6346A3-B94C-4812-BB4E-10FB2280D3CE}"/>
            </a:ext>
          </a:extLst>
        </xdr:cNvPr>
        <xdr:cNvCxnSpPr/>
      </xdr:nvCxnSpPr>
      <xdr:spPr>
        <a:xfrm>
          <a:off x="15275923" y="2451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158</xdr:row>
      <xdr:rowOff>19049</xdr:rowOff>
    </xdr:from>
    <xdr:to>
      <xdr:col>61</xdr:col>
      <xdr:colOff>125367</xdr:colOff>
      <xdr:row>158</xdr:row>
      <xdr:rowOff>133349</xdr:rowOff>
    </xdr:to>
    <xdr:sp macro="" textlink="">
      <xdr:nvSpPr>
        <xdr:cNvPr id="68951" name="155">
          <a:extLst>
            <a:ext uri="{FF2B5EF4-FFF2-40B4-BE49-F238E27FC236}">
              <a16:creationId xmlns:a16="http://schemas.microsoft.com/office/drawing/2014/main" id="{2D1FCE45-F712-4369-8F09-7FEF2EE01637}"/>
            </a:ext>
          </a:extLst>
        </xdr:cNvPr>
        <xdr:cNvSpPr/>
      </xdr:nvSpPr>
      <xdr:spPr>
        <a:xfrm>
          <a:off x="15131143" y="24303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158</xdr:row>
      <xdr:rowOff>76199</xdr:rowOff>
    </xdr:from>
    <xdr:to>
      <xdr:col>61</xdr:col>
      <xdr:colOff>20683</xdr:colOff>
      <xdr:row>158</xdr:row>
      <xdr:rowOff>76199</xdr:rowOff>
    </xdr:to>
    <xdr:cxnSp macro="">
      <xdr:nvCxnSpPr>
        <xdr:cNvPr id="68952" name="직선 화살표 연결선 68951">
          <a:extLst>
            <a:ext uri="{FF2B5EF4-FFF2-40B4-BE49-F238E27FC236}">
              <a16:creationId xmlns:a16="http://schemas.microsoft.com/office/drawing/2014/main" id="{E95506AB-ADA6-4C1A-94AE-71B5C5619930}"/>
            </a:ext>
          </a:extLst>
        </xdr:cNvPr>
        <xdr:cNvCxnSpPr/>
      </xdr:nvCxnSpPr>
      <xdr:spPr>
        <a:xfrm>
          <a:off x="15131143" y="2436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157</xdr:row>
      <xdr:rowOff>19049</xdr:rowOff>
    </xdr:from>
    <xdr:to>
      <xdr:col>57</xdr:col>
      <xdr:colOff>125367</xdr:colOff>
      <xdr:row>157</xdr:row>
      <xdr:rowOff>133349</xdr:rowOff>
    </xdr:to>
    <xdr:sp macro="" textlink="">
      <xdr:nvSpPr>
        <xdr:cNvPr id="68953" name="154">
          <a:extLst>
            <a:ext uri="{FF2B5EF4-FFF2-40B4-BE49-F238E27FC236}">
              <a16:creationId xmlns:a16="http://schemas.microsoft.com/office/drawing/2014/main" id="{C02CED22-71A6-452D-8EC5-D867C2182A14}"/>
            </a:ext>
          </a:extLst>
        </xdr:cNvPr>
        <xdr:cNvSpPr/>
      </xdr:nvSpPr>
      <xdr:spPr>
        <a:xfrm>
          <a:off x="14200414" y="241515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157</xdr:row>
      <xdr:rowOff>76199</xdr:rowOff>
    </xdr:from>
    <xdr:to>
      <xdr:col>54</xdr:col>
      <xdr:colOff>103414</xdr:colOff>
      <xdr:row>157</xdr:row>
      <xdr:rowOff>76199</xdr:rowOff>
    </xdr:to>
    <xdr:cxnSp macro="">
      <xdr:nvCxnSpPr>
        <xdr:cNvPr id="68954" name="직선 화살표 연결선 68953">
          <a:extLst>
            <a:ext uri="{FF2B5EF4-FFF2-40B4-BE49-F238E27FC236}">
              <a16:creationId xmlns:a16="http://schemas.microsoft.com/office/drawing/2014/main" id="{1F0A92E3-E1B1-4CF4-B835-4770D6168801}"/>
            </a:ext>
          </a:extLst>
        </xdr:cNvPr>
        <xdr:cNvCxnSpPr/>
      </xdr:nvCxnSpPr>
      <xdr:spPr>
        <a:xfrm>
          <a:off x="14200414" y="2420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156</xdr:row>
      <xdr:rowOff>19049</xdr:rowOff>
    </xdr:from>
    <xdr:to>
      <xdr:col>62</xdr:col>
      <xdr:colOff>125367</xdr:colOff>
      <xdr:row>156</xdr:row>
      <xdr:rowOff>133349</xdr:rowOff>
    </xdr:to>
    <xdr:sp macro="" textlink="">
      <xdr:nvSpPr>
        <xdr:cNvPr id="68955" name="153">
          <a:extLst>
            <a:ext uri="{FF2B5EF4-FFF2-40B4-BE49-F238E27FC236}">
              <a16:creationId xmlns:a16="http://schemas.microsoft.com/office/drawing/2014/main" id="{1640F899-86AF-4A0A-9C1A-1E298ECF1E84}"/>
            </a:ext>
          </a:extLst>
        </xdr:cNvPr>
        <xdr:cNvSpPr/>
      </xdr:nvSpPr>
      <xdr:spPr>
        <a:xfrm>
          <a:off x="14200414" y="23999189"/>
          <a:ext cx="11801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156</xdr:row>
      <xdr:rowOff>76199</xdr:rowOff>
    </xdr:from>
    <xdr:to>
      <xdr:col>54</xdr:col>
      <xdr:colOff>103414</xdr:colOff>
      <xdr:row>156</xdr:row>
      <xdr:rowOff>76199</xdr:rowOff>
    </xdr:to>
    <xdr:cxnSp macro="">
      <xdr:nvCxnSpPr>
        <xdr:cNvPr id="68956" name="직선 화살표 연결선 68955">
          <a:extLst>
            <a:ext uri="{FF2B5EF4-FFF2-40B4-BE49-F238E27FC236}">
              <a16:creationId xmlns:a16="http://schemas.microsoft.com/office/drawing/2014/main" id="{E842CA14-86A5-4F1B-B342-8D7386A64383}"/>
            </a:ext>
          </a:extLst>
        </xdr:cNvPr>
        <xdr:cNvCxnSpPr/>
      </xdr:nvCxnSpPr>
      <xdr:spPr>
        <a:xfrm>
          <a:off x="14200414" y="2405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155</xdr:row>
      <xdr:rowOff>19049</xdr:rowOff>
    </xdr:from>
    <xdr:to>
      <xdr:col>65</xdr:col>
      <xdr:colOff>125366</xdr:colOff>
      <xdr:row>155</xdr:row>
      <xdr:rowOff>133349</xdr:rowOff>
    </xdr:to>
    <xdr:sp macro="" textlink="">
      <xdr:nvSpPr>
        <xdr:cNvPr id="68957" name="152">
          <a:extLst>
            <a:ext uri="{FF2B5EF4-FFF2-40B4-BE49-F238E27FC236}">
              <a16:creationId xmlns:a16="http://schemas.microsoft.com/office/drawing/2014/main" id="{C1A09AF7-C39A-4FA9-A2AD-3E79CA15F972}"/>
            </a:ext>
          </a:extLst>
        </xdr:cNvPr>
        <xdr:cNvSpPr/>
      </xdr:nvSpPr>
      <xdr:spPr>
        <a:xfrm>
          <a:off x="15710263" y="238467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155</xdr:row>
      <xdr:rowOff>76199</xdr:rowOff>
    </xdr:from>
    <xdr:to>
      <xdr:col>65</xdr:col>
      <xdr:colOff>20683</xdr:colOff>
      <xdr:row>155</xdr:row>
      <xdr:rowOff>76199</xdr:rowOff>
    </xdr:to>
    <xdr:cxnSp macro="">
      <xdr:nvCxnSpPr>
        <xdr:cNvPr id="68958" name="직선 화살표 연결선 68957">
          <a:extLst>
            <a:ext uri="{FF2B5EF4-FFF2-40B4-BE49-F238E27FC236}">
              <a16:creationId xmlns:a16="http://schemas.microsoft.com/office/drawing/2014/main" id="{28FA3470-37A5-4068-AB32-D0D826B19C66}"/>
            </a:ext>
          </a:extLst>
        </xdr:cNvPr>
        <xdr:cNvCxnSpPr/>
      </xdr:nvCxnSpPr>
      <xdr:spPr>
        <a:xfrm>
          <a:off x="15710263" y="2390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154</xdr:row>
      <xdr:rowOff>19049</xdr:rowOff>
    </xdr:from>
    <xdr:to>
      <xdr:col>63</xdr:col>
      <xdr:colOff>104683</xdr:colOff>
      <xdr:row>154</xdr:row>
      <xdr:rowOff>133349</xdr:rowOff>
    </xdr:to>
    <xdr:sp macro="" textlink="">
      <xdr:nvSpPr>
        <xdr:cNvPr id="68959" name="151">
          <a:extLst>
            <a:ext uri="{FF2B5EF4-FFF2-40B4-BE49-F238E27FC236}">
              <a16:creationId xmlns:a16="http://schemas.microsoft.com/office/drawing/2014/main" id="{C52C5BBC-5A36-4E0C-838F-70A19083FB01}"/>
            </a:ext>
          </a:extLst>
        </xdr:cNvPr>
        <xdr:cNvSpPr/>
      </xdr:nvSpPr>
      <xdr:spPr>
        <a:xfrm>
          <a:off x="15420702" y="236943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154</xdr:row>
      <xdr:rowOff>76199</xdr:rowOff>
    </xdr:from>
    <xdr:to>
      <xdr:col>63</xdr:col>
      <xdr:colOff>20682</xdr:colOff>
      <xdr:row>154</xdr:row>
      <xdr:rowOff>76199</xdr:rowOff>
    </xdr:to>
    <xdr:cxnSp macro="">
      <xdr:nvCxnSpPr>
        <xdr:cNvPr id="68960" name="직선 화살표 연결선 68959">
          <a:extLst>
            <a:ext uri="{FF2B5EF4-FFF2-40B4-BE49-F238E27FC236}">
              <a16:creationId xmlns:a16="http://schemas.microsoft.com/office/drawing/2014/main" id="{26FF74D1-29CE-422F-B545-6532BFEB0881}"/>
            </a:ext>
          </a:extLst>
        </xdr:cNvPr>
        <xdr:cNvCxnSpPr/>
      </xdr:nvCxnSpPr>
      <xdr:spPr>
        <a:xfrm>
          <a:off x="15420702" y="2375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153</xdr:row>
      <xdr:rowOff>19049</xdr:rowOff>
    </xdr:from>
    <xdr:to>
      <xdr:col>65</xdr:col>
      <xdr:colOff>125366</xdr:colOff>
      <xdr:row>153</xdr:row>
      <xdr:rowOff>133349</xdr:rowOff>
    </xdr:to>
    <xdr:sp macro="" textlink="">
      <xdr:nvSpPr>
        <xdr:cNvPr id="68961" name="150">
          <a:extLst>
            <a:ext uri="{FF2B5EF4-FFF2-40B4-BE49-F238E27FC236}">
              <a16:creationId xmlns:a16="http://schemas.microsoft.com/office/drawing/2014/main" id="{17AA0F90-7537-4DD0-97D0-8C07101392E1}"/>
            </a:ext>
          </a:extLst>
        </xdr:cNvPr>
        <xdr:cNvSpPr/>
      </xdr:nvSpPr>
      <xdr:spPr>
        <a:xfrm>
          <a:off x="15420702" y="235419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153</xdr:row>
      <xdr:rowOff>76199</xdr:rowOff>
    </xdr:from>
    <xdr:to>
      <xdr:col>63</xdr:col>
      <xdr:colOff>20682</xdr:colOff>
      <xdr:row>153</xdr:row>
      <xdr:rowOff>76199</xdr:rowOff>
    </xdr:to>
    <xdr:cxnSp macro="">
      <xdr:nvCxnSpPr>
        <xdr:cNvPr id="68962" name="직선 화살표 연결선 68961">
          <a:extLst>
            <a:ext uri="{FF2B5EF4-FFF2-40B4-BE49-F238E27FC236}">
              <a16:creationId xmlns:a16="http://schemas.microsoft.com/office/drawing/2014/main" id="{8E0D1FF4-E7EB-4802-9A47-8BE2190ED891}"/>
            </a:ext>
          </a:extLst>
        </xdr:cNvPr>
        <xdr:cNvCxnSpPr/>
      </xdr:nvCxnSpPr>
      <xdr:spPr>
        <a:xfrm>
          <a:off x="15420702" y="2359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152</xdr:row>
      <xdr:rowOff>19049</xdr:rowOff>
    </xdr:from>
    <xdr:to>
      <xdr:col>60</xdr:col>
      <xdr:colOff>125366</xdr:colOff>
      <xdr:row>152</xdr:row>
      <xdr:rowOff>133349</xdr:rowOff>
    </xdr:to>
    <xdr:sp macro="" textlink="">
      <xdr:nvSpPr>
        <xdr:cNvPr id="68963" name="149">
          <a:extLst>
            <a:ext uri="{FF2B5EF4-FFF2-40B4-BE49-F238E27FC236}">
              <a16:creationId xmlns:a16="http://schemas.microsoft.com/office/drawing/2014/main" id="{AFA1D870-4F2C-4397-91E9-D6ED52EAF69F}"/>
            </a:ext>
          </a:extLst>
        </xdr:cNvPr>
        <xdr:cNvSpPr/>
      </xdr:nvSpPr>
      <xdr:spPr>
        <a:xfrm>
          <a:off x="14986363" y="23389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152</xdr:row>
      <xdr:rowOff>76199</xdr:rowOff>
    </xdr:from>
    <xdr:to>
      <xdr:col>60</xdr:col>
      <xdr:colOff>20683</xdr:colOff>
      <xdr:row>152</xdr:row>
      <xdr:rowOff>76199</xdr:rowOff>
    </xdr:to>
    <xdr:cxnSp macro="">
      <xdr:nvCxnSpPr>
        <xdr:cNvPr id="68964" name="직선 화살표 연결선 68963">
          <a:extLst>
            <a:ext uri="{FF2B5EF4-FFF2-40B4-BE49-F238E27FC236}">
              <a16:creationId xmlns:a16="http://schemas.microsoft.com/office/drawing/2014/main" id="{FCE6DAEC-458F-41EC-BB91-A18B841972C0}"/>
            </a:ext>
          </a:extLst>
        </xdr:cNvPr>
        <xdr:cNvCxnSpPr/>
      </xdr:nvCxnSpPr>
      <xdr:spPr>
        <a:xfrm>
          <a:off x="14986363" y="2344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151</xdr:row>
      <xdr:rowOff>19049</xdr:rowOff>
    </xdr:from>
    <xdr:to>
      <xdr:col>59</xdr:col>
      <xdr:colOff>125368</xdr:colOff>
      <xdr:row>151</xdr:row>
      <xdr:rowOff>133349</xdr:rowOff>
    </xdr:to>
    <xdr:sp macro="" textlink="">
      <xdr:nvSpPr>
        <xdr:cNvPr id="68965" name="148">
          <a:extLst>
            <a:ext uri="{FF2B5EF4-FFF2-40B4-BE49-F238E27FC236}">
              <a16:creationId xmlns:a16="http://schemas.microsoft.com/office/drawing/2014/main" id="{3446CE4F-6AA6-498C-A918-4645694055DC}"/>
            </a:ext>
          </a:extLst>
        </xdr:cNvPr>
        <xdr:cNvSpPr/>
      </xdr:nvSpPr>
      <xdr:spPr>
        <a:xfrm>
          <a:off x="14841582" y="232371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151</xdr:row>
      <xdr:rowOff>76199</xdr:rowOff>
    </xdr:from>
    <xdr:to>
      <xdr:col>59</xdr:col>
      <xdr:colOff>20682</xdr:colOff>
      <xdr:row>151</xdr:row>
      <xdr:rowOff>76199</xdr:rowOff>
    </xdr:to>
    <xdr:cxnSp macro="">
      <xdr:nvCxnSpPr>
        <xdr:cNvPr id="68966" name="직선 화살표 연결선 68965">
          <a:extLst>
            <a:ext uri="{FF2B5EF4-FFF2-40B4-BE49-F238E27FC236}">
              <a16:creationId xmlns:a16="http://schemas.microsoft.com/office/drawing/2014/main" id="{E517A951-2D5A-4537-996A-8D3B8D3F1128}"/>
            </a:ext>
          </a:extLst>
        </xdr:cNvPr>
        <xdr:cNvCxnSpPr/>
      </xdr:nvCxnSpPr>
      <xdr:spPr>
        <a:xfrm>
          <a:off x="14841582" y="2329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150</xdr:row>
      <xdr:rowOff>19049</xdr:rowOff>
    </xdr:from>
    <xdr:to>
      <xdr:col>58</xdr:col>
      <xdr:colOff>125367</xdr:colOff>
      <xdr:row>150</xdr:row>
      <xdr:rowOff>133349</xdr:rowOff>
    </xdr:to>
    <xdr:sp macro="" textlink="">
      <xdr:nvSpPr>
        <xdr:cNvPr id="68967" name="147">
          <a:extLst>
            <a:ext uri="{FF2B5EF4-FFF2-40B4-BE49-F238E27FC236}">
              <a16:creationId xmlns:a16="http://schemas.microsoft.com/office/drawing/2014/main" id="{41F976CC-56F8-49DB-8AD1-6EF80924222B}"/>
            </a:ext>
          </a:extLst>
        </xdr:cNvPr>
        <xdr:cNvSpPr/>
      </xdr:nvSpPr>
      <xdr:spPr>
        <a:xfrm>
          <a:off x="14552023" y="23084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150</xdr:row>
      <xdr:rowOff>76199</xdr:rowOff>
    </xdr:from>
    <xdr:to>
      <xdr:col>57</xdr:col>
      <xdr:colOff>20683</xdr:colOff>
      <xdr:row>150</xdr:row>
      <xdr:rowOff>76199</xdr:rowOff>
    </xdr:to>
    <xdr:cxnSp macro="">
      <xdr:nvCxnSpPr>
        <xdr:cNvPr id="68968" name="직선 화살표 연결선 68967">
          <a:extLst>
            <a:ext uri="{FF2B5EF4-FFF2-40B4-BE49-F238E27FC236}">
              <a16:creationId xmlns:a16="http://schemas.microsoft.com/office/drawing/2014/main" id="{F095B956-4B15-45D6-9430-3915AEC2D18C}"/>
            </a:ext>
          </a:extLst>
        </xdr:cNvPr>
        <xdr:cNvCxnSpPr/>
      </xdr:nvCxnSpPr>
      <xdr:spPr>
        <a:xfrm>
          <a:off x="14552023" y="2314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149</xdr:row>
      <xdr:rowOff>19049</xdr:rowOff>
    </xdr:from>
    <xdr:to>
      <xdr:col>60</xdr:col>
      <xdr:colOff>125366</xdr:colOff>
      <xdr:row>149</xdr:row>
      <xdr:rowOff>133349</xdr:rowOff>
    </xdr:to>
    <xdr:sp macro="" textlink="">
      <xdr:nvSpPr>
        <xdr:cNvPr id="68969" name="146">
          <a:extLst>
            <a:ext uri="{FF2B5EF4-FFF2-40B4-BE49-F238E27FC236}">
              <a16:creationId xmlns:a16="http://schemas.microsoft.com/office/drawing/2014/main" id="{193F9123-C847-4633-A769-4852F962C49F}"/>
            </a:ext>
          </a:extLst>
        </xdr:cNvPr>
        <xdr:cNvSpPr/>
      </xdr:nvSpPr>
      <xdr:spPr>
        <a:xfrm>
          <a:off x="14552023" y="22932389"/>
          <a:ext cx="539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149</xdr:row>
      <xdr:rowOff>76199</xdr:rowOff>
    </xdr:from>
    <xdr:to>
      <xdr:col>57</xdr:col>
      <xdr:colOff>20683</xdr:colOff>
      <xdr:row>149</xdr:row>
      <xdr:rowOff>76199</xdr:rowOff>
    </xdr:to>
    <xdr:cxnSp macro="">
      <xdr:nvCxnSpPr>
        <xdr:cNvPr id="68970" name="직선 화살표 연결선 68969">
          <a:extLst>
            <a:ext uri="{FF2B5EF4-FFF2-40B4-BE49-F238E27FC236}">
              <a16:creationId xmlns:a16="http://schemas.microsoft.com/office/drawing/2014/main" id="{39835C06-E792-4092-AF39-BA5829112974}"/>
            </a:ext>
          </a:extLst>
        </xdr:cNvPr>
        <xdr:cNvCxnSpPr/>
      </xdr:nvCxnSpPr>
      <xdr:spPr>
        <a:xfrm>
          <a:off x="14552023" y="2298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148</xdr:row>
      <xdr:rowOff>19049</xdr:rowOff>
    </xdr:from>
    <xdr:to>
      <xdr:col>56</xdr:col>
      <xdr:colOff>104684</xdr:colOff>
      <xdr:row>148</xdr:row>
      <xdr:rowOff>133349</xdr:rowOff>
    </xdr:to>
    <xdr:sp macro="" textlink="">
      <xdr:nvSpPr>
        <xdr:cNvPr id="68971" name="145">
          <a:extLst>
            <a:ext uri="{FF2B5EF4-FFF2-40B4-BE49-F238E27FC236}">
              <a16:creationId xmlns:a16="http://schemas.microsoft.com/office/drawing/2014/main" id="{42553630-53B6-4BAA-9C5E-2157DB1C861A}"/>
            </a:ext>
          </a:extLst>
        </xdr:cNvPr>
        <xdr:cNvSpPr/>
      </xdr:nvSpPr>
      <xdr:spPr>
        <a:xfrm>
          <a:off x="14407243" y="227799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148</xdr:row>
      <xdr:rowOff>76199</xdr:rowOff>
    </xdr:from>
    <xdr:to>
      <xdr:col>56</xdr:col>
      <xdr:colOff>20683</xdr:colOff>
      <xdr:row>148</xdr:row>
      <xdr:rowOff>76199</xdr:rowOff>
    </xdr:to>
    <xdr:cxnSp macro="">
      <xdr:nvCxnSpPr>
        <xdr:cNvPr id="68972" name="직선 화살표 연결선 68971">
          <a:extLst>
            <a:ext uri="{FF2B5EF4-FFF2-40B4-BE49-F238E27FC236}">
              <a16:creationId xmlns:a16="http://schemas.microsoft.com/office/drawing/2014/main" id="{589BD6AE-4D89-4531-B18E-3D9AAFBACED0}"/>
            </a:ext>
          </a:extLst>
        </xdr:cNvPr>
        <xdr:cNvCxnSpPr/>
      </xdr:nvCxnSpPr>
      <xdr:spPr>
        <a:xfrm>
          <a:off x="14407243" y="2283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147</xdr:row>
      <xdr:rowOff>19049</xdr:rowOff>
    </xdr:from>
    <xdr:to>
      <xdr:col>55</xdr:col>
      <xdr:colOff>125366</xdr:colOff>
      <xdr:row>147</xdr:row>
      <xdr:rowOff>133349</xdr:rowOff>
    </xdr:to>
    <xdr:sp macro="" textlink="">
      <xdr:nvSpPr>
        <xdr:cNvPr id="68973" name="144">
          <a:extLst>
            <a:ext uri="{FF2B5EF4-FFF2-40B4-BE49-F238E27FC236}">
              <a16:creationId xmlns:a16="http://schemas.microsoft.com/office/drawing/2014/main" id="{2BB4D9D6-8F5E-45AF-80B9-F04A5CD4C967}"/>
            </a:ext>
          </a:extLst>
        </xdr:cNvPr>
        <xdr:cNvSpPr/>
      </xdr:nvSpPr>
      <xdr:spPr>
        <a:xfrm>
          <a:off x="14262463" y="22627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147</xdr:row>
      <xdr:rowOff>76199</xdr:rowOff>
    </xdr:from>
    <xdr:to>
      <xdr:col>55</xdr:col>
      <xdr:colOff>20683</xdr:colOff>
      <xdr:row>147</xdr:row>
      <xdr:rowOff>76199</xdr:rowOff>
    </xdr:to>
    <xdr:cxnSp macro="">
      <xdr:nvCxnSpPr>
        <xdr:cNvPr id="68974" name="직선 화살표 연결선 68973">
          <a:extLst>
            <a:ext uri="{FF2B5EF4-FFF2-40B4-BE49-F238E27FC236}">
              <a16:creationId xmlns:a16="http://schemas.microsoft.com/office/drawing/2014/main" id="{0E93E8D3-D77C-4D6B-BCC8-23C5854F901B}"/>
            </a:ext>
          </a:extLst>
        </xdr:cNvPr>
        <xdr:cNvCxnSpPr/>
      </xdr:nvCxnSpPr>
      <xdr:spPr>
        <a:xfrm>
          <a:off x="14262463" y="2268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146</xdr:row>
      <xdr:rowOff>19049</xdr:rowOff>
    </xdr:from>
    <xdr:to>
      <xdr:col>56</xdr:col>
      <xdr:colOff>104684</xdr:colOff>
      <xdr:row>146</xdr:row>
      <xdr:rowOff>133349</xdr:rowOff>
    </xdr:to>
    <xdr:sp macro="" textlink="">
      <xdr:nvSpPr>
        <xdr:cNvPr id="68975" name="143">
          <a:extLst>
            <a:ext uri="{FF2B5EF4-FFF2-40B4-BE49-F238E27FC236}">
              <a16:creationId xmlns:a16="http://schemas.microsoft.com/office/drawing/2014/main" id="{AD699B9D-8789-422E-9768-30224964BFDA}"/>
            </a:ext>
          </a:extLst>
        </xdr:cNvPr>
        <xdr:cNvSpPr/>
      </xdr:nvSpPr>
      <xdr:spPr>
        <a:xfrm>
          <a:off x="14262463" y="22475189"/>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146</xdr:row>
      <xdr:rowOff>76199</xdr:rowOff>
    </xdr:from>
    <xdr:to>
      <xdr:col>55</xdr:col>
      <xdr:colOff>20683</xdr:colOff>
      <xdr:row>146</xdr:row>
      <xdr:rowOff>76199</xdr:rowOff>
    </xdr:to>
    <xdr:cxnSp macro="">
      <xdr:nvCxnSpPr>
        <xdr:cNvPr id="68976" name="직선 화살표 연결선 68975">
          <a:extLst>
            <a:ext uri="{FF2B5EF4-FFF2-40B4-BE49-F238E27FC236}">
              <a16:creationId xmlns:a16="http://schemas.microsoft.com/office/drawing/2014/main" id="{12B8B433-94D5-4CA8-BD83-E8C5FA172B44}"/>
            </a:ext>
          </a:extLst>
        </xdr:cNvPr>
        <xdr:cNvCxnSpPr/>
      </xdr:nvCxnSpPr>
      <xdr:spPr>
        <a:xfrm>
          <a:off x="14262463" y="2253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20682</xdr:colOff>
      <xdr:row>145</xdr:row>
      <xdr:rowOff>19049</xdr:rowOff>
    </xdr:from>
    <xdr:to>
      <xdr:col>54</xdr:col>
      <xdr:colOff>125368</xdr:colOff>
      <xdr:row>145</xdr:row>
      <xdr:rowOff>133349</xdr:rowOff>
    </xdr:to>
    <xdr:sp macro="" textlink="">
      <xdr:nvSpPr>
        <xdr:cNvPr id="68977" name="142">
          <a:extLst>
            <a:ext uri="{FF2B5EF4-FFF2-40B4-BE49-F238E27FC236}">
              <a16:creationId xmlns:a16="http://schemas.microsoft.com/office/drawing/2014/main" id="{D43CD15E-DA2A-4949-81D8-5251117364EC}"/>
            </a:ext>
          </a:extLst>
        </xdr:cNvPr>
        <xdr:cNvSpPr/>
      </xdr:nvSpPr>
      <xdr:spPr>
        <a:xfrm>
          <a:off x="14117682" y="223227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20682</xdr:colOff>
      <xdr:row>145</xdr:row>
      <xdr:rowOff>76199</xdr:rowOff>
    </xdr:from>
    <xdr:to>
      <xdr:col>54</xdr:col>
      <xdr:colOff>20682</xdr:colOff>
      <xdr:row>145</xdr:row>
      <xdr:rowOff>76199</xdr:rowOff>
    </xdr:to>
    <xdr:cxnSp macro="">
      <xdr:nvCxnSpPr>
        <xdr:cNvPr id="68978" name="직선 화살표 연결선 68977">
          <a:extLst>
            <a:ext uri="{FF2B5EF4-FFF2-40B4-BE49-F238E27FC236}">
              <a16:creationId xmlns:a16="http://schemas.microsoft.com/office/drawing/2014/main" id="{7B2F5EC6-6D19-46E7-B383-E44B1DC4B777}"/>
            </a:ext>
          </a:extLst>
        </xdr:cNvPr>
        <xdr:cNvCxnSpPr/>
      </xdr:nvCxnSpPr>
      <xdr:spPr>
        <a:xfrm>
          <a:off x="14117682" y="2237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144</xdr:row>
      <xdr:rowOff>19049</xdr:rowOff>
    </xdr:from>
    <xdr:to>
      <xdr:col>53</xdr:col>
      <xdr:colOff>125367</xdr:colOff>
      <xdr:row>144</xdr:row>
      <xdr:rowOff>133349</xdr:rowOff>
    </xdr:to>
    <xdr:sp macro="" textlink="">
      <xdr:nvSpPr>
        <xdr:cNvPr id="68979" name="141">
          <a:extLst>
            <a:ext uri="{FF2B5EF4-FFF2-40B4-BE49-F238E27FC236}">
              <a16:creationId xmlns:a16="http://schemas.microsoft.com/office/drawing/2014/main" id="{13F9C7AD-A49F-41F6-B731-0EBC6F2923D4}"/>
            </a:ext>
          </a:extLst>
        </xdr:cNvPr>
        <xdr:cNvSpPr/>
      </xdr:nvSpPr>
      <xdr:spPr>
        <a:xfrm>
          <a:off x="13972902" y="221703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144</xdr:row>
      <xdr:rowOff>76199</xdr:rowOff>
    </xdr:from>
    <xdr:to>
      <xdr:col>53</xdr:col>
      <xdr:colOff>20682</xdr:colOff>
      <xdr:row>144</xdr:row>
      <xdr:rowOff>76199</xdr:rowOff>
    </xdr:to>
    <xdr:cxnSp macro="">
      <xdr:nvCxnSpPr>
        <xdr:cNvPr id="68980" name="직선 화살표 연결선 68979">
          <a:extLst>
            <a:ext uri="{FF2B5EF4-FFF2-40B4-BE49-F238E27FC236}">
              <a16:creationId xmlns:a16="http://schemas.microsoft.com/office/drawing/2014/main" id="{9983A16A-A60D-4199-9E9D-BAF88F4F1E7B}"/>
            </a:ext>
          </a:extLst>
        </xdr:cNvPr>
        <xdr:cNvCxnSpPr/>
      </xdr:nvCxnSpPr>
      <xdr:spPr>
        <a:xfrm>
          <a:off x="13972902" y="2222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143</xdr:row>
      <xdr:rowOff>19049</xdr:rowOff>
    </xdr:from>
    <xdr:to>
      <xdr:col>52</xdr:col>
      <xdr:colOff>125367</xdr:colOff>
      <xdr:row>143</xdr:row>
      <xdr:rowOff>133349</xdr:rowOff>
    </xdr:to>
    <xdr:sp macro="" textlink="">
      <xdr:nvSpPr>
        <xdr:cNvPr id="68981" name="140">
          <a:extLst>
            <a:ext uri="{FF2B5EF4-FFF2-40B4-BE49-F238E27FC236}">
              <a16:creationId xmlns:a16="http://schemas.microsoft.com/office/drawing/2014/main" id="{E621F1CE-BDBF-46D1-9810-0BBC4C5B0420}"/>
            </a:ext>
          </a:extLst>
        </xdr:cNvPr>
        <xdr:cNvSpPr/>
      </xdr:nvSpPr>
      <xdr:spPr>
        <a:xfrm>
          <a:off x="13249002" y="220179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143</xdr:row>
      <xdr:rowOff>76199</xdr:rowOff>
    </xdr:from>
    <xdr:to>
      <xdr:col>48</xdr:col>
      <xdr:colOff>20682</xdr:colOff>
      <xdr:row>143</xdr:row>
      <xdr:rowOff>76199</xdr:rowOff>
    </xdr:to>
    <xdr:cxnSp macro="">
      <xdr:nvCxnSpPr>
        <xdr:cNvPr id="68982" name="직선 화살표 연결선 68981">
          <a:extLst>
            <a:ext uri="{FF2B5EF4-FFF2-40B4-BE49-F238E27FC236}">
              <a16:creationId xmlns:a16="http://schemas.microsoft.com/office/drawing/2014/main" id="{402E520F-285F-4455-8FE1-45A92C696EE5}"/>
            </a:ext>
          </a:extLst>
        </xdr:cNvPr>
        <xdr:cNvCxnSpPr/>
      </xdr:nvCxnSpPr>
      <xdr:spPr>
        <a:xfrm>
          <a:off x="13249002" y="2207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142</xdr:row>
      <xdr:rowOff>19049</xdr:rowOff>
    </xdr:from>
    <xdr:to>
      <xdr:col>54</xdr:col>
      <xdr:colOff>125368</xdr:colOff>
      <xdr:row>142</xdr:row>
      <xdr:rowOff>133349</xdr:rowOff>
    </xdr:to>
    <xdr:sp macro="" textlink="">
      <xdr:nvSpPr>
        <xdr:cNvPr id="68983" name="139">
          <a:extLst>
            <a:ext uri="{FF2B5EF4-FFF2-40B4-BE49-F238E27FC236}">
              <a16:creationId xmlns:a16="http://schemas.microsoft.com/office/drawing/2014/main" id="{17497B49-7E49-4750-95DB-8BB2AA29DAE3}"/>
            </a:ext>
          </a:extLst>
        </xdr:cNvPr>
        <xdr:cNvSpPr/>
      </xdr:nvSpPr>
      <xdr:spPr>
        <a:xfrm>
          <a:off x="13249002" y="21865589"/>
          <a:ext cx="973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142</xdr:row>
      <xdr:rowOff>76199</xdr:rowOff>
    </xdr:from>
    <xdr:to>
      <xdr:col>48</xdr:col>
      <xdr:colOff>20682</xdr:colOff>
      <xdr:row>142</xdr:row>
      <xdr:rowOff>76199</xdr:rowOff>
    </xdr:to>
    <xdr:cxnSp macro="">
      <xdr:nvCxnSpPr>
        <xdr:cNvPr id="68984" name="직선 화살표 연결선 68983">
          <a:extLst>
            <a:ext uri="{FF2B5EF4-FFF2-40B4-BE49-F238E27FC236}">
              <a16:creationId xmlns:a16="http://schemas.microsoft.com/office/drawing/2014/main" id="{D14879E2-4D64-4F95-A083-73BC83D4FC57}"/>
            </a:ext>
          </a:extLst>
        </xdr:cNvPr>
        <xdr:cNvCxnSpPr/>
      </xdr:nvCxnSpPr>
      <xdr:spPr>
        <a:xfrm>
          <a:off x="13249002" y="2192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141</xdr:row>
      <xdr:rowOff>19049</xdr:rowOff>
    </xdr:from>
    <xdr:to>
      <xdr:col>65</xdr:col>
      <xdr:colOff>125366</xdr:colOff>
      <xdr:row>141</xdr:row>
      <xdr:rowOff>133349</xdr:rowOff>
    </xdr:to>
    <xdr:sp macro="" textlink="">
      <xdr:nvSpPr>
        <xdr:cNvPr id="68985" name="138">
          <a:extLst>
            <a:ext uri="{FF2B5EF4-FFF2-40B4-BE49-F238E27FC236}">
              <a16:creationId xmlns:a16="http://schemas.microsoft.com/office/drawing/2014/main" id="{4209FF98-C088-4450-9D39-A583138192F8}"/>
            </a:ext>
          </a:extLst>
        </xdr:cNvPr>
        <xdr:cNvSpPr/>
      </xdr:nvSpPr>
      <xdr:spPr>
        <a:xfrm>
          <a:off x="13249002" y="217131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141</xdr:row>
      <xdr:rowOff>76199</xdr:rowOff>
    </xdr:from>
    <xdr:to>
      <xdr:col>48</xdr:col>
      <xdr:colOff>20682</xdr:colOff>
      <xdr:row>141</xdr:row>
      <xdr:rowOff>76199</xdr:rowOff>
    </xdr:to>
    <xdr:cxnSp macro="">
      <xdr:nvCxnSpPr>
        <xdr:cNvPr id="68986" name="직선 화살표 연결선 68985">
          <a:extLst>
            <a:ext uri="{FF2B5EF4-FFF2-40B4-BE49-F238E27FC236}">
              <a16:creationId xmlns:a16="http://schemas.microsoft.com/office/drawing/2014/main" id="{48DAACE6-DD66-490C-8D0A-E754693C9A58}"/>
            </a:ext>
          </a:extLst>
        </xdr:cNvPr>
        <xdr:cNvCxnSpPr/>
      </xdr:nvCxnSpPr>
      <xdr:spPr>
        <a:xfrm>
          <a:off x="13249002" y="2177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140</xdr:row>
      <xdr:rowOff>19049</xdr:rowOff>
    </xdr:from>
    <xdr:to>
      <xdr:col>58</xdr:col>
      <xdr:colOff>125367</xdr:colOff>
      <xdr:row>140</xdr:row>
      <xdr:rowOff>133349</xdr:rowOff>
    </xdr:to>
    <xdr:sp macro="" textlink="">
      <xdr:nvSpPr>
        <xdr:cNvPr id="68987" name="137">
          <a:extLst>
            <a:ext uri="{FF2B5EF4-FFF2-40B4-BE49-F238E27FC236}">
              <a16:creationId xmlns:a16="http://schemas.microsoft.com/office/drawing/2014/main" id="{FDF79635-6C03-4E56-810D-0BA4DF060F00}"/>
            </a:ext>
          </a:extLst>
        </xdr:cNvPr>
        <xdr:cNvSpPr/>
      </xdr:nvSpPr>
      <xdr:spPr>
        <a:xfrm>
          <a:off x="14552023" y="2156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140</xdr:row>
      <xdr:rowOff>76199</xdr:rowOff>
    </xdr:from>
    <xdr:to>
      <xdr:col>57</xdr:col>
      <xdr:colOff>20683</xdr:colOff>
      <xdr:row>140</xdr:row>
      <xdr:rowOff>76199</xdr:rowOff>
    </xdr:to>
    <xdr:cxnSp macro="">
      <xdr:nvCxnSpPr>
        <xdr:cNvPr id="68988" name="직선 화살표 연결선 68987">
          <a:extLst>
            <a:ext uri="{FF2B5EF4-FFF2-40B4-BE49-F238E27FC236}">
              <a16:creationId xmlns:a16="http://schemas.microsoft.com/office/drawing/2014/main" id="{60479F39-D91E-4783-890E-AA3D24EC15A8}"/>
            </a:ext>
          </a:extLst>
        </xdr:cNvPr>
        <xdr:cNvCxnSpPr/>
      </xdr:nvCxnSpPr>
      <xdr:spPr>
        <a:xfrm>
          <a:off x="14552023" y="2161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139</xdr:row>
      <xdr:rowOff>19049</xdr:rowOff>
    </xdr:from>
    <xdr:to>
      <xdr:col>58</xdr:col>
      <xdr:colOff>125367</xdr:colOff>
      <xdr:row>139</xdr:row>
      <xdr:rowOff>133349</xdr:rowOff>
    </xdr:to>
    <xdr:sp macro="" textlink="">
      <xdr:nvSpPr>
        <xdr:cNvPr id="68989" name="136">
          <a:extLst>
            <a:ext uri="{FF2B5EF4-FFF2-40B4-BE49-F238E27FC236}">
              <a16:creationId xmlns:a16="http://schemas.microsoft.com/office/drawing/2014/main" id="{EFA40788-6F55-42A2-A625-98B11C178CD3}"/>
            </a:ext>
          </a:extLst>
        </xdr:cNvPr>
        <xdr:cNvSpPr/>
      </xdr:nvSpPr>
      <xdr:spPr>
        <a:xfrm>
          <a:off x="13972902" y="21408389"/>
          <a:ext cx="8285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139</xdr:row>
      <xdr:rowOff>76199</xdr:rowOff>
    </xdr:from>
    <xdr:to>
      <xdr:col>53</xdr:col>
      <xdr:colOff>20682</xdr:colOff>
      <xdr:row>139</xdr:row>
      <xdr:rowOff>76199</xdr:rowOff>
    </xdr:to>
    <xdr:cxnSp macro="">
      <xdr:nvCxnSpPr>
        <xdr:cNvPr id="68990" name="직선 화살표 연결선 68989">
          <a:extLst>
            <a:ext uri="{FF2B5EF4-FFF2-40B4-BE49-F238E27FC236}">
              <a16:creationId xmlns:a16="http://schemas.microsoft.com/office/drawing/2014/main" id="{B4C2A880-2477-4643-9B10-90C4E7F5E8BE}"/>
            </a:ext>
          </a:extLst>
        </xdr:cNvPr>
        <xdr:cNvCxnSpPr/>
      </xdr:nvCxnSpPr>
      <xdr:spPr>
        <a:xfrm>
          <a:off x="13972902" y="2146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20683</xdr:colOff>
      <xdr:row>138</xdr:row>
      <xdr:rowOff>19049</xdr:rowOff>
    </xdr:from>
    <xdr:to>
      <xdr:col>47</xdr:col>
      <xdr:colOff>125367</xdr:colOff>
      <xdr:row>138</xdr:row>
      <xdr:rowOff>133349</xdr:rowOff>
    </xdr:to>
    <xdr:sp macro="" textlink="">
      <xdr:nvSpPr>
        <xdr:cNvPr id="68991" name="135">
          <a:extLst>
            <a:ext uri="{FF2B5EF4-FFF2-40B4-BE49-F238E27FC236}">
              <a16:creationId xmlns:a16="http://schemas.microsoft.com/office/drawing/2014/main" id="{77031AC0-1A0D-4C0B-92D1-210A2062982E}"/>
            </a:ext>
          </a:extLst>
        </xdr:cNvPr>
        <xdr:cNvSpPr/>
      </xdr:nvSpPr>
      <xdr:spPr>
        <a:xfrm>
          <a:off x="12669883" y="212559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20683</xdr:colOff>
      <xdr:row>138</xdr:row>
      <xdr:rowOff>76199</xdr:rowOff>
    </xdr:from>
    <xdr:to>
      <xdr:col>44</xdr:col>
      <xdr:colOff>20683</xdr:colOff>
      <xdr:row>138</xdr:row>
      <xdr:rowOff>76199</xdr:rowOff>
    </xdr:to>
    <xdr:cxnSp macro="">
      <xdr:nvCxnSpPr>
        <xdr:cNvPr id="68992" name="직선 화살표 연결선 68991">
          <a:extLst>
            <a:ext uri="{FF2B5EF4-FFF2-40B4-BE49-F238E27FC236}">
              <a16:creationId xmlns:a16="http://schemas.microsoft.com/office/drawing/2014/main" id="{1DDA1C49-C61E-4FBB-8581-9407FC1EB0DF}"/>
            </a:ext>
          </a:extLst>
        </xdr:cNvPr>
        <xdr:cNvCxnSpPr/>
      </xdr:nvCxnSpPr>
      <xdr:spPr>
        <a:xfrm>
          <a:off x="12669883" y="2131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137</xdr:row>
      <xdr:rowOff>19049</xdr:rowOff>
    </xdr:from>
    <xdr:to>
      <xdr:col>52</xdr:col>
      <xdr:colOff>125367</xdr:colOff>
      <xdr:row>137</xdr:row>
      <xdr:rowOff>133349</xdr:rowOff>
    </xdr:to>
    <xdr:sp macro="" textlink="">
      <xdr:nvSpPr>
        <xdr:cNvPr id="68993" name="134">
          <a:extLst>
            <a:ext uri="{FF2B5EF4-FFF2-40B4-BE49-F238E27FC236}">
              <a16:creationId xmlns:a16="http://schemas.microsoft.com/office/drawing/2014/main" id="{7D0F739F-6A9B-46B4-8744-C37185B0B3C4}"/>
            </a:ext>
          </a:extLst>
        </xdr:cNvPr>
        <xdr:cNvSpPr/>
      </xdr:nvSpPr>
      <xdr:spPr>
        <a:xfrm>
          <a:off x="13249002" y="211035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137</xdr:row>
      <xdr:rowOff>76199</xdr:rowOff>
    </xdr:from>
    <xdr:to>
      <xdr:col>48</xdr:col>
      <xdr:colOff>20682</xdr:colOff>
      <xdr:row>137</xdr:row>
      <xdr:rowOff>76199</xdr:rowOff>
    </xdr:to>
    <xdr:cxnSp macro="">
      <xdr:nvCxnSpPr>
        <xdr:cNvPr id="68994" name="직선 화살표 연결선 68993">
          <a:extLst>
            <a:ext uri="{FF2B5EF4-FFF2-40B4-BE49-F238E27FC236}">
              <a16:creationId xmlns:a16="http://schemas.microsoft.com/office/drawing/2014/main" id="{A3331BF2-D093-41EC-8592-372FBFA9F996}"/>
            </a:ext>
          </a:extLst>
        </xdr:cNvPr>
        <xdr:cNvCxnSpPr/>
      </xdr:nvCxnSpPr>
      <xdr:spPr>
        <a:xfrm>
          <a:off x="13249002" y="2116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136</xdr:row>
      <xdr:rowOff>19049</xdr:rowOff>
    </xdr:from>
    <xdr:to>
      <xdr:col>51</xdr:col>
      <xdr:colOff>125367</xdr:colOff>
      <xdr:row>136</xdr:row>
      <xdr:rowOff>133349</xdr:rowOff>
    </xdr:to>
    <xdr:sp macro="" textlink="">
      <xdr:nvSpPr>
        <xdr:cNvPr id="68995" name="133">
          <a:extLst>
            <a:ext uri="{FF2B5EF4-FFF2-40B4-BE49-F238E27FC236}">
              <a16:creationId xmlns:a16="http://schemas.microsoft.com/office/drawing/2014/main" id="{26E50B42-C17C-418B-9A1E-1B764FF48C7A}"/>
            </a:ext>
          </a:extLst>
        </xdr:cNvPr>
        <xdr:cNvSpPr/>
      </xdr:nvSpPr>
      <xdr:spPr>
        <a:xfrm>
          <a:off x="11511643" y="209511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136</xdr:row>
      <xdr:rowOff>76199</xdr:rowOff>
    </xdr:from>
    <xdr:to>
      <xdr:col>36</xdr:col>
      <xdr:colOff>20683</xdr:colOff>
      <xdr:row>136</xdr:row>
      <xdr:rowOff>76199</xdr:rowOff>
    </xdr:to>
    <xdr:cxnSp macro="">
      <xdr:nvCxnSpPr>
        <xdr:cNvPr id="68996" name="직선 화살표 연결선 68995">
          <a:extLst>
            <a:ext uri="{FF2B5EF4-FFF2-40B4-BE49-F238E27FC236}">
              <a16:creationId xmlns:a16="http://schemas.microsoft.com/office/drawing/2014/main" id="{BE400DF8-00E0-4C81-B582-58D9BCABE15C}"/>
            </a:ext>
          </a:extLst>
        </xdr:cNvPr>
        <xdr:cNvCxnSpPr/>
      </xdr:nvCxnSpPr>
      <xdr:spPr>
        <a:xfrm>
          <a:off x="11511643" y="2100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135</xdr:row>
      <xdr:rowOff>19049</xdr:rowOff>
    </xdr:from>
    <xdr:to>
      <xdr:col>43</xdr:col>
      <xdr:colOff>125366</xdr:colOff>
      <xdr:row>135</xdr:row>
      <xdr:rowOff>133349</xdr:rowOff>
    </xdr:to>
    <xdr:sp macro="" textlink="">
      <xdr:nvSpPr>
        <xdr:cNvPr id="68997" name="132">
          <a:extLst>
            <a:ext uri="{FF2B5EF4-FFF2-40B4-BE49-F238E27FC236}">
              <a16:creationId xmlns:a16="http://schemas.microsoft.com/office/drawing/2014/main" id="{7BCBFA5B-910E-4BBA-BB6A-DA6AE687693F}"/>
            </a:ext>
          </a:extLst>
        </xdr:cNvPr>
        <xdr:cNvSpPr/>
      </xdr:nvSpPr>
      <xdr:spPr>
        <a:xfrm>
          <a:off x="11366863" y="207987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135</xdr:row>
      <xdr:rowOff>76199</xdr:rowOff>
    </xdr:from>
    <xdr:to>
      <xdr:col>35</xdr:col>
      <xdr:colOff>20683</xdr:colOff>
      <xdr:row>135</xdr:row>
      <xdr:rowOff>76199</xdr:rowOff>
    </xdr:to>
    <xdr:cxnSp macro="">
      <xdr:nvCxnSpPr>
        <xdr:cNvPr id="68998" name="직선 화살표 연결선 68997">
          <a:extLst>
            <a:ext uri="{FF2B5EF4-FFF2-40B4-BE49-F238E27FC236}">
              <a16:creationId xmlns:a16="http://schemas.microsoft.com/office/drawing/2014/main" id="{51636BC2-CDBE-4DB7-A23A-5D21CFACDA5A}"/>
            </a:ext>
          </a:extLst>
        </xdr:cNvPr>
        <xdr:cNvCxnSpPr/>
      </xdr:nvCxnSpPr>
      <xdr:spPr>
        <a:xfrm>
          <a:off x="11366863" y="2085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131</xdr:row>
      <xdr:rowOff>19049</xdr:rowOff>
    </xdr:from>
    <xdr:to>
      <xdr:col>34</xdr:col>
      <xdr:colOff>125367</xdr:colOff>
      <xdr:row>131</xdr:row>
      <xdr:rowOff>133349</xdr:rowOff>
    </xdr:to>
    <xdr:sp macro="" textlink="">
      <xdr:nvSpPr>
        <xdr:cNvPr id="68999" name="128">
          <a:extLst>
            <a:ext uri="{FF2B5EF4-FFF2-40B4-BE49-F238E27FC236}">
              <a16:creationId xmlns:a16="http://schemas.microsoft.com/office/drawing/2014/main" id="{0608D497-BD16-4348-A05E-DC4176CCDC41}"/>
            </a:ext>
          </a:extLst>
        </xdr:cNvPr>
        <xdr:cNvSpPr/>
      </xdr:nvSpPr>
      <xdr:spPr>
        <a:xfrm>
          <a:off x="10787743" y="201891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131</xdr:row>
      <xdr:rowOff>76199</xdr:rowOff>
    </xdr:from>
    <xdr:to>
      <xdr:col>31</xdr:col>
      <xdr:colOff>20683</xdr:colOff>
      <xdr:row>131</xdr:row>
      <xdr:rowOff>76199</xdr:rowOff>
    </xdr:to>
    <xdr:cxnSp macro="">
      <xdr:nvCxnSpPr>
        <xdr:cNvPr id="69000" name="직선 화살표 연결선 68999">
          <a:extLst>
            <a:ext uri="{FF2B5EF4-FFF2-40B4-BE49-F238E27FC236}">
              <a16:creationId xmlns:a16="http://schemas.microsoft.com/office/drawing/2014/main" id="{795D7AB9-86CC-481F-85DA-C252D47D4F2F}"/>
            </a:ext>
          </a:extLst>
        </xdr:cNvPr>
        <xdr:cNvCxnSpPr/>
      </xdr:nvCxnSpPr>
      <xdr:spPr>
        <a:xfrm>
          <a:off x="10787743" y="2024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130</xdr:row>
      <xdr:rowOff>19049</xdr:rowOff>
    </xdr:from>
    <xdr:to>
      <xdr:col>58</xdr:col>
      <xdr:colOff>125367</xdr:colOff>
      <xdr:row>130</xdr:row>
      <xdr:rowOff>133349</xdr:rowOff>
    </xdr:to>
    <xdr:sp macro="" textlink="">
      <xdr:nvSpPr>
        <xdr:cNvPr id="69001" name="127">
          <a:extLst>
            <a:ext uri="{FF2B5EF4-FFF2-40B4-BE49-F238E27FC236}">
              <a16:creationId xmlns:a16="http://schemas.microsoft.com/office/drawing/2014/main" id="{56CE6196-2F04-4864-87D4-C71EBF940A29}"/>
            </a:ext>
          </a:extLst>
        </xdr:cNvPr>
        <xdr:cNvSpPr/>
      </xdr:nvSpPr>
      <xdr:spPr>
        <a:xfrm>
          <a:off x="10787743" y="200367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130</xdr:row>
      <xdr:rowOff>76199</xdr:rowOff>
    </xdr:from>
    <xdr:to>
      <xdr:col>31</xdr:col>
      <xdr:colOff>20683</xdr:colOff>
      <xdr:row>130</xdr:row>
      <xdr:rowOff>76199</xdr:rowOff>
    </xdr:to>
    <xdr:cxnSp macro="">
      <xdr:nvCxnSpPr>
        <xdr:cNvPr id="69002" name="직선 화살표 연결선 69001">
          <a:extLst>
            <a:ext uri="{FF2B5EF4-FFF2-40B4-BE49-F238E27FC236}">
              <a16:creationId xmlns:a16="http://schemas.microsoft.com/office/drawing/2014/main" id="{E2052154-2D1D-4581-9BA7-59F89A60DE65}"/>
            </a:ext>
          </a:extLst>
        </xdr:cNvPr>
        <xdr:cNvCxnSpPr/>
      </xdr:nvCxnSpPr>
      <xdr:spPr>
        <a:xfrm>
          <a:off x="10787743" y="2009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129</xdr:row>
      <xdr:rowOff>19049</xdr:rowOff>
    </xdr:from>
    <xdr:to>
      <xdr:col>52</xdr:col>
      <xdr:colOff>125367</xdr:colOff>
      <xdr:row>129</xdr:row>
      <xdr:rowOff>133349</xdr:rowOff>
    </xdr:to>
    <xdr:sp macro="" textlink="">
      <xdr:nvSpPr>
        <xdr:cNvPr id="69003" name="126">
          <a:extLst>
            <a:ext uri="{FF2B5EF4-FFF2-40B4-BE49-F238E27FC236}">
              <a16:creationId xmlns:a16="http://schemas.microsoft.com/office/drawing/2014/main" id="{D042C18D-D927-41E1-AAF2-30796345E0C3}"/>
            </a:ext>
          </a:extLst>
        </xdr:cNvPr>
        <xdr:cNvSpPr/>
      </xdr:nvSpPr>
      <xdr:spPr>
        <a:xfrm>
          <a:off x="13249002" y="198843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129</xdr:row>
      <xdr:rowOff>76199</xdr:rowOff>
    </xdr:from>
    <xdr:to>
      <xdr:col>48</xdr:col>
      <xdr:colOff>20682</xdr:colOff>
      <xdr:row>129</xdr:row>
      <xdr:rowOff>76199</xdr:rowOff>
    </xdr:to>
    <xdr:cxnSp macro="">
      <xdr:nvCxnSpPr>
        <xdr:cNvPr id="69004" name="직선 화살표 연결선 69003">
          <a:extLst>
            <a:ext uri="{FF2B5EF4-FFF2-40B4-BE49-F238E27FC236}">
              <a16:creationId xmlns:a16="http://schemas.microsoft.com/office/drawing/2014/main" id="{A5BF2C94-E891-47EB-9026-F632F358BE93}"/>
            </a:ext>
          </a:extLst>
        </xdr:cNvPr>
        <xdr:cNvCxnSpPr/>
      </xdr:nvCxnSpPr>
      <xdr:spPr>
        <a:xfrm>
          <a:off x="13249002" y="1994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128</xdr:row>
      <xdr:rowOff>19049</xdr:rowOff>
    </xdr:from>
    <xdr:to>
      <xdr:col>51</xdr:col>
      <xdr:colOff>125367</xdr:colOff>
      <xdr:row>128</xdr:row>
      <xdr:rowOff>133349</xdr:rowOff>
    </xdr:to>
    <xdr:sp macro="" textlink="">
      <xdr:nvSpPr>
        <xdr:cNvPr id="69005" name="125">
          <a:extLst>
            <a:ext uri="{FF2B5EF4-FFF2-40B4-BE49-F238E27FC236}">
              <a16:creationId xmlns:a16="http://schemas.microsoft.com/office/drawing/2014/main" id="{219C39AC-027A-4FB8-8FCD-62CFFAC0F317}"/>
            </a:ext>
          </a:extLst>
        </xdr:cNvPr>
        <xdr:cNvSpPr/>
      </xdr:nvSpPr>
      <xdr:spPr>
        <a:xfrm>
          <a:off x="11511643" y="197319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128</xdr:row>
      <xdr:rowOff>76199</xdr:rowOff>
    </xdr:from>
    <xdr:to>
      <xdr:col>36</xdr:col>
      <xdr:colOff>20683</xdr:colOff>
      <xdr:row>128</xdr:row>
      <xdr:rowOff>76199</xdr:rowOff>
    </xdr:to>
    <xdr:cxnSp macro="">
      <xdr:nvCxnSpPr>
        <xdr:cNvPr id="69006" name="직선 화살표 연결선 69005">
          <a:extLst>
            <a:ext uri="{FF2B5EF4-FFF2-40B4-BE49-F238E27FC236}">
              <a16:creationId xmlns:a16="http://schemas.microsoft.com/office/drawing/2014/main" id="{830809F3-96D4-4C0F-B5F0-4E6645DF8478}"/>
            </a:ext>
          </a:extLst>
        </xdr:cNvPr>
        <xdr:cNvCxnSpPr/>
      </xdr:nvCxnSpPr>
      <xdr:spPr>
        <a:xfrm>
          <a:off x="11511643" y="1978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127</xdr:row>
      <xdr:rowOff>19049</xdr:rowOff>
    </xdr:from>
    <xdr:to>
      <xdr:col>43</xdr:col>
      <xdr:colOff>125366</xdr:colOff>
      <xdr:row>127</xdr:row>
      <xdr:rowOff>133349</xdr:rowOff>
    </xdr:to>
    <xdr:sp macro="" textlink="">
      <xdr:nvSpPr>
        <xdr:cNvPr id="69007" name="124">
          <a:extLst>
            <a:ext uri="{FF2B5EF4-FFF2-40B4-BE49-F238E27FC236}">
              <a16:creationId xmlns:a16="http://schemas.microsoft.com/office/drawing/2014/main" id="{86407C97-701D-4535-B789-621286CBB3B6}"/>
            </a:ext>
          </a:extLst>
        </xdr:cNvPr>
        <xdr:cNvSpPr/>
      </xdr:nvSpPr>
      <xdr:spPr>
        <a:xfrm>
          <a:off x="11366863" y="195795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127</xdr:row>
      <xdr:rowOff>76199</xdr:rowOff>
    </xdr:from>
    <xdr:to>
      <xdr:col>35</xdr:col>
      <xdr:colOff>20683</xdr:colOff>
      <xdr:row>127</xdr:row>
      <xdr:rowOff>76199</xdr:rowOff>
    </xdr:to>
    <xdr:cxnSp macro="">
      <xdr:nvCxnSpPr>
        <xdr:cNvPr id="69008" name="직선 화살표 연결선 69007">
          <a:extLst>
            <a:ext uri="{FF2B5EF4-FFF2-40B4-BE49-F238E27FC236}">
              <a16:creationId xmlns:a16="http://schemas.microsoft.com/office/drawing/2014/main" id="{ABDB8BD6-E7FB-4833-9988-628E16CDF08B}"/>
            </a:ext>
          </a:extLst>
        </xdr:cNvPr>
        <xdr:cNvCxnSpPr/>
      </xdr:nvCxnSpPr>
      <xdr:spPr>
        <a:xfrm>
          <a:off x="11366863" y="1963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123</xdr:row>
      <xdr:rowOff>19049</xdr:rowOff>
    </xdr:from>
    <xdr:to>
      <xdr:col>34</xdr:col>
      <xdr:colOff>125367</xdr:colOff>
      <xdr:row>123</xdr:row>
      <xdr:rowOff>133349</xdr:rowOff>
    </xdr:to>
    <xdr:sp macro="" textlink="">
      <xdr:nvSpPr>
        <xdr:cNvPr id="69009" name="120">
          <a:extLst>
            <a:ext uri="{FF2B5EF4-FFF2-40B4-BE49-F238E27FC236}">
              <a16:creationId xmlns:a16="http://schemas.microsoft.com/office/drawing/2014/main" id="{FBA46DAC-F346-4419-97C6-9490BA4B34E1}"/>
            </a:ext>
          </a:extLst>
        </xdr:cNvPr>
        <xdr:cNvSpPr/>
      </xdr:nvSpPr>
      <xdr:spPr>
        <a:xfrm>
          <a:off x="10787743" y="189699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123</xdr:row>
      <xdr:rowOff>76199</xdr:rowOff>
    </xdr:from>
    <xdr:to>
      <xdr:col>31</xdr:col>
      <xdr:colOff>20683</xdr:colOff>
      <xdr:row>123</xdr:row>
      <xdr:rowOff>76199</xdr:rowOff>
    </xdr:to>
    <xdr:cxnSp macro="">
      <xdr:nvCxnSpPr>
        <xdr:cNvPr id="69010" name="직선 화살표 연결선 69009">
          <a:extLst>
            <a:ext uri="{FF2B5EF4-FFF2-40B4-BE49-F238E27FC236}">
              <a16:creationId xmlns:a16="http://schemas.microsoft.com/office/drawing/2014/main" id="{C42704CC-2D62-42F8-A5B7-D82483D0713C}"/>
            </a:ext>
          </a:extLst>
        </xdr:cNvPr>
        <xdr:cNvCxnSpPr/>
      </xdr:nvCxnSpPr>
      <xdr:spPr>
        <a:xfrm>
          <a:off x="10787743" y="1902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122</xdr:row>
      <xdr:rowOff>19049</xdr:rowOff>
    </xdr:from>
    <xdr:to>
      <xdr:col>52</xdr:col>
      <xdr:colOff>125367</xdr:colOff>
      <xdr:row>122</xdr:row>
      <xdr:rowOff>133349</xdr:rowOff>
    </xdr:to>
    <xdr:sp macro="" textlink="">
      <xdr:nvSpPr>
        <xdr:cNvPr id="69011" name="119">
          <a:extLst>
            <a:ext uri="{FF2B5EF4-FFF2-40B4-BE49-F238E27FC236}">
              <a16:creationId xmlns:a16="http://schemas.microsoft.com/office/drawing/2014/main" id="{E815EB88-0EB2-4A45-B79E-1BE908914967}"/>
            </a:ext>
          </a:extLst>
        </xdr:cNvPr>
        <xdr:cNvSpPr/>
      </xdr:nvSpPr>
      <xdr:spPr>
        <a:xfrm>
          <a:off x="10787743" y="18817589"/>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122</xdr:row>
      <xdr:rowOff>76199</xdr:rowOff>
    </xdr:from>
    <xdr:to>
      <xdr:col>31</xdr:col>
      <xdr:colOff>20683</xdr:colOff>
      <xdr:row>122</xdr:row>
      <xdr:rowOff>76199</xdr:rowOff>
    </xdr:to>
    <xdr:cxnSp macro="">
      <xdr:nvCxnSpPr>
        <xdr:cNvPr id="69012" name="직선 화살표 연결선 69011">
          <a:extLst>
            <a:ext uri="{FF2B5EF4-FFF2-40B4-BE49-F238E27FC236}">
              <a16:creationId xmlns:a16="http://schemas.microsoft.com/office/drawing/2014/main" id="{C7808A30-96D7-4D72-9E16-51582E254FC1}"/>
            </a:ext>
          </a:extLst>
        </xdr:cNvPr>
        <xdr:cNvCxnSpPr/>
      </xdr:nvCxnSpPr>
      <xdr:spPr>
        <a:xfrm>
          <a:off x="10787743" y="1887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121</xdr:row>
      <xdr:rowOff>19049</xdr:rowOff>
    </xdr:from>
    <xdr:to>
      <xdr:col>31</xdr:col>
      <xdr:colOff>125367</xdr:colOff>
      <xdr:row>121</xdr:row>
      <xdr:rowOff>133349</xdr:rowOff>
    </xdr:to>
    <xdr:sp macro="" textlink="">
      <xdr:nvSpPr>
        <xdr:cNvPr id="69013" name="118">
          <a:extLst>
            <a:ext uri="{FF2B5EF4-FFF2-40B4-BE49-F238E27FC236}">
              <a16:creationId xmlns:a16="http://schemas.microsoft.com/office/drawing/2014/main" id="{72A4D5DC-BF15-474B-87C3-28821E631E82}"/>
            </a:ext>
          </a:extLst>
        </xdr:cNvPr>
        <xdr:cNvSpPr/>
      </xdr:nvSpPr>
      <xdr:spPr>
        <a:xfrm>
          <a:off x="10787743" y="186651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121</xdr:row>
      <xdr:rowOff>76199</xdr:rowOff>
    </xdr:from>
    <xdr:to>
      <xdr:col>31</xdr:col>
      <xdr:colOff>20683</xdr:colOff>
      <xdr:row>121</xdr:row>
      <xdr:rowOff>76199</xdr:rowOff>
    </xdr:to>
    <xdr:cxnSp macro="">
      <xdr:nvCxnSpPr>
        <xdr:cNvPr id="69014" name="직선 화살표 연결선 69013">
          <a:extLst>
            <a:ext uri="{FF2B5EF4-FFF2-40B4-BE49-F238E27FC236}">
              <a16:creationId xmlns:a16="http://schemas.microsoft.com/office/drawing/2014/main" id="{8E306DD4-4160-4F87-AC32-6B51E44C211E}"/>
            </a:ext>
          </a:extLst>
        </xdr:cNvPr>
        <xdr:cNvCxnSpPr/>
      </xdr:nvCxnSpPr>
      <xdr:spPr>
        <a:xfrm>
          <a:off x="10787743" y="1872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120</xdr:row>
      <xdr:rowOff>19049</xdr:rowOff>
    </xdr:from>
    <xdr:to>
      <xdr:col>31</xdr:col>
      <xdr:colOff>125367</xdr:colOff>
      <xdr:row>120</xdr:row>
      <xdr:rowOff>133349</xdr:rowOff>
    </xdr:to>
    <xdr:sp macro="" textlink="">
      <xdr:nvSpPr>
        <xdr:cNvPr id="69015" name="117">
          <a:extLst>
            <a:ext uri="{FF2B5EF4-FFF2-40B4-BE49-F238E27FC236}">
              <a16:creationId xmlns:a16="http://schemas.microsoft.com/office/drawing/2014/main" id="{D550B230-D379-4938-96F9-7013DF895ED1}"/>
            </a:ext>
          </a:extLst>
        </xdr:cNvPr>
        <xdr:cNvSpPr/>
      </xdr:nvSpPr>
      <xdr:spPr>
        <a:xfrm>
          <a:off x="10787743" y="18512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120</xdr:row>
      <xdr:rowOff>76199</xdr:rowOff>
    </xdr:from>
    <xdr:to>
      <xdr:col>31</xdr:col>
      <xdr:colOff>20683</xdr:colOff>
      <xdr:row>120</xdr:row>
      <xdr:rowOff>76199</xdr:rowOff>
    </xdr:to>
    <xdr:cxnSp macro="">
      <xdr:nvCxnSpPr>
        <xdr:cNvPr id="69016" name="직선 화살표 연결선 69015">
          <a:extLst>
            <a:ext uri="{FF2B5EF4-FFF2-40B4-BE49-F238E27FC236}">
              <a16:creationId xmlns:a16="http://schemas.microsoft.com/office/drawing/2014/main" id="{AB596C50-9414-4BB3-8B24-4FDF74183D60}"/>
            </a:ext>
          </a:extLst>
        </xdr:cNvPr>
        <xdr:cNvCxnSpPr/>
      </xdr:nvCxnSpPr>
      <xdr:spPr>
        <a:xfrm>
          <a:off x="10787743" y="1856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119</xdr:row>
      <xdr:rowOff>19049</xdr:rowOff>
    </xdr:from>
    <xdr:to>
      <xdr:col>31</xdr:col>
      <xdr:colOff>125367</xdr:colOff>
      <xdr:row>119</xdr:row>
      <xdr:rowOff>133349</xdr:rowOff>
    </xdr:to>
    <xdr:sp macro="" textlink="">
      <xdr:nvSpPr>
        <xdr:cNvPr id="69017" name="116">
          <a:extLst>
            <a:ext uri="{FF2B5EF4-FFF2-40B4-BE49-F238E27FC236}">
              <a16:creationId xmlns:a16="http://schemas.microsoft.com/office/drawing/2014/main" id="{16679758-B72A-4D66-8AF0-5B02CFA8FD51}"/>
            </a:ext>
          </a:extLst>
        </xdr:cNvPr>
        <xdr:cNvSpPr/>
      </xdr:nvSpPr>
      <xdr:spPr>
        <a:xfrm>
          <a:off x="10787743" y="18360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119</xdr:row>
      <xdr:rowOff>76199</xdr:rowOff>
    </xdr:from>
    <xdr:to>
      <xdr:col>31</xdr:col>
      <xdr:colOff>20683</xdr:colOff>
      <xdr:row>119</xdr:row>
      <xdr:rowOff>76199</xdr:rowOff>
    </xdr:to>
    <xdr:cxnSp macro="">
      <xdr:nvCxnSpPr>
        <xdr:cNvPr id="69018" name="직선 화살표 연결선 69017">
          <a:extLst>
            <a:ext uri="{FF2B5EF4-FFF2-40B4-BE49-F238E27FC236}">
              <a16:creationId xmlns:a16="http://schemas.microsoft.com/office/drawing/2014/main" id="{479A2691-4CFB-4D65-AF81-9199603B0CD8}"/>
            </a:ext>
          </a:extLst>
        </xdr:cNvPr>
        <xdr:cNvCxnSpPr/>
      </xdr:nvCxnSpPr>
      <xdr:spPr>
        <a:xfrm>
          <a:off x="10787743" y="1841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118</xdr:row>
      <xdr:rowOff>19049</xdr:rowOff>
    </xdr:from>
    <xdr:to>
      <xdr:col>31</xdr:col>
      <xdr:colOff>125367</xdr:colOff>
      <xdr:row>118</xdr:row>
      <xdr:rowOff>133349</xdr:rowOff>
    </xdr:to>
    <xdr:sp macro="" textlink="">
      <xdr:nvSpPr>
        <xdr:cNvPr id="69019" name="115">
          <a:extLst>
            <a:ext uri="{FF2B5EF4-FFF2-40B4-BE49-F238E27FC236}">
              <a16:creationId xmlns:a16="http://schemas.microsoft.com/office/drawing/2014/main" id="{57AB4F4E-9F0D-4062-A9BB-C03309EB8973}"/>
            </a:ext>
          </a:extLst>
        </xdr:cNvPr>
        <xdr:cNvSpPr/>
      </xdr:nvSpPr>
      <xdr:spPr>
        <a:xfrm>
          <a:off x="10787743" y="18207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118</xdr:row>
      <xdr:rowOff>76199</xdr:rowOff>
    </xdr:from>
    <xdr:to>
      <xdr:col>31</xdr:col>
      <xdr:colOff>20683</xdr:colOff>
      <xdr:row>118</xdr:row>
      <xdr:rowOff>76199</xdr:rowOff>
    </xdr:to>
    <xdr:cxnSp macro="">
      <xdr:nvCxnSpPr>
        <xdr:cNvPr id="69020" name="직선 화살표 연결선 69019">
          <a:extLst>
            <a:ext uri="{FF2B5EF4-FFF2-40B4-BE49-F238E27FC236}">
              <a16:creationId xmlns:a16="http://schemas.microsoft.com/office/drawing/2014/main" id="{7705135C-5F61-44D8-9AC7-F403D4E51B56}"/>
            </a:ext>
          </a:extLst>
        </xdr:cNvPr>
        <xdr:cNvCxnSpPr/>
      </xdr:nvCxnSpPr>
      <xdr:spPr>
        <a:xfrm>
          <a:off x="10787743" y="1826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117</xdr:row>
      <xdr:rowOff>19049</xdr:rowOff>
    </xdr:from>
    <xdr:to>
      <xdr:col>31</xdr:col>
      <xdr:colOff>125367</xdr:colOff>
      <xdr:row>117</xdr:row>
      <xdr:rowOff>133349</xdr:rowOff>
    </xdr:to>
    <xdr:sp macro="" textlink="">
      <xdr:nvSpPr>
        <xdr:cNvPr id="69021" name="114">
          <a:extLst>
            <a:ext uri="{FF2B5EF4-FFF2-40B4-BE49-F238E27FC236}">
              <a16:creationId xmlns:a16="http://schemas.microsoft.com/office/drawing/2014/main" id="{B756EEE4-67D2-4A4D-BC22-64E8F3B326AF}"/>
            </a:ext>
          </a:extLst>
        </xdr:cNvPr>
        <xdr:cNvSpPr/>
      </xdr:nvSpPr>
      <xdr:spPr>
        <a:xfrm>
          <a:off x="10787743" y="180555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117</xdr:row>
      <xdr:rowOff>76199</xdr:rowOff>
    </xdr:from>
    <xdr:to>
      <xdr:col>31</xdr:col>
      <xdr:colOff>20683</xdr:colOff>
      <xdr:row>117</xdr:row>
      <xdr:rowOff>76199</xdr:rowOff>
    </xdr:to>
    <xdr:cxnSp macro="">
      <xdr:nvCxnSpPr>
        <xdr:cNvPr id="69022" name="직선 화살표 연결선 69021">
          <a:extLst>
            <a:ext uri="{FF2B5EF4-FFF2-40B4-BE49-F238E27FC236}">
              <a16:creationId xmlns:a16="http://schemas.microsoft.com/office/drawing/2014/main" id="{8DE0D389-1BF7-425C-9626-0236874E130E}"/>
            </a:ext>
          </a:extLst>
        </xdr:cNvPr>
        <xdr:cNvCxnSpPr/>
      </xdr:nvCxnSpPr>
      <xdr:spPr>
        <a:xfrm>
          <a:off x="10787743" y="1811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116</xdr:row>
      <xdr:rowOff>19049</xdr:rowOff>
    </xdr:from>
    <xdr:to>
      <xdr:col>31</xdr:col>
      <xdr:colOff>125367</xdr:colOff>
      <xdr:row>116</xdr:row>
      <xdr:rowOff>133349</xdr:rowOff>
    </xdr:to>
    <xdr:sp macro="" textlink="">
      <xdr:nvSpPr>
        <xdr:cNvPr id="69023" name="113">
          <a:extLst>
            <a:ext uri="{FF2B5EF4-FFF2-40B4-BE49-F238E27FC236}">
              <a16:creationId xmlns:a16="http://schemas.microsoft.com/office/drawing/2014/main" id="{99CDCB68-4769-4F20-A080-907955734D54}"/>
            </a:ext>
          </a:extLst>
        </xdr:cNvPr>
        <xdr:cNvSpPr/>
      </xdr:nvSpPr>
      <xdr:spPr>
        <a:xfrm>
          <a:off x="10787743" y="1790318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116</xdr:row>
      <xdr:rowOff>76199</xdr:rowOff>
    </xdr:from>
    <xdr:to>
      <xdr:col>31</xdr:col>
      <xdr:colOff>20683</xdr:colOff>
      <xdr:row>116</xdr:row>
      <xdr:rowOff>76199</xdr:rowOff>
    </xdr:to>
    <xdr:cxnSp macro="">
      <xdr:nvCxnSpPr>
        <xdr:cNvPr id="69024" name="직선 화살표 연결선 69023">
          <a:extLst>
            <a:ext uri="{FF2B5EF4-FFF2-40B4-BE49-F238E27FC236}">
              <a16:creationId xmlns:a16="http://schemas.microsoft.com/office/drawing/2014/main" id="{1A25B098-37F2-4D5C-8255-5D5E96F920C7}"/>
            </a:ext>
          </a:extLst>
        </xdr:cNvPr>
        <xdr:cNvCxnSpPr/>
      </xdr:nvCxnSpPr>
      <xdr:spPr>
        <a:xfrm>
          <a:off x="10787743" y="1796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115</xdr:row>
      <xdr:rowOff>19049</xdr:rowOff>
    </xdr:from>
    <xdr:to>
      <xdr:col>31</xdr:col>
      <xdr:colOff>125367</xdr:colOff>
      <xdr:row>115</xdr:row>
      <xdr:rowOff>133349</xdr:rowOff>
    </xdr:to>
    <xdr:sp macro="" textlink="">
      <xdr:nvSpPr>
        <xdr:cNvPr id="69025" name="112">
          <a:extLst>
            <a:ext uri="{FF2B5EF4-FFF2-40B4-BE49-F238E27FC236}">
              <a16:creationId xmlns:a16="http://schemas.microsoft.com/office/drawing/2014/main" id="{B46D3F18-AD58-47F8-B88A-9039EE75661E}"/>
            </a:ext>
          </a:extLst>
        </xdr:cNvPr>
        <xdr:cNvSpPr/>
      </xdr:nvSpPr>
      <xdr:spPr>
        <a:xfrm>
          <a:off x="10787743" y="17750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115</xdr:row>
      <xdr:rowOff>76199</xdr:rowOff>
    </xdr:from>
    <xdr:to>
      <xdr:col>31</xdr:col>
      <xdr:colOff>20683</xdr:colOff>
      <xdr:row>115</xdr:row>
      <xdr:rowOff>76199</xdr:rowOff>
    </xdr:to>
    <xdr:cxnSp macro="">
      <xdr:nvCxnSpPr>
        <xdr:cNvPr id="69026" name="직선 화살표 연결선 69025">
          <a:extLst>
            <a:ext uri="{FF2B5EF4-FFF2-40B4-BE49-F238E27FC236}">
              <a16:creationId xmlns:a16="http://schemas.microsoft.com/office/drawing/2014/main" id="{60899357-3153-43BF-93A7-15B3B2FE299A}"/>
            </a:ext>
          </a:extLst>
        </xdr:cNvPr>
        <xdr:cNvCxnSpPr/>
      </xdr:nvCxnSpPr>
      <xdr:spPr>
        <a:xfrm>
          <a:off x="10787743" y="1780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114</xdr:row>
      <xdr:rowOff>19049</xdr:rowOff>
    </xdr:from>
    <xdr:to>
      <xdr:col>31</xdr:col>
      <xdr:colOff>125367</xdr:colOff>
      <xdr:row>114</xdr:row>
      <xdr:rowOff>133349</xdr:rowOff>
    </xdr:to>
    <xdr:sp macro="" textlink="">
      <xdr:nvSpPr>
        <xdr:cNvPr id="69027" name="111">
          <a:extLst>
            <a:ext uri="{FF2B5EF4-FFF2-40B4-BE49-F238E27FC236}">
              <a16:creationId xmlns:a16="http://schemas.microsoft.com/office/drawing/2014/main" id="{145F548B-6582-4188-ACC6-D76FDAC4B3AA}"/>
            </a:ext>
          </a:extLst>
        </xdr:cNvPr>
        <xdr:cNvSpPr/>
      </xdr:nvSpPr>
      <xdr:spPr>
        <a:xfrm>
          <a:off x="10787743" y="17598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114</xdr:row>
      <xdr:rowOff>76199</xdr:rowOff>
    </xdr:from>
    <xdr:to>
      <xdr:col>31</xdr:col>
      <xdr:colOff>20683</xdr:colOff>
      <xdr:row>114</xdr:row>
      <xdr:rowOff>76199</xdr:rowOff>
    </xdr:to>
    <xdr:cxnSp macro="">
      <xdr:nvCxnSpPr>
        <xdr:cNvPr id="69028" name="직선 화살표 연결선 69027">
          <a:extLst>
            <a:ext uri="{FF2B5EF4-FFF2-40B4-BE49-F238E27FC236}">
              <a16:creationId xmlns:a16="http://schemas.microsoft.com/office/drawing/2014/main" id="{1637A534-9AC2-4C86-88F5-B75E838BCF50}"/>
            </a:ext>
          </a:extLst>
        </xdr:cNvPr>
        <xdr:cNvCxnSpPr/>
      </xdr:nvCxnSpPr>
      <xdr:spPr>
        <a:xfrm>
          <a:off x="10787743" y="1765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113</xdr:row>
      <xdr:rowOff>19049</xdr:rowOff>
    </xdr:from>
    <xdr:to>
      <xdr:col>31</xdr:col>
      <xdr:colOff>125367</xdr:colOff>
      <xdr:row>113</xdr:row>
      <xdr:rowOff>133349</xdr:rowOff>
    </xdr:to>
    <xdr:sp macro="" textlink="">
      <xdr:nvSpPr>
        <xdr:cNvPr id="69029" name="110">
          <a:extLst>
            <a:ext uri="{FF2B5EF4-FFF2-40B4-BE49-F238E27FC236}">
              <a16:creationId xmlns:a16="http://schemas.microsoft.com/office/drawing/2014/main" id="{04813303-FD60-49F3-90E2-81DF41BEE5F9}"/>
            </a:ext>
          </a:extLst>
        </xdr:cNvPr>
        <xdr:cNvSpPr/>
      </xdr:nvSpPr>
      <xdr:spPr>
        <a:xfrm>
          <a:off x="10787743" y="17445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113</xdr:row>
      <xdr:rowOff>76199</xdr:rowOff>
    </xdr:from>
    <xdr:to>
      <xdr:col>31</xdr:col>
      <xdr:colOff>20683</xdr:colOff>
      <xdr:row>113</xdr:row>
      <xdr:rowOff>76199</xdr:rowOff>
    </xdr:to>
    <xdr:cxnSp macro="">
      <xdr:nvCxnSpPr>
        <xdr:cNvPr id="69030" name="직선 화살표 연결선 69029">
          <a:extLst>
            <a:ext uri="{FF2B5EF4-FFF2-40B4-BE49-F238E27FC236}">
              <a16:creationId xmlns:a16="http://schemas.microsoft.com/office/drawing/2014/main" id="{B7CFA48A-E667-4020-9CA3-C2C85B3ED6D9}"/>
            </a:ext>
          </a:extLst>
        </xdr:cNvPr>
        <xdr:cNvCxnSpPr/>
      </xdr:nvCxnSpPr>
      <xdr:spPr>
        <a:xfrm>
          <a:off x="10787743" y="1750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112</xdr:row>
      <xdr:rowOff>19049</xdr:rowOff>
    </xdr:from>
    <xdr:to>
      <xdr:col>31</xdr:col>
      <xdr:colOff>125367</xdr:colOff>
      <xdr:row>112</xdr:row>
      <xdr:rowOff>133349</xdr:rowOff>
    </xdr:to>
    <xdr:sp macro="" textlink="">
      <xdr:nvSpPr>
        <xdr:cNvPr id="69031" name="109">
          <a:extLst>
            <a:ext uri="{FF2B5EF4-FFF2-40B4-BE49-F238E27FC236}">
              <a16:creationId xmlns:a16="http://schemas.microsoft.com/office/drawing/2014/main" id="{2B6129A7-D46E-42AD-B621-888B356D1B47}"/>
            </a:ext>
          </a:extLst>
        </xdr:cNvPr>
        <xdr:cNvSpPr/>
      </xdr:nvSpPr>
      <xdr:spPr>
        <a:xfrm>
          <a:off x="10787743" y="172935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112</xdr:row>
      <xdr:rowOff>76199</xdr:rowOff>
    </xdr:from>
    <xdr:to>
      <xdr:col>31</xdr:col>
      <xdr:colOff>20683</xdr:colOff>
      <xdr:row>112</xdr:row>
      <xdr:rowOff>76199</xdr:rowOff>
    </xdr:to>
    <xdr:cxnSp macro="">
      <xdr:nvCxnSpPr>
        <xdr:cNvPr id="69032" name="직선 화살표 연결선 69031">
          <a:extLst>
            <a:ext uri="{FF2B5EF4-FFF2-40B4-BE49-F238E27FC236}">
              <a16:creationId xmlns:a16="http://schemas.microsoft.com/office/drawing/2014/main" id="{86A9E315-A43B-4699-987D-5CFA92D3431E}"/>
            </a:ext>
          </a:extLst>
        </xdr:cNvPr>
        <xdr:cNvCxnSpPr/>
      </xdr:nvCxnSpPr>
      <xdr:spPr>
        <a:xfrm>
          <a:off x="10787743" y="1735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111</xdr:row>
      <xdr:rowOff>19049</xdr:rowOff>
    </xdr:from>
    <xdr:to>
      <xdr:col>31</xdr:col>
      <xdr:colOff>125367</xdr:colOff>
      <xdr:row>111</xdr:row>
      <xdr:rowOff>133349</xdr:rowOff>
    </xdr:to>
    <xdr:sp macro="" textlink="">
      <xdr:nvSpPr>
        <xdr:cNvPr id="69033" name="108">
          <a:extLst>
            <a:ext uri="{FF2B5EF4-FFF2-40B4-BE49-F238E27FC236}">
              <a16:creationId xmlns:a16="http://schemas.microsoft.com/office/drawing/2014/main" id="{A2F5BABB-0895-4492-8A8B-9C7DFBAB8BCC}"/>
            </a:ext>
          </a:extLst>
        </xdr:cNvPr>
        <xdr:cNvSpPr/>
      </xdr:nvSpPr>
      <xdr:spPr>
        <a:xfrm>
          <a:off x="10787743" y="171411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111</xdr:row>
      <xdr:rowOff>76199</xdr:rowOff>
    </xdr:from>
    <xdr:to>
      <xdr:col>31</xdr:col>
      <xdr:colOff>20683</xdr:colOff>
      <xdr:row>111</xdr:row>
      <xdr:rowOff>76199</xdr:rowOff>
    </xdr:to>
    <xdr:cxnSp macro="">
      <xdr:nvCxnSpPr>
        <xdr:cNvPr id="69034" name="직선 화살표 연결선 69033">
          <a:extLst>
            <a:ext uri="{FF2B5EF4-FFF2-40B4-BE49-F238E27FC236}">
              <a16:creationId xmlns:a16="http://schemas.microsoft.com/office/drawing/2014/main" id="{78353D21-2E35-4263-B89E-3705AC450AF2}"/>
            </a:ext>
          </a:extLst>
        </xdr:cNvPr>
        <xdr:cNvCxnSpPr/>
      </xdr:nvCxnSpPr>
      <xdr:spPr>
        <a:xfrm>
          <a:off x="10787743" y="1719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110</xdr:row>
      <xdr:rowOff>19049</xdr:rowOff>
    </xdr:from>
    <xdr:to>
      <xdr:col>31</xdr:col>
      <xdr:colOff>125367</xdr:colOff>
      <xdr:row>110</xdr:row>
      <xdr:rowOff>133349</xdr:rowOff>
    </xdr:to>
    <xdr:sp macro="" textlink="">
      <xdr:nvSpPr>
        <xdr:cNvPr id="69035" name="107">
          <a:extLst>
            <a:ext uri="{FF2B5EF4-FFF2-40B4-BE49-F238E27FC236}">
              <a16:creationId xmlns:a16="http://schemas.microsoft.com/office/drawing/2014/main" id="{04B2D8C5-C610-4D5F-8977-0C129D7E12E2}"/>
            </a:ext>
          </a:extLst>
        </xdr:cNvPr>
        <xdr:cNvSpPr/>
      </xdr:nvSpPr>
      <xdr:spPr>
        <a:xfrm>
          <a:off x="10787743" y="1698878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110</xdr:row>
      <xdr:rowOff>76199</xdr:rowOff>
    </xdr:from>
    <xdr:to>
      <xdr:col>31</xdr:col>
      <xdr:colOff>20683</xdr:colOff>
      <xdr:row>110</xdr:row>
      <xdr:rowOff>76199</xdr:rowOff>
    </xdr:to>
    <xdr:cxnSp macro="">
      <xdr:nvCxnSpPr>
        <xdr:cNvPr id="69036" name="직선 화살표 연결선 69035">
          <a:extLst>
            <a:ext uri="{FF2B5EF4-FFF2-40B4-BE49-F238E27FC236}">
              <a16:creationId xmlns:a16="http://schemas.microsoft.com/office/drawing/2014/main" id="{08E0792F-C453-4804-A31D-83135F3C04BF}"/>
            </a:ext>
          </a:extLst>
        </xdr:cNvPr>
        <xdr:cNvCxnSpPr/>
      </xdr:nvCxnSpPr>
      <xdr:spPr>
        <a:xfrm>
          <a:off x="10787743" y="1704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109</xdr:row>
      <xdr:rowOff>19049</xdr:rowOff>
    </xdr:from>
    <xdr:to>
      <xdr:col>76</xdr:col>
      <xdr:colOff>42635</xdr:colOff>
      <xdr:row>109</xdr:row>
      <xdr:rowOff>133349</xdr:rowOff>
    </xdr:to>
    <xdr:sp macro="" textlink="">
      <xdr:nvSpPr>
        <xdr:cNvPr id="69037" name="106">
          <a:extLst>
            <a:ext uri="{FF2B5EF4-FFF2-40B4-BE49-F238E27FC236}">
              <a16:creationId xmlns:a16="http://schemas.microsoft.com/office/drawing/2014/main" id="{49307C19-4219-45FD-8688-3624999C8E5B}"/>
            </a:ext>
          </a:extLst>
        </xdr:cNvPr>
        <xdr:cNvSpPr/>
      </xdr:nvSpPr>
      <xdr:spPr>
        <a:xfrm>
          <a:off x="10787743" y="16836389"/>
          <a:ext cx="65370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109</xdr:row>
      <xdr:rowOff>76199</xdr:rowOff>
    </xdr:from>
    <xdr:to>
      <xdr:col>31</xdr:col>
      <xdr:colOff>20683</xdr:colOff>
      <xdr:row>109</xdr:row>
      <xdr:rowOff>76199</xdr:rowOff>
    </xdr:to>
    <xdr:cxnSp macro="">
      <xdr:nvCxnSpPr>
        <xdr:cNvPr id="69038" name="직선 화살표 연결선 69037">
          <a:extLst>
            <a:ext uri="{FF2B5EF4-FFF2-40B4-BE49-F238E27FC236}">
              <a16:creationId xmlns:a16="http://schemas.microsoft.com/office/drawing/2014/main" id="{AA48A515-02EE-4981-8D1C-04860C688DB1}"/>
            </a:ext>
          </a:extLst>
        </xdr:cNvPr>
        <xdr:cNvCxnSpPr/>
      </xdr:nvCxnSpPr>
      <xdr:spPr>
        <a:xfrm>
          <a:off x="10787743" y="1689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108</xdr:row>
      <xdr:rowOff>19049</xdr:rowOff>
    </xdr:from>
    <xdr:to>
      <xdr:col>31</xdr:col>
      <xdr:colOff>125367</xdr:colOff>
      <xdr:row>108</xdr:row>
      <xdr:rowOff>133349</xdr:rowOff>
    </xdr:to>
    <xdr:sp macro="" textlink="">
      <xdr:nvSpPr>
        <xdr:cNvPr id="69039" name="105">
          <a:extLst>
            <a:ext uri="{FF2B5EF4-FFF2-40B4-BE49-F238E27FC236}">
              <a16:creationId xmlns:a16="http://schemas.microsoft.com/office/drawing/2014/main" id="{0C2A56BB-DEC4-4AB9-B2F8-DA6BAA3D9971}"/>
            </a:ext>
          </a:extLst>
        </xdr:cNvPr>
        <xdr:cNvSpPr/>
      </xdr:nvSpPr>
      <xdr:spPr>
        <a:xfrm>
          <a:off x="10787743" y="16683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108</xdr:row>
      <xdr:rowOff>76199</xdr:rowOff>
    </xdr:from>
    <xdr:to>
      <xdr:col>31</xdr:col>
      <xdr:colOff>20683</xdr:colOff>
      <xdr:row>108</xdr:row>
      <xdr:rowOff>76199</xdr:rowOff>
    </xdr:to>
    <xdr:cxnSp macro="">
      <xdr:nvCxnSpPr>
        <xdr:cNvPr id="69040" name="직선 화살표 연결선 69039">
          <a:extLst>
            <a:ext uri="{FF2B5EF4-FFF2-40B4-BE49-F238E27FC236}">
              <a16:creationId xmlns:a16="http://schemas.microsoft.com/office/drawing/2014/main" id="{4418732F-50DD-4FFC-AA8F-358100F4EF71}"/>
            </a:ext>
          </a:extLst>
        </xdr:cNvPr>
        <xdr:cNvCxnSpPr/>
      </xdr:nvCxnSpPr>
      <xdr:spPr>
        <a:xfrm>
          <a:off x="10787743" y="1674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107</xdr:row>
      <xdr:rowOff>19049</xdr:rowOff>
    </xdr:from>
    <xdr:to>
      <xdr:col>31</xdr:col>
      <xdr:colOff>125367</xdr:colOff>
      <xdr:row>107</xdr:row>
      <xdr:rowOff>133349</xdr:rowOff>
    </xdr:to>
    <xdr:sp macro="" textlink="">
      <xdr:nvSpPr>
        <xdr:cNvPr id="69041" name="104">
          <a:extLst>
            <a:ext uri="{FF2B5EF4-FFF2-40B4-BE49-F238E27FC236}">
              <a16:creationId xmlns:a16="http://schemas.microsoft.com/office/drawing/2014/main" id="{C8AF2EF0-7F6A-431E-AA3C-AD0BCEA738DC}"/>
            </a:ext>
          </a:extLst>
        </xdr:cNvPr>
        <xdr:cNvSpPr/>
      </xdr:nvSpPr>
      <xdr:spPr>
        <a:xfrm>
          <a:off x="10787743" y="165315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107</xdr:row>
      <xdr:rowOff>76199</xdr:rowOff>
    </xdr:from>
    <xdr:to>
      <xdr:col>31</xdr:col>
      <xdr:colOff>20683</xdr:colOff>
      <xdr:row>107</xdr:row>
      <xdr:rowOff>76199</xdr:rowOff>
    </xdr:to>
    <xdr:cxnSp macro="">
      <xdr:nvCxnSpPr>
        <xdr:cNvPr id="69042" name="직선 화살표 연결선 69041">
          <a:extLst>
            <a:ext uri="{FF2B5EF4-FFF2-40B4-BE49-F238E27FC236}">
              <a16:creationId xmlns:a16="http://schemas.microsoft.com/office/drawing/2014/main" id="{F1C04066-1CAA-446B-BC3E-5D33B0E1B520}"/>
            </a:ext>
          </a:extLst>
        </xdr:cNvPr>
        <xdr:cNvCxnSpPr/>
      </xdr:nvCxnSpPr>
      <xdr:spPr>
        <a:xfrm>
          <a:off x="10787743" y="1658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106</xdr:row>
      <xdr:rowOff>19049</xdr:rowOff>
    </xdr:from>
    <xdr:to>
      <xdr:col>31</xdr:col>
      <xdr:colOff>125367</xdr:colOff>
      <xdr:row>106</xdr:row>
      <xdr:rowOff>133349</xdr:rowOff>
    </xdr:to>
    <xdr:sp macro="" textlink="">
      <xdr:nvSpPr>
        <xdr:cNvPr id="69043" name="103">
          <a:extLst>
            <a:ext uri="{FF2B5EF4-FFF2-40B4-BE49-F238E27FC236}">
              <a16:creationId xmlns:a16="http://schemas.microsoft.com/office/drawing/2014/main" id="{153A9095-641F-464B-95C4-19B0F8201A04}"/>
            </a:ext>
          </a:extLst>
        </xdr:cNvPr>
        <xdr:cNvSpPr/>
      </xdr:nvSpPr>
      <xdr:spPr>
        <a:xfrm>
          <a:off x="10787743" y="1637918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106</xdr:row>
      <xdr:rowOff>76199</xdr:rowOff>
    </xdr:from>
    <xdr:to>
      <xdr:col>31</xdr:col>
      <xdr:colOff>20683</xdr:colOff>
      <xdr:row>106</xdr:row>
      <xdr:rowOff>76199</xdr:rowOff>
    </xdr:to>
    <xdr:cxnSp macro="">
      <xdr:nvCxnSpPr>
        <xdr:cNvPr id="69044" name="직선 화살표 연결선 69043">
          <a:extLst>
            <a:ext uri="{FF2B5EF4-FFF2-40B4-BE49-F238E27FC236}">
              <a16:creationId xmlns:a16="http://schemas.microsoft.com/office/drawing/2014/main" id="{DE6CE7F3-FC6A-4396-9725-A4898626AE22}"/>
            </a:ext>
          </a:extLst>
        </xdr:cNvPr>
        <xdr:cNvCxnSpPr/>
      </xdr:nvCxnSpPr>
      <xdr:spPr>
        <a:xfrm>
          <a:off x="10787743" y="1643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105</xdr:row>
      <xdr:rowOff>19049</xdr:rowOff>
    </xdr:from>
    <xdr:to>
      <xdr:col>31</xdr:col>
      <xdr:colOff>125367</xdr:colOff>
      <xdr:row>105</xdr:row>
      <xdr:rowOff>133349</xdr:rowOff>
    </xdr:to>
    <xdr:sp macro="" textlink="">
      <xdr:nvSpPr>
        <xdr:cNvPr id="69045" name="102">
          <a:extLst>
            <a:ext uri="{FF2B5EF4-FFF2-40B4-BE49-F238E27FC236}">
              <a16:creationId xmlns:a16="http://schemas.microsoft.com/office/drawing/2014/main" id="{711CF035-0C2B-433F-82E5-75CC981FFA43}"/>
            </a:ext>
          </a:extLst>
        </xdr:cNvPr>
        <xdr:cNvSpPr/>
      </xdr:nvSpPr>
      <xdr:spPr>
        <a:xfrm>
          <a:off x="10787743" y="1622678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105</xdr:row>
      <xdr:rowOff>76199</xdr:rowOff>
    </xdr:from>
    <xdr:to>
      <xdr:col>31</xdr:col>
      <xdr:colOff>20683</xdr:colOff>
      <xdr:row>105</xdr:row>
      <xdr:rowOff>76199</xdr:rowOff>
    </xdr:to>
    <xdr:cxnSp macro="">
      <xdr:nvCxnSpPr>
        <xdr:cNvPr id="69046" name="직선 화살표 연결선 69045">
          <a:extLst>
            <a:ext uri="{FF2B5EF4-FFF2-40B4-BE49-F238E27FC236}">
              <a16:creationId xmlns:a16="http://schemas.microsoft.com/office/drawing/2014/main" id="{E4BC4B23-9C8B-40E3-A2B1-9E4472E5ACE3}"/>
            </a:ext>
          </a:extLst>
        </xdr:cNvPr>
        <xdr:cNvCxnSpPr/>
      </xdr:nvCxnSpPr>
      <xdr:spPr>
        <a:xfrm>
          <a:off x="10787743" y="1628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104</xdr:row>
      <xdr:rowOff>19049</xdr:rowOff>
    </xdr:from>
    <xdr:to>
      <xdr:col>31</xdr:col>
      <xdr:colOff>125367</xdr:colOff>
      <xdr:row>104</xdr:row>
      <xdr:rowOff>133349</xdr:rowOff>
    </xdr:to>
    <xdr:sp macro="" textlink="">
      <xdr:nvSpPr>
        <xdr:cNvPr id="69047" name="101">
          <a:extLst>
            <a:ext uri="{FF2B5EF4-FFF2-40B4-BE49-F238E27FC236}">
              <a16:creationId xmlns:a16="http://schemas.microsoft.com/office/drawing/2014/main" id="{64486C5C-285D-43A8-8399-276CB679C8E8}"/>
            </a:ext>
          </a:extLst>
        </xdr:cNvPr>
        <xdr:cNvSpPr/>
      </xdr:nvSpPr>
      <xdr:spPr>
        <a:xfrm>
          <a:off x="10787743" y="16074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104</xdr:row>
      <xdr:rowOff>76199</xdr:rowOff>
    </xdr:from>
    <xdr:to>
      <xdr:col>31</xdr:col>
      <xdr:colOff>20683</xdr:colOff>
      <xdr:row>104</xdr:row>
      <xdr:rowOff>76199</xdr:rowOff>
    </xdr:to>
    <xdr:cxnSp macro="">
      <xdr:nvCxnSpPr>
        <xdr:cNvPr id="69048" name="직선 화살표 연결선 69047">
          <a:extLst>
            <a:ext uri="{FF2B5EF4-FFF2-40B4-BE49-F238E27FC236}">
              <a16:creationId xmlns:a16="http://schemas.microsoft.com/office/drawing/2014/main" id="{3A5E62F0-5D21-4ADF-B1C4-7732DEDC7D0A}"/>
            </a:ext>
          </a:extLst>
        </xdr:cNvPr>
        <xdr:cNvCxnSpPr/>
      </xdr:nvCxnSpPr>
      <xdr:spPr>
        <a:xfrm>
          <a:off x="10787743" y="1613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103</xdr:row>
      <xdr:rowOff>19049</xdr:rowOff>
    </xdr:from>
    <xdr:to>
      <xdr:col>31</xdr:col>
      <xdr:colOff>125367</xdr:colOff>
      <xdr:row>103</xdr:row>
      <xdr:rowOff>133349</xdr:rowOff>
    </xdr:to>
    <xdr:sp macro="" textlink="">
      <xdr:nvSpPr>
        <xdr:cNvPr id="69049" name="100">
          <a:extLst>
            <a:ext uri="{FF2B5EF4-FFF2-40B4-BE49-F238E27FC236}">
              <a16:creationId xmlns:a16="http://schemas.microsoft.com/office/drawing/2014/main" id="{EE3643C5-9A1D-4DA6-BCBA-1DE90BC28037}"/>
            </a:ext>
          </a:extLst>
        </xdr:cNvPr>
        <xdr:cNvSpPr/>
      </xdr:nvSpPr>
      <xdr:spPr>
        <a:xfrm>
          <a:off x="10787743" y="15921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103</xdr:row>
      <xdr:rowOff>76199</xdr:rowOff>
    </xdr:from>
    <xdr:to>
      <xdr:col>31</xdr:col>
      <xdr:colOff>20683</xdr:colOff>
      <xdr:row>103</xdr:row>
      <xdr:rowOff>76199</xdr:rowOff>
    </xdr:to>
    <xdr:cxnSp macro="">
      <xdr:nvCxnSpPr>
        <xdr:cNvPr id="69050" name="직선 화살표 연결선 69049">
          <a:extLst>
            <a:ext uri="{FF2B5EF4-FFF2-40B4-BE49-F238E27FC236}">
              <a16:creationId xmlns:a16="http://schemas.microsoft.com/office/drawing/2014/main" id="{F3FDAB23-6054-48BA-B56E-ED2F2A03B7AA}"/>
            </a:ext>
          </a:extLst>
        </xdr:cNvPr>
        <xdr:cNvCxnSpPr/>
      </xdr:nvCxnSpPr>
      <xdr:spPr>
        <a:xfrm>
          <a:off x="10787743" y="1597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102</xdr:row>
      <xdr:rowOff>19049</xdr:rowOff>
    </xdr:from>
    <xdr:to>
      <xdr:col>31</xdr:col>
      <xdr:colOff>125367</xdr:colOff>
      <xdr:row>102</xdr:row>
      <xdr:rowOff>133349</xdr:rowOff>
    </xdr:to>
    <xdr:sp macro="" textlink="">
      <xdr:nvSpPr>
        <xdr:cNvPr id="69051" name="99">
          <a:extLst>
            <a:ext uri="{FF2B5EF4-FFF2-40B4-BE49-F238E27FC236}">
              <a16:creationId xmlns:a16="http://schemas.microsoft.com/office/drawing/2014/main" id="{E667F019-8BBF-41F3-BC09-8D33FBC4B352}"/>
            </a:ext>
          </a:extLst>
        </xdr:cNvPr>
        <xdr:cNvSpPr/>
      </xdr:nvSpPr>
      <xdr:spPr>
        <a:xfrm>
          <a:off x="10787743" y="157695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102</xdr:row>
      <xdr:rowOff>76199</xdr:rowOff>
    </xdr:from>
    <xdr:to>
      <xdr:col>31</xdr:col>
      <xdr:colOff>20683</xdr:colOff>
      <xdr:row>102</xdr:row>
      <xdr:rowOff>76199</xdr:rowOff>
    </xdr:to>
    <xdr:cxnSp macro="">
      <xdr:nvCxnSpPr>
        <xdr:cNvPr id="69052" name="직선 화살표 연결선 69051">
          <a:extLst>
            <a:ext uri="{FF2B5EF4-FFF2-40B4-BE49-F238E27FC236}">
              <a16:creationId xmlns:a16="http://schemas.microsoft.com/office/drawing/2014/main" id="{092A4D53-9428-4C78-BFE8-63EE2EFC012B}"/>
            </a:ext>
          </a:extLst>
        </xdr:cNvPr>
        <xdr:cNvCxnSpPr/>
      </xdr:nvCxnSpPr>
      <xdr:spPr>
        <a:xfrm>
          <a:off x="10787743" y="1582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101</xdr:row>
      <xdr:rowOff>19049</xdr:rowOff>
    </xdr:from>
    <xdr:to>
      <xdr:col>31</xdr:col>
      <xdr:colOff>125367</xdr:colOff>
      <xdr:row>101</xdr:row>
      <xdr:rowOff>133349</xdr:rowOff>
    </xdr:to>
    <xdr:sp macro="" textlink="">
      <xdr:nvSpPr>
        <xdr:cNvPr id="69053" name="98">
          <a:extLst>
            <a:ext uri="{FF2B5EF4-FFF2-40B4-BE49-F238E27FC236}">
              <a16:creationId xmlns:a16="http://schemas.microsoft.com/office/drawing/2014/main" id="{BB29BF1D-D76F-4E6F-9517-993D71AEE98B}"/>
            </a:ext>
          </a:extLst>
        </xdr:cNvPr>
        <xdr:cNvSpPr/>
      </xdr:nvSpPr>
      <xdr:spPr>
        <a:xfrm>
          <a:off x="10787743" y="1561718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101</xdr:row>
      <xdr:rowOff>76199</xdr:rowOff>
    </xdr:from>
    <xdr:to>
      <xdr:col>31</xdr:col>
      <xdr:colOff>20683</xdr:colOff>
      <xdr:row>101</xdr:row>
      <xdr:rowOff>76199</xdr:rowOff>
    </xdr:to>
    <xdr:cxnSp macro="">
      <xdr:nvCxnSpPr>
        <xdr:cNvPr id="69054" name="직선 화살표 연결선 69053">
          <a:extLst>
            <a:ext uri="{FF2B5EF4-FFF2-40B4-BE49-F238E27FC236}">
              <a16:creationId xmlns:a16="http://schemas.microsoft.com/office/drawing/2014/main" id="{D1B4C5CE-8B71-4104-845D-B26FA7DD63E7}"/>
            </a:ext>
          </a:extLst>
        </xdr:cNvPr>
        <xdr:cNvCxnSpPr/>
      </xdr:nvCxnSpPr>
      <xdr:spPr>
        <a:xfrm>
          <a:off x="10787743" y="1567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100</xdr:row>
      <xdr:rowOff>19049</xdr:rowOff>
    </xdr:from>
    <xdr:to>
      <xdr:col>31</xdr:col>
      <xdr:colOff>125367</xdr:colOff>
      <xdr:row>100</xdr:row>
      <xdr:rowOff>133349</xdr:rowOff>
    </xdr:to>
    <xdr:sp macro="" textlink="">
      <xdr:nvSpPr>
        <xdr:cNvPr id="69055" name="97">
          <a:extLst>
            <a:ext uri="{FF2B5EF4-FFF2-40B4-BE49-F238E27FC236}">
              <a16:creationId xmlns:a16="http://schemas.microsoft.com/office/drawing/2014/main" id="{410DF47F-35E1-4281-BB86-8EEFF58DD5AF}"/>
            </a:ext>
          </a:extLst>
        </xdr:cNvPr>
        <xdr:cNvSpPr/>
      </xdr:nvSpPr>
      <xdr:spPr>
        <a:xfrm>
          <a:off x="10787743" y="15464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100</xdr:row>
      <xdr:rowOff>76199</xdr:rowOff>
    </xdr:from>
    <xdr:to>
      <xdr:col>31</xdr:col>
      <xdr:colOff>20683</xdr:colOff>
      <xdr:row>100</xdr:row>
      <xdr:rowOff>76199</xdr:rowOff>
    </xdr:to>
    <xdr:cxnSp macro="">
      <xdr:nvCxnSpPr>
        <xdr:cNvPr id="69056" name="직선 화살표 연결선 69055">
          <a:extLst>
            <a:ext uri="{FF2B5EF4-FFF2-40B4-BE49-F238E27FC236}">
              <a16:creationId xmlns:a16="http://schemas.microsoft.com/office/drawing/2014/main" id="{E4FED869-1640-4CB0-85BF-A82491131806}"/>
            </a:ext>
          </a:extLst>
        </xdr:cNvPr>
        <xdr:cNvCxnSpPr/>
      </xdr:nvCxnSpPr>
      <xdr:spPr>
        <a:xfrm>
          <a:off x="10787743" y="1552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33786</xdr:colOff>
      <xdr:row>22</xdr:row>
      <xdr:rowOff>1058</xdr:rowOff>
    </xdr:to>
    <xdr:pic>
      <xdr:nvPicPr>
        <xdr:cNvPr id="3" name="그림 2">
          <a:extLst>
            <a:ext uri="{FF2B5EF4-FFF2-40B4-BE49-F238E27FC236}">
              <a16:creationId xmlns:a16="http://schemas.microsoft.com/office/drawing/2014/main" id="{43170F6A-9E1C-5C2E-4EA2-31FDC93DFE4C}"/>
            </a:ext>
          </a:extLst>
        </xdr:cNvPr>
        <xdr:cNvPicPr>
          <a:picLocks noChangeAspect="1"/>
        </xdr:cNvPicPr>
      </xdr:nvPicPr>
      <xdr:blipFill>
        <a:blip xmlns:r="http://schemas.openxmlformats.org/officeDocument/2006/relationships" r:embed="rId1"/>
        <a:stretch>
          <a:fillRect/>
        </a:stretch>
      </xdr:blipFill>
      <xdr:spPr>
        <a:xfrm>
          <a:off x="0" y="0"/>
          <a:ext cx="10762746" cy="4862618"/>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9.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showGridLines="0" topLeftCell="B1" workbookViewId="0">
      <selection activeCell="T17" sqref="T17"/>
    </sheetView>
  </sheetViews>
  <sheetFormatPr defaultColWidth="9" defaultRowHeight="17.399999999999999"/>
  <cols>
    <col min="1" max="3" width="9" style="210"/>
    <col min="4" max="4" width="1.19921875" style="210" customWidth="1"/>
    <col min="5" max="5" width="3.5" style="210" customWidth="1"/>
    <col min="6" max="16384" width="9" style="210"/>
  </cols>
  <sheetData>
    <row r="1" spans="1:16" ht="19.2">
      <c r="A1" s="208" t="s">
        <v>1591</v>
      </c>
      <c r="B1" s="208"/>
      <c r="C1" s="209"/>
      <c r="D1" s="209"/>
      <c r="E1" s="209"/>
      <c r="F1" s="209"/>
      <c r="G1" s="209"/>
      <c r="H1" s="209"/>
      <c r="I1" s="209"/>
      <c r="J1" s="209"/>
      <c r="K1" s="209"/>
      <c r="L1" s="209"/>
      <c r="M1" s="209"/>
    </row>
    <row r="2" spans="1:16" ht="18" thickBot="1">
      <c r="A2" s="209"/>
      <c r="B2" s="209"/>
      <c r="C2" s="209"/>
      <c r="D2" s="209"/>
      <c r="E2" s="209"/>
      <c r="F2" s="209"/>
      <c r="G2" s="209"/>
      <c r="H2" s="209"/>
      <c r="I2" s="209"/>
      <c r="J2" s="209"/>
      <c r="N2" s="209"/>
      <c r="O2" s="209"/>
      <c r="P2" s="209"/>
    </row>
    <row r="3" spans="1:16">
      <c r="A3" s="209"/>
      <c r="B3" s="209"/>
      <c r="C3" s="209"/>
      <c r="D3" s="209"/>
      <c r="E3" s="209"/>
      <c r="F3" s="209"/>
      <c r="G3" s="209"/>
      <c r="H3" s="209"/>
      <c r="I3" s="209"/>
      <c r="J3" s="209"/>
      <c r="N3" s="211" t="s">
        <v>1592</v>
      </c>
      <c r="O3" s="244" t="s">
        <v>1609</v>
      </c>
      <c r="P3" s="245"/>
    </row>
    <row r="4" spans="1:16">
      <c r="A4" s="209"/>
      <c r="B4" s="212"/>
      <c r="C4" s="213"/>
      <c r="D4" s="213"/>
      <c r="E4" s="213"/>
      <c r="F4" s="209"/>
      <c r="G4" s="209"/>
      <c r="H4" s="209"/>
      <c r="I4" s="209"/>
      <c r="J4" s="209"/>
      <c r="N4" s="214" t="s">
        <v>1593</v>
      </c>
      <c r="O4" s="246">
        <v>45705</v>
      </c>
      <c r="P4" s="247"/>
    </row>
    <row r="5" spans="1:16" ht="18" thickBot="1">
      <c r="A5" s="209"/>
      <c r="B5" s="209"/>
      <c r="C5" s="209"/>
      <c r="D5" s="209"/>
      <c r="E5" s="209"/>
      <c r="F5" s="209"/>
      <c r="G5" s="209"/>
      <c r="H5" s="209"/>
      <c r="I5" s="209"/>
      <c r="J5" s="209"/>
      <c r="N5" s="215" t="s">
        <v>1594</v>
      </c>
      <c r="O5" s="248" t="s">
        <v>1595</v>
      </c>
      <c r="P5" s="249"/>
    </row>
    <row r="6" spans="1:16">
      <c r="A6" s="209"/>
      <c r="B6" s="209"/>
      <c r="C6" s="209"/>
      <c r="D6" s="209"/>
      <c r="E6" s="209"/>
      <c r="F6" s="209"/>
      <c r="G6" s="209"/>
      <c r="H6" s="209"/>
      <c r="I6" s="209"/>
      <c r="J6" s="209"/>
      <c r="K6" s="209"/>
      <c r="L6" s="209"/>
      <c r="M6" s="209"/>
    </row>
    <row r="7" spans="1:16">
      <c r="A7" s="209"/>
      <c r="B7" s="209"/>
      <c r="C7" s="209"/>
      <c r="E7" s="209"/>
      <c r="F7" s="209"/>
      <c r="G7" s="209"/>
      <c r="H7" s="209"/>
      <c r="I7" s="209"/>
      <c r="J7" s="209"/>
      <c r="K7" s="209"/>
      <c r="L7" s="209"/>
      <c r="M7" s="209"/>
    </row>
    <row r="8" spans="1:16">
      <c r="A8" s="209"/>
      <c r="B8" s="209"/>
      <c r="C8" s="209"/>
      <c r="D8" s="216"/>
      <c r="E8" s="209"/>
      <c r="F8" s="209"/>
      <c r="G8" s="209"/>
      <c r="H8" s="209"/>
      <c r="I8" s="209"/>
      <c r="J8" s="209"/>
      <c r="K8" s="209"/>
      <c r="L8" s="209"/>
      <c r="M8" s="209"/>
    </row>
    <row r="9" spans="1:16" ht="22.2">
      <c r="A9" s="209"/>
      <c r="B9" s="209"/>
      <c r="C9" s="209"/>
      <c r="D9" s="216"/>
      <c r="E9" s="209"/>
      <c r="F9" s="217" t="s">
        <v>1608</v>
      </c>
      <c r="G9" s="209"/>
      <c r="H9" s="209"/>
      <c r="I9" s="209"/>
      <c r="J9" s="209"/>
      <c r="K9" s="209"/>
      <c r="L9" s="209"/>
      <c r="M9" s="209"/>
    </row>
    <row r="10" spans="1:16" ht="30.6">
      <c r="A10" s="209"/>
      <c r="B10" s="209"/>
      <c r="C10" s="209"/>
      <c r="D10" s="216"/>
      <c r="E10" s="209"/>
      <c r="F10" s="218" t="s">
        <v>459</v>
      </c>
      <c r="G10" s="209"/>
      <c r="H10" s="209"/>
      <c r="I10" s="209"/>
      <c r="J10" s="209"/>
      <c r="K10" s="209"/>
      <c r="L10" s="209"/>
      <c r="M10" s="209"/>
    </row>
    <row r="11" spans="1:16">
      <c r="A11" s="209"/>
      <c r="B11" s="209"/>
      <c r="C11" s="209"/>
      <c r="D11" s="216"/>
      <c r="E11" s="209"/>
      <c r="F11" s="209"/>
      <c r="G11" s="209"/>
      <c r="H11" s="209"/>
      <c r="I11" s="209"/>
      <c r="J11" s="209"/>
      <c r="K11" s="209"/>
      <c r="L11" s="209"/>
      <c r="M11" s="209"/>
    </row>
    <row r="12" spans="1:16">
      <c r="A12" s="209"/>
      <c r="B12" s="209"/>
      <c r="C12" s="209"/>
      <c r="D12" s="209"/>
      <c r="E12" s="209"/>
      <c r="F12" s="209"/>
      <c r="G12" s="209"/>
      <c r="H12" s="209"/>
      <c r="I12" s="209"/>
      <c r="J12" s="209"/>
      <c r="K12" s="209"/>
      <c r="L12" s="209"/>
      <c r="M12" s="209"/>
    </row>
    <row r="13" spans="1:16">
      <c r="A13" s="209"/>
      <c r="B13" s="209"/>
      <c r="C13" s="209"/>
      <c r="D13" s="209"/>
      <c r="E13" s="209"/>
      <c r="F13" s="209"/>
      <c r="G13" s="209"/>
      <c r="H13" s="209"/>
      <c r="I13" s="209"/>
      <c r="J13" s="209"/>
      <c r="K13" s="209"/>
      <c r="L13" s="209"/>
      <c r="M13" s="209"/>
    </row>
    <row r="14" spans="1:16">
      <c r="A14" s="209"/>
      <c r="B14" s="209"/>
      <c r="C14" s="209"/>
      <c r="D14" s="209"/>
      <c r="E14" s="209"/>
      <c r="F14" s="209"/>
      <c r="G14" s="209"/>
      <c r="H14" s="209"/>
      <c r="I14" s="209"/>
      <c r="J14" s="209"/>
      <c r="K14" s="209"/>
      <c r="L14" s="209"/>
      <c r="M14" s="209"/>
    </row>
    <row r="15" spans="1:16">
      <c r="A15" s="209"/>
      <c r="B15" s="209"/>
      <c r="C15" s="209"/>
      <c r="D15" s="209"/>
      <c r="E15" s="209"/>
      <c r="F15" s="209"/>
      <c r="G15" s="209"/>
      <c r="H15" s="209"/>
      <c r="I15" s="209"/>
      <c r="J15" s="209"/>
      <c r="K15" s="209"/>
      <c r="L15" s="209"/>
      <c r="M15" s="209"/>
    </row>
    <row r="16" spans="1:16">
      <c r="A16" s="209"/>
      <c r="B16" s="209"/>
      <c r="C16" s="209"/>
      <c r="D16" s="209"/>
      <c r="E16" s="209"/>
      <c r="F16" s="209"/>
      <c r="G16" s="209"/>
      <c r="H16" s="209"/>
      <c r="I16" s="209"/>
      <c r="J16" s="209"/>
      <c r="K16" s="209"/>
      <c r="L16" s="209"/>
      <c r="M16" s="209"/>
    </row>
    <row r="17" spans="1:13">
      <c r="A17" s="209"/>
      <c r="B17" s="209"/>
      <c r="C17" s="209"/>
      <c r="D17" s="209"/>
      <c r="E17" s="209"/>
      <c r="F17" s="209"/>
      <c r="G17" s="209"/>
      <c r="H17" s="209"/>
      <c r="I17" s="209"/>
      <c r="J17" s="209"/>
      <c r="K17" s="209"/>
      <c r="L17" s="209"/>
      <c r="M17" s="209"/>
    </row>
    <row r="18" spans="1:13">
      <c r="A18" s="209"/>
      <c r="B18" s="209"/>
      <c r="C18" s="209"/>
      <c r="D18" s="209"/>
      <c r="E18" s="209"/>
      <c r="F18" s="209"/>
      <c r="G18" s="209"/>
      <c r="H18" s="209"/>
      <c r="I18" s="209"/>
      <c r="J18" s="209"/>
      <c r="K18" s="209"/>
      <c r="L18" s="209"/>
      <c r="M18" s="209"/>
    </row>
    <row r="19" spans="1:13">
      <c r="A19" s="209"/>
      <c r="B19" s="209"/>
      <c r="C19" s="209"/>
      <c r="D19" s="209"/>
      <c r="E19" s="209"/>
      <c r="F19" s="209"/>
      <c r="G19" s="209"/>
      <c r="H19" s="209"/>
      <c r="I19" s="209"/>
      <c r="J19" s="209"/>
      <c r="K19" s="209"/>
      <c r="L19" s="209"/>
      <c r="M19" s="209"/>
    </row>
    <row r="20" spans="1:13">
      <c r="A20" s="209"/>
      <c r="B20" s="209"/>
      <c r="C20" s="209"/>
      <c r="D20" s="209"/>
      <c r="E20" s="209"/>
      <c r="F20" s="209"/>
      <c r="G20" s="209"/>
      <c r="H20" s="209"/>
      <c r="I20" s="209"/>
      <c r="J20" s="209"/>
      <c r="K20" s="209"/>
      <c r="L20" s="209"/>
      <c r="M20" s="209"/>
    </row>
    <row r="21" spans="1:13">
      <c r="A21" s="209"/>
      <c r="B21" s="209"/>
      <c r="C21" s="209"/>
      <c r="D21" s="209"/>
      <c r="E21" s="209"/>
      <c r="F21" s="209"/>
      <c r="G21" s="209"/>
      <c r="H21" s="209"/>
      <c r="I21" s="209"/>
      <c r="J21" s="209"/>
      <c r="K21" s="209"/>
      <c r="L21" s="209"/>
      <c r="M21" s="209"/>
    </row>
    <row r="22" spans="1:13">
      <c r="A22" s="209"/>
      <c r="B22" s="209"/>
      <c r="C22" s="209"/>
      <c r="D22" s="209"/>
      <c r="E22" s="209"/>
      <c r="F22" s="209"/>
      <c r="G22" s="209"/>
      <c r="H22" s="209"/>
      <c r="I22" s="209"/>
      <c r="J22" s="209"/>
      <c r="K22" s="209"/>
      <c r="L22" s="209"/>
      <c r="M22" s="209"/>
    </row>
    <row r="23" spans="1:13">
      <c r="A23" s="209"/>
      <c r="B23" s="209"/>
      <c r="C23" s="209"/>
      <c r="D23" s="209"/>
      <c r="E23" s="209"/>
      <c r="F23" s="209"/>
      <c r="G23" s="209"/>
      <c r="H23" s="209"/>
      <c r="I23" s="209"/>
      <c r="J23" s="209"/>
      <c r="K23" s="209"/>
      <c r="L23" s="209"/>
      <c r="M23" s="209"/>
    </row>
    <row r="24" spans="1:13">
      <c r="A24" s="209"/>
      <c r="B24" s="209"/>
      <c r="C24" s="209"/>
      <c r="D24" s="209"/>
      <c r="E24" s="209"/>
      <c r="F24" s="209"/>
      <c r="G24" s="209"/>
      <c r="H24" s="209"/>
      <c r="I24" s="209"/>
      <c r="J24" s="209"/>
      <c r="K24" s="209"/>
      <c r="L24" s="209"/>
      <c r="M24" s="209"/>
    </row>
    <row r="25" spans="1:13">
      <c r="A25" s="209"/>
      <c r="B25" s="209"/>
      <c r="C25" s="209"/>
      <c r="D25" s="209"/>
      <c r="E25" s="209"/>
      <c r="F25" s="209"/>
      <c r="G25" s="209"/>
      <c r="H25" s="209"/>
      <c r="I25" s="209"/>
      <c r="J25" s="209"/>
      <c r="K25" s="209"/>
      <c r="L25" s="209"/>
      <c r="M25" s="209"/>
    </row>
    <row r="26" spans="1:13">
      <c r="A26" s="209"/>
      <c r="B26" s="209"/>
      <c r="C26" s="209"/>
      <c r="D26" s="209"/>
      <c r="E26" s="209"/>
      <c r="F26" s="209"/>
      <c r="G26" s="209"/>
      <c r="H26" s="209"/>
      <c r="I26" s="209"/>
      <c r="J26" s="209"/>
      <c r="K26" s="209"/>
      <c r="L26" s="209"/>
      <c r="M26" s="209"/>
    </row>
    <row r="27" spans="1:13">
      <c r="A27" s="209"/>
      <c r="B27" s="209"/>
      <c r="C27" s="209"/>
      <c r="D27" s="209"/>
      <c r="E27" s="209"/>
      <c r="F27" s="209"/>
      <c r="G27" s="209"/>
      <c r="H27" s="209"/>
      <c r="I27" s="209"/>
      <c r="J27" s="209"/>
      <c r="K27" s="209"/>
      <c r="L27" s="209"/>
      <c r="M27" s="209"/>
    </row>
    <row r="28" spans="1:13">
      <c r="A28" s="209"/>
      <c r="B28" s="209"/>
      <c r="C28" s="209"/>
      <c r="D28" s="209"/>
      <c r="E28" s="209"/>
      <c r="F28" s="209"/>
      <c r="G28" s="209"/>
      <c r="H28" s="209"/>
      <c r="I28" s="209"/>
      <c r="J28" s="209"/>
      <c r="K28" s="209"/>
      <c r="L28" s="209"/>
      <c r="M28" s="209"/>
    </row>
    <row r="29" spans="1:13">
      <c r="A29" s="209"/>
      <c r="B29" s="209"/>
      <c r="C29" s="209"/>
      <c r="D29" s="209"/>
      <c r="E29" s="209"/>
      <c r="F29" s="209"/>
      <c r="G29" s="209"/>
      <c r="H29" s="209"/>
      <c r="I29" s="209"/>
      <c r="J29" s="209"/>
      <c r="K29" s="209"/>
      <c r="L29" s="209"/>
      <c r="M29" s="209"/>
    </row>
    <row r="30" spans="1:13">
      <c r="A30" s="209"/>
      <c r="B30" s="209"/>
      <c r="C30" s="209"/>
      <c r="D30" s="209"/>
      <c r="E30" s="209"/>
      <c r="F30" s="209"/>
      <c r="G30" s="209"/>
      <c r="H30" s="209"/>
      <c r="I30" s="209"/>
      <c r="J30" s="209"/>
      <c r="K30" s="209"/>
      <c r="L30" s="209"/>
      <c r="M30" s="209"/>
    </row>
    <row r="31" spans="1:13">
      <c r="A31" s="209"/>
      <c r="B31" s="209"/>
      <c r="C31" s="209"/>
      <c r="D31" s="209"/>
      <c r="E31" s="209"/>
      <c r="F31" s="209"/>
      <c r="G31" s="209"/>
      <c r="H31" s="209"/>
      <c r="I31" s="209"/>
      <c r="J31" s="209"/>
      <c r="K31" s="209"/>
      <c r="L31" s="209"/>
      <c r="M31" s="209"/>
    </row>
    <row r="32" spans="1:13">
      <c r="A32" s="209"/>
      <c r="B32" s="209"/>
      <c r="C32" s="209"/>
      <c r="D32" s="209"/>
      <c r="E32" s="209"/>
      <c r="F32" s="209"/>
      <c r="G32" s="209"/>
      <c r="H32" s="209"/>
      <c r="I32" s="209"/>
      <c r="J32" s="209"/>
      <c r="K32" s="209"/>
      <c r="L32" s="209"/>
      <c r="M32" s="209"/>
    </row>
    <row r="33" spans="1:13">
      <c r="A33" s="209"/>
      <c r="B33" s="209"/>
      <c r="C33" s="209"/>
      <c r="D33" s="209"/>
      <c r="E33" s="209"/>
      <c r="F33" s="209"/>
      <c r="G33" s="209"/>
      <c r="H33" s="209"/>
      <c r="I33" s="209"/>
      <c r="J33" s="209"/>
      <c r="K33" s="209"/>
      <c r="L33" s="209"/>
      <c r="M33" s="209"/>
    </row>
    <row r="34" spans="1:13">
      <c r="A34" s="209"/>
      <c r="B34" s="209"/>
      <c r="C34" s="209"/>
      <c r="D34" s="209"/>
      <c r="E34" s="209"/>
      <c r="F34" s="209"/>
      <c r="G34" s="209"/>
      <c r="H34" s="209"/>
      <c r="I34" s="209"/>
      <c r="J34" s="209"/>
      <c r="K34" s="209"/>
      <c r="L34" s="209"/>
      <c r="M34" s="209"/>
    </row>
    <row r="35" spans="1:13">
      <c r="A35" s="209"/>
      <c r="B35" s="209"/>
      <c r="C35" s="209"/>
      <c r="D35" s="209"/>
      <c r="E35" s="209"/>
      <c r="F35" s="209"/>
      <c r="G35" s="209"/>
      <c r="H35" s="209"/>
      <c r="I35" s="209"/>
      <c r="J35" s="209"/>
      <c r="K35" s="209"/>
      <c r="L35" s="209"/>
      <c r="M35" s="209"/>
    </row>
  </sheetData>
  <mergeCells count="3">
    <mergeCell ref="O3:P3"/>
    <mergeCell ref="O4:P4"/>
    <mergeCell ref="O5:P5"/>
  </mergeCells>
  <phoneticPr fontId="2"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25"/>
  <sheetViews>
    <sheetView showGridLines="0" workbookViewId="0">
      <selection activeCell="J15" sqref="J15"/>
    </sheetView>
  </sheetViews>
  <sheetFormatPr defaultColWidth="9" defaultRowHeight="17.399999999999999"/>
  <cols>
    <col min="1" max="1" width="9" style="210"/>
    <col min="2" max="2" width="11.19921875" style="210" bestFit="1" customWidth="1"/>
    <col min="3" max="3" width="13.09765625" style="210" bestFit="1" customWidth="1"/>
    <col min="4" max="4" width="48.5" style="210" customWidth="1"/>
    <col min="5" max="16384" width="9" style="210"/>
  </cols>
  <sheetData>
    <row r="2" spans="1:6" ht="25.2">
      <c r="A2" s="250" t="s">
        <v>1596</v>
      </c>
      <c r="B2" s="250"/>
      <c r="C2" s="250"/>
      <c r="D2" s="250"/>
      <c r="E2" s="250"/>
      <c r="F2" s="250"/>
    </row>
    <row r="3" spans="1:6">
      <c r="A3" s="219" t="s">
        <v>1597</v>
      </c>
      <c r="B3" s="219" t="s">
        <v>1598</v>
      </c>
      <c r="C3" s="220" t="s">
        <v>1599</v>
      </c>
      <c r="D3" s="220" t="s">
        <v>1600</v>
      </c>
      <c r="E3" s="219" t="s">
        <v>1601</v>
      </c>
      <c r="F3" s="219" t="s">
        <v>1602</v>
      </c>
    </row>
    <row r="4" spans="1:6">
      <c r="A4" s="221">
        <v>0.9</v>
      </c>
      <c r="B4" s="222">
        <v>45855</v>
      </c>
      <c r="C4" s="221" t="s">
        <v>1603</v>
      </c>
      <c r="D4" s="223" t="s">
        <v>1604</v>
      </c>
      <c r="E4" s="221"/>
      <c r="F4" s="221" t="s">
        <v>1605</v>
      </c>
    </row>
    <row r="5" spans="1:6">
      <c r="A5" s="224"/>
      <c r="B5" s="222"/>
      <c r="C5" s="221"/>
      <c r="D5" s="223"/>
      <c r="E5" s="221"/>
      <c r="F5" s="221"/>
    </row>
    <row r="6" spans="1:6">
      <c r="A6" s="224"/>
      <c r="B6" s="222"/>
      <c r="C6" s="221"/>
      <c r="D6" s="223"/>
      <c r="E6" s="221"/>
      <c r="F6" s="221"/>
    </row>
    <row r="7" spans="1:6">
      <c r="A7" s="224"/>
      <c r="B7" s="222"/>
      <c r="C7" s="221"/>
      <c r="D7" s="223"/>
      <c r="E7" s="221"/>
      <c r="F7" s="221"/>
    </row>
    <row r="8" spans="1:6">
      <c r="A8" s="221"/>
      <c r="B8" s="222"/>
      <c r="C8" s="221"/>
      <c r="D8" s="223"/>
      <c r="E8" s="221"/>
      <c r="F8" s="221"/>
    </row>
    <row r="9" spans="1:6">
      <c r="A9" s="225"/>
      <c r="B9" s="226"/>
      <c r="C9" s="227"/>
      <c r="D9" s="223"/>
      <c r="E9" s="227"/>
      <c r="F9" s="227"/>
    </row>
    <row r="10" spans="1:6">
      <c r="A10" s="221"/>
      <c r="B10" s="226"/>
      <c r="C10" s="227"/>
      <c r="D10" s="223"/>
      <c r="E10" s="227"/>
      <c r="F10" s="227"/>
    </row>
    <row r="11" spans="1:6">
      <c r="A11" s="221"/>
      <c r="B11" s="226"/>
      <c r="C11" s="227"/>
      <c r="D11" s="223"/>
      <c r="E11" s="227"/>
      <c r="F11" s="227"/>
    </row>
    <row r="12" spans="1:6">
      <c r="A12" s="221"/>
      <c r="B12" s="226"/>
      <c r="C12" s="227"/>
      <c r="D12" s="223"/>
      <c r="E12" s="227"/>
      <c r="F12" s="227"/>
    </row>
    <row r="13" spans="1:6">
      <c r="A13" s="221"/>
      <c r="B13" s="221"/>
      <c r="C13" s="221"/>
      <c r="D13" s="223"/>
      <c r="E13" s="221"/>
      <c r="F13" s="221"/>
    </row>
    <row r="14" spans="1:6">
      <c r="A14" s="221"/>
      <c r="B14" s="221"/>
      <c r="C14" s="221"/>
      <c r="D14" s="223"/>
      <c r="E14" s="221"/>
      <c r="F14" s="221"/>
    </row>
    <row r="15" spans="1:6">
      <c r="A15" s="221"/>
      <c r="B15" s="221"/>
      <c r="C15" s="221"/>
      <c r="D15" s="223"/>
      <c r="E15" s="221"/>
      <c r="F15" s="221"/>
    </row>
    <row r="16" spans="1:6">
      <c r="A16" s="221"/>
      <c r="B16" s="221"/>
      <c r="C16" s="221"/>
      <c r="D16" s="223"/>
      <c r="E16" s="221"/>
      <c r="F16" s="221"/>
    </row>
    <row r="17" spans="1:6">
      <c r="A17" s="221"/>
      <c r="B17" s="221"/>
      <c r="C17" s="221"/>
      <c r="D17" s="223"/>
      <c r="E17" s="221"/>
      <c r="F17" s="221"/>
    </row>
    <row r="18" spans="1:6">
      <c r="A18" s="221"/>
      <c r="B18" s="221"/>
      <c r="C18" s="221"/>
      <c r="D18" s="223"/>
      <c r="E18" s="221"/>
      <c r="F18" s="221"/>
    </row>
    <row r="19" spans="1:6">
      <c r="A19" s="221"/>
      <c r="B19" s="221"/>
      <c r="C19" s="221"/>
      <c r="D19" s="223"/>
      <c r="E19" s="221"/>
      <c r="F19" s="221"/>
    </row>
    <row r="20" spans="1:6">
      <c r="A20" s="228"/>
      <c r="B20" s="229"/>
      <c r="C20" s="229"/>
      <c r="D20" s="229"/>
      <c r="E20" s="229"/>
      <c r="F20" s="229"/>
    </row>
    <row r="21" spans="1:6" ht="15.75" customHeight="1">
      <c r="A21" s="229"/>
      <c r="B21" s="229"/>
      <c r="C21" s="229"/>
      <c r="D21" s="229"/>
      <c r="E21" s="229"/>
      <c r="F21" s="229"/>
    </row>
    <row r="22" spans="1:6">
      <c r="A22" s="230"/>
      <c r="B22" s="230"/>
      <c r="C22" s="230"/>
      <c r="D22" s="230"/>
      <c r="E22" s="230"/>
      <c r="F22" s="230"/>
    </row>
    <row r="23" spans="1:6">
      <c r="A23" s="231"/>
      <c r="B23" s="231"/>
      <c r="C23" s="231"/>
      <c r="D23" s="231"/>
      <c r="E23" s="231"/>
      <c r="F23" s="231"/>
    </row>
    <row r="24" spans="1:6">
      <c r="A24" s="232" t="s">
        <v>1606</v>
      </c>
      <c r="B24" s="232"/>
      <c r="C24" s="232"/>
      <c r="D24" s="232"/>
      <c r="E24" s="232"/>
      <c r="F24" s="232"/>
    </row>
    <row r="25" spans="1:6">
      <c r="A25" s="232" t="s">
        <v>1607</v>
      </c>
      <c r="B25" s="232"/>
      <c r="C25" s="232"/>
      <c r="D25" s="232"/>
      <c r="E25" s="232"/>
      <c r="F25" s="232"/>
    </row>
  </sheetData>
  <mergeCells count="1">
    <mergeCell ref="A2:F2"/>
  </mergeCells>
  <phoneticPr fontId="2"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OL183"/>
  <sheetViews>
    <sheetView tabSelected="1" zoomScale="85" zoomScaleNormal="85" zoomScaleSheetLayoutView="115" zoomScalePageLayoutView="55" workbookViewId="0">
      <pane ySplit="4" topLeftCell="A74" activePane="bottomLeft" state="frozen"/>
      <selection activeCell="D1" sqref="D1"/>
      <selection pane="bottomLeft" activeCell="A100" sqref="A100:XFD100"/>
    </sheetView>
  </sheetViews>
  <sheetFormatPr defaultColWidth="10" defaultRowHeight="12" customHeight="1"/>
  <cols>
    <col min="1" max="1" width="9.09765625" style="139" hidden="1" customWidth="1"/>
    <col min="2" max="2" width="9" style="139" hidden="1" customWidth="1"/>
    <col min="3" max="3" width="8.3984375" style="139" hidden="1" customWidth="1"/>
    <col min="4" max="4" width="9.69921875" style="140" customWidth="1"/>
    <col min="5" max="13" width="2.69921875" style="141" customWidth="1"/>
    <col min="14" max="14" width="4.5" style="141" bestFit="1" customWidth="1"/>
    <col min="15" max="15" width="9.69921875" style="141" bestFit="1" customWidth="1"/>
    <col min="16" max="17" width="10.5" style="238" bestFit="1" customWidth="1"/>
    <col min="18" max="18" width="7.59765625" style="141" hidden="1" customWidth="1"/>
    <col min="19" max="19" width="7.3984375" style="142" customWidth="1"/>
    <col min="20" max="20" width="6.09765625" style="142" bestFit="1" customWidth="1"/>
    <col min="21" max="21" width="6" style="142" customWidth="1"/>
    <col min="22" max="22" width="5.8984375" style="142" customWidth="1"/>
    <col min="23" max="24" width="9.69921875" style="238" hidden="1" customWidth="1"/>
    <col min="25" max="25" width="7.5" style="143" hidden="1" customWidth="1"/>
    <col min="26" max="26" width="6" style="144" hidden="1" customWidth="1"/>
    <col min="27" max="27" width="6.09765625" style="142" customWidth="1"/>
    <col min="28" max="28" width="12.8984375" style="141" customWidth="1"/>
    <col min="29" max="29" width="10.19921875" style="145" customWidth="1"/>
    <col min="30" max="30" width="8.3984375" style="146" bestFit="1" customWidth="1"/>
    <col min="31" max="31" width="9.09765625" style="147" customWidth="1"/>
    <col min="32" max="402" width="1.8984375" style="119" customWidth="1"/>
    <col min="403" max="16384" width="10" style="119"/>
  </cols>
  <sheetData>
    <row r="1" spans="1:402" s="129" customFormat="1" ht="25.05" customHeight="1">
      <c r="A1" s="120"/>
      <c r="B1" s="121"/>
      <c r="C1" s="122"/>
      <c r="D1" s="149" t="str" cm="1">
        <f t="array" aca="1" ref="D1" ca="1">xlgantt.ProjectName()</f>
        <v>신성통상 차세대 POS 및 키오스크 구축 프로젝트</v>
      </c>
      <c r="E1" s="123"/>
      <c r="F1" s="123"/>
      <c r="G1" s="123"/>
      <c r="H1" s="123"/>
      <c r="I1" s="123"/>
      <c r="J1" s="123"/>
      <c r="K1" s="123"/>
      <c r="L1" s="123"/>
      <c r="M1" s="123"/>
      <c r="N1" s="123"/>
      <c r="O1" s="123"/>
      <c r="P1" s="233"/>
      <c r="Q1" s="234"/>
      <c r="R1" s="124"/>
      <c r="S1" s="125"/>
      <c r="T1" s="126"/>
      <c r="U1" s="127"/>
      <c r="V1" s="127"/>
      <c r="W1" s="239"/>
      <c r="X1" s="239"/>
      <c r="Y1" s="121"/>
      <c r="Z1" s="128"/>
      <c r="AA1" s="108"/>
      <c r="AB1" s="109"/>
      <c r="AC1" s="110"/>
      <c r="AD1" s="111"/>
      <c r="AE1" s="112" t="str" cm="1">
        <f t="array" aca="1" ref="AE1" ca="1">xlgantt.ProjectProgressString()</f>
        <v>2025-02-17~2026-02-16 [계획:0.00% 실적:0.00%]</v>
      </c>
      <c r="AF1" s="161" t="s">
        <v>1729</v>
      </c>
      <c r="AG1" s="148"/>
      <c r="AH1" s="148"/>
      <c r="AI1" s="148"/>
      <c r="AJ1" s="148"/>
      <c r="AK1" s="148"/>
      <c r="AL1" s="148"/>
      <c r="AM1" s="148"/>
      <c r="AN1" s="148"/>
      <c r="AO1" s="148"/>
      <c r="AP1" s="148"/>
      <c r="AQ1" s="148"/>
      <c r="AR1" s="148"/>
      <c r="AS1" s="148"/>
      <c r="AT1" s="148"/>
      <c r="AU1" s="148"/>
      <c r="AV1" s="148"/>
      <c r="AW1" s="148"/>
      <c r="AX1" s="148"/>
      <c r="AY1" s="148"/>
      <c r="AZ1" s="148"/>
      <c r="BA1" s="148"/>
      <c r="BB1" s="148"/>
      <c r="BC1" s="148"/>
      <c r="BD1" s="148"/>
      <c r="BE1" s="148"/>
      <c r="BF1" s="148"/>
      <c r="BG1" s="148"/>
      <c r="BH1" s="148"/>
      <c r="BI1" s="148"/>
      <c r="BJ1" s="148"/>
    </row>
    <row r="2" spans="1:402" s="129" customFormat="1" ht="15" customHeight="1">
      <c r="A2" s="130"/>
      <c r="B2" s="130"/>
      <c r="C2" s="131"/>
      <c r="D2" s="270"/>
      <c r="E2" s="270"/>
      <c r="F2" s="270"/>
      <c r="G2" s="114"/>
      <c r="H2" s="132"/>
      <c r="I2" s="114"/>
      <c r="J2" s="114"/>
      <c r="K2" s="114"/>
      <c r="L2" s="114"/>
      <c r="M2" s="114"/>
      <c r="N2" s="114"/>
      <c r="O2" s="114"/>
      <c r="P2" s="235"/>
      <c r="Q2" s="235"/>
      <c r="R2" s="114"/>
      <c r="S2" s="115"/>
      <c r="T2" s="115"/>
      <c r="U2" s="115"/>
      <c r="V2" s="115"/>
      <c r="W2" s="235"/>
      <c r="X2" s="235"/>
      <c r="Y2" s="114"/>
      <c r="Z2" s="114"/>
      <c r="AA2" s="114"/>
      <c r="AB2" s="114"/>
      <c r="AC2" s="116"/>
      <c r="AD2" s="117"/>
      <c r="AE2" s="114" t="str" cm="1">
        <f t="array" aca="1" ref="AE2" ca="1">xlgantt.CommentOnHeadArea()</f>
        <v>별(*)표시는 필수입력</v>
      </c>
      <c r="AF2" s="251" t="s">
        <v>742</v>
      </c>
      <c r="AG2" s="251"/>
      <c r="AH2" s="251"/>
      <c r="AI2" s="251"/>
      <c r="AJ2" s="251" t="s">
        <v>1547</v>
      </c>
      <c r="AK2" s="251"/>
      <c r="AL2" s="251"/>
      <c r="AM2" s="251"/>
      <c r="AN2" s="251" t="s">
        <v>1548</v>
      </c>
      <c r="AO2" s="251"/>
      <c r="AP2" s="251"/>
      <c r="AQ2" s="251"/>
      <c r="AR2" s="251" t="s">
        <v>1467</v>
      </c>
      <c r="AS2" s="251"/>
      <c r="AT2" s="251"/>
      <c r="AU2" s="251"/>
      <c r="AV2" s="251" t="s">
        <v>1549</v>
      </c>
      <c r="AW2" s="251"/>
      <c r="AX2" s="251"/>
      <c r="AY2" s="251"/>
      <c r="AZ2" s="251" t="s">
        <v>1550</v>
      </c>
      <c r="BA2" s="251"/>
      <c r="BB2" s="251"/>
      <c r="BC2" s="251"/>
      <c r="BD2" s="251" t="s">
        <v>1576</v>
      </c>
      <c r="BE2" s="251"/>
      <c r="BF2" s="251"/>
      <c r="BG2" s="251"/>
      <c r="BH2" s="251" t="s">
        <v>1578</v>
      </c>
      <c r="BI2" s="251"/>
      <c r="BJ2" s="251"/>
      <c r="BK2" s="251"/>
      <c r="BL2" s="251" t="s">
        <v>1580</v>
      </c>
      <c r="BM2" s="251"/>
      <c r="BN2" s="251"/>
      <c r="BO2" s="251"/>
      <c r="BP2" s="251" t="s">
        <v>1582</v>
      </c>
      <c r="BQ2" s="251"/>
      <c r="BR2" s="251"/>
      <c r="BS2" s="251"/>
      <c r="BT2" s="251" t="s">
        <v>1584</v>
      </c>
      <c r="BU2" s="251"/>
      <c r="BV2" s="251"/>
      <c r="BW2" s="251"/>
      <c r="BX2" s="251" t="s">
        <v>1586</v>
      </c>
      <c r="BY2" s="251"/>
      <c r="BZ2" s="251"/>
      <c r="CA2" s="251"/>
      <c r="CB2" s="251" t="s">
        <v>1588</v>
      </c>
      <c r="CC2" s="251"/>
      <c r="CD2" s="251"/>
      <c r="CE2" s="251"/>
      <c r="CF2" s="251" t="s">
        <v>1590</v>
      </c>
      <c r="CG2" s="251"/>
      <c r="CH2" s="251"/>
      <c r="CI2" s="251"/>
      <c r="CJ2" s="243"/>
      <c r="CK2" s="243"/>
      <c r="CL2" s="243"/>
      <c r="CM2" s="243"/>
      <c r="CN2" s="243"/>
      <c r="CO2" s="243"/>
      <c r="CP2" s="243"/>
      <c r="CQ2" s="243"/>
      <c r="CR2" s="243"/>
      <c r="CS2" s="243"/>
      <c r="CT2" s="243"/>
      <c r="CU2" s="243"/>
      <c r="CV2" s="243"/>
      <c r="CW2" s="243"/>
      <c r="CX2" s="243"/>
      <c r="CY2" s="243"/>
      <c r="CZ2" s="243"/>
      <c r="DA2" s="243"/>
      <c r="DB2" s="243"/>
      <c r="DC2" s="243"/>
      <c r="DD2" s="243"/>
      <c r="DE2" s="243"/>
      <c r="DF2" s="243"/>
      <c r="DG2" s="243"/>
      <c r="DH2" s="243"/>
      <c r="DI2" s="243"/>
      <c r="DJ2" s="243"/>
      <c r="DK2" s="243"/>
      <c r="DL2" s="243"/>
      <c r="DM2" s="243"/>
      <c r="DN2" s="243"/>
      <c r="DO2" s="243"/>
      <c r="DP2" s="243"/>
      <c r="DQ2" s="243"/>
      <c r="DR2" s="243"/>
      <c r="DS2" s="243"/>
      <c r="DT2" s="243"/>
      <c r="DU2" s="243"/>
      <c r="DV2" s="243"/>
      <c r="DW2" s="243"/>
      <c r="DX2" s="243"/>
      <c r="DY2" s="243"/>
      <c r="DZ2" s="243"/>
      <c r="EA2" s="243"/>
      <c r="EB2" s="243"/>
      <c r="EC2" s="243"/>
      <c r="ED2" s="243"/>
      <c r="EE2" s="243"/>
      <c r="EF2" s="243"/>
      <c r="EG2" s="243"/>
      <c r="EH2" s="243"/>
      <c r="EI2" s="243"/>
      <c r="EJ2" s="243"/>
      <c r="EK2" s="243"/>
      <c r="EL2" s="243"/>
      <c r="EM2" s="243"/>
      <c r="EN2" s="243"/>
      <c r="EO2" s="243"/>
      <c r="EP2" s="243"/>
      <c r="EQ2" s="243"/>
      <c r="ER2" s="243"/>
      <c r="ES2" s="243"/>
      <c r="ET2" s="243"/>
      <c r="EU2" s="243"/>
      <c r="EV2" s="243"/>
      <c r="EW2" s="243"/>
      <c r="EX2" s="243"/>
      <c r="EY2" s="243"/>
      <c r="EZ2" s="243"/>
      <c r="FA2" s="243"/>
      <c r="FB2" s="243"/>
      <c r="FC2" s="243"/>
      <c r="FD2" s="243"/>
      <c r="FE2" s="243"/>
      <c r="FF2" s="243"/>
      <c r="FG2" s="243"/>
      <c r="FH2" s="243"/>
      <c r="FI2" s="243"/>
      <c r="FJ2" s="243"/>
      <c r="FK2" s="243"/>
      <c r="FL2" s="243"/>
      <c r="FM2" s="243"/>
      <c r="FN2" s="243"/>
      <c r="FO2" s="243"/>
      <c r="FP2" s="243"/>
      <c r="FQ2" s="243"/>
      <c r="FR2" s="243"/>
      <c r="FS2" s="243"/>
      <c r="FT2" s="243"/>
      <c r="FU2" s="243"/>
      <c r="FV2" s="243"/>
      <c r="FW2" s="243"/>
      <c r="FX2" s="243"/>
      <c r="FY2" s="243"/>
      <c r="FZ2" s="243"/>
      <c r="GA2" s="243"/>
      <c r="GB2" s="243"/>
      <c r="GC2" s="243"/>
      <c r="GD2" s="243"/>
      <c r="GE2" s="243"/>
      <c r="GF2" s="243"/>
      <c r="GG2" s="243"/>
      <c r="GH2" s="243"/>
      <c r="GI2" s="243"/>
      <c r="GJ2" s="243"/>
      <c r="GK2" s="243"/>
      <c r="GL2" s="243"/>
      <c r="GM2" s="243"/>
      <c r="GN2" s="243"/>
      <c r="GO2" s="243"/>
      <c r="GP2" s="243"/>
      <c r="GQ2" s="243"/>
      <c r="GR2" s="243"/>
      <c r="GS2" s="243"/>
      <c r="GT2" s="243"/>
      <c r="GU2" s="243"/>
      <c r="GV2" s="243"/>
      <c r="GW2" s="243"/>
      <c r="GX2" s="243"/>
      <c r="GY2" s="243"/>
      <c r="GZ2" s="243"/>
      <c r="HA2" s="243"/>
      <c r="HB2" s="243"/>
      <c r="HC2" s="243"/>
      <c r="HD2" s="243"/>
      <c r="HE2" s="243"/>
      <c r="HF2" s="243"/>
      <c r="HG2" s="243"/>
      <c r="HH2" s="243"/>
      <c r="HI2" s="243"/>
      <c r="HJ2" s="243"/>
      <c r="HK2" s="243"/>
      <c r="HL2" s="243"/>
      <c r="HM2" s="243"/>
      <c r="HN2" s="243"/>
      <c r="HO2" s="243"/>
      <c r="HP2" s="243"/>
      <c r="HQ2" s="243"/>
      <c r="HR2" s="243"/>
      <c r="HS2" s="243"/>
      <c r="HT2" s="243"/>
      <c r="HU2" s="243"/>
      <c r="HV2" s="243"/>
      <c r="HW2" s="243"/>
      <c r="HX2" s="243"/>
      <c r="HY2" s="243"/>
      <c r="HZ2" s="243"/>
      <c r="IA2" s="243"/>
      <c r="IB2" s="243"/>
      <c r="IC2" s="243"/>
      <c r="ID2" s="243"/>
      <c r="IE2" s="243"/>
      <c r="IF2" s="243"/>
      <c r="IG2" s="243"/>
      <c r="IH2" s="243"/>
      <c r="II2" s="243"/>
      <c r="IJ2" s="243"/>
      <c r="IK2" s="243"/>
      <c r="IL2" s="243"/>
      <c r="IM2" s="243"/>
      <c r="IN2" s="243"/>
      <c r="IO2" s="243"/>
      <c r="IP2" s="243"/>
      <c r="IQ2" s="243"/>
      <c r="IR2" s="243"/>
      <c r="IS2" s="243"/>
      <c r="IT2" s="243"/>
      <c r="IU2" s="243"/>
      <c r="IV2" s="243"/>
      <c r="IW2" s="243"/>
      <c r="IX2" s="243"/>
      <c r="IY2" s="243"/>
      <c r="IZ2" s="243"/>
      <c r="JA2" s="243"/>
      <c r="JB2" s="243"/>
      <c r="JC2" s="243"/>
      <c r="JD2" s="243"/>
      <c r="JE2" s="243"/>
      <c r="JF2" s="243"/>
      <c r="JG2" s="243"/>
      <c r="JH2" s="243"/>
      <c r="JI2" s="243"/>
      <c r="JJ2" s="243"/>
      <c r="JK2" s="243"/>
      <c r="JL2" s="243"/>
      <c r="JM2" s="243"/>
      <c r="JN2" s="243"/>
      <c r="JO2" s="243"/>
      <c r="JP2" s="243"/>
      <c r="JQ2" s="243"/>
      <c r="JR2" s="243"/>
      <c r="JS2" s="243"/>
      <c r="JT2" s="243"/>
      <c r="JU2" s="243"/>
      <c r="JV2" s="243"/>
      <c r="JW2" s="243"/>
      <c r="JX2" s="243"/>
      <c r="JY2" s="243"/>
      <c r="JZ2" s="243"/>
      <c r="KA2" s="243"/>
      <c r="KB2" s="243"/>
      <c r="KC2" s="243"/>
      <c r="KD2" s="243"/>
      <c r="KE2" s="243"/>
      <c r="KF2" s="243"/>
      <c r="KG2" s="243"/>
      <c r="KH2" s="243"/>
      <c r="KI2" s="243"/>
      <c r="KJ2" s="243"/>
      <c r="KK2" s="243"/>
      <c r="KL2" s="243"/>
      <c r="KM2" s="243"/>
      <c r="KN2" s="243"/>
      <c r="KO2" s="243"/>
      <c r="KP2" s="243"/>
      <c r="KQ2" s="243"/>
      <c r="KR2" s="243"/>
      <c r="KS2" s="243"/>
      <c r="KT2" s="243"/>
      <c r="KU2" s="243"/>
      <c r="KV2" s="243"/>
      <c r="KW2" s="243"/>
      <c r="KX2" s="243"/>
      <c r="KY2" s="243"/>
      <c r="KZ2" s="243"/>
      <c r="LA2" s="243"/>
      <c r="LB2" s="243"/>
      <c r="LC2" s="243"/>
      <c r="LD2" s="243"/>
      <c r="LE2" s="243"/>
      <c r="LF2" s="243"/>
      <c r="LG2" s="243"/>
      <c r="LH2" s="243"/>
      <c r="LI2" s="243"/>
      <c r="LJ2" s="243"/>
      <c r="LK2" s="243"/>
      <c r="LL2" s="243"/>
      <c r="LM2" s="243"/>
      <c r="LN2" s="243"/>
      <c r="LO2" s="243"/>
      <c r="LP2" s="243"/>
      <c r="LQ2" s="243"/>
      <c r="LR2" s="243"/>
      <c r="LS2" s="243"/>
      <c r="LT2" s="243"/>
      <c r="LU2" s="243"/>
      <c r="LV2" s="243"/>
      <c r="LW2" s="243"/>
      <c r="LX2" s="243"/>
      <c r="LY2" s="243"/>
      <c r="LZ2" s="243"/>
      <c r="MA2" s="243"/>
      <c r="MB2" s="243"/>
      <c r="MC2" s="243"/>
      <c r="MD2" s="243"/>
      <c r="ME2" s="243"/>
      <c r="MF2" s="243"/>
      <c r="MG2" s="243"/>
      <c r="MH2" s="243"/>
      <c r="MI2" s="243"/>
      <c r="MJ2" s="243"/>
      <c r="MK2" s="243"/>
      <c r="ML2" s="243"/>
      <c r="MM2" s="243"/>
      <c r="MN2" s="243"/>
      <c r="MO2" s="243"/>
      <c r="MP2" s="243"/>
      <c r="MQ2" s="243"/>
      <c r="MR2" s="243"/>
      <c r="MS2" s="243"/>
      <c r="MT2" s="243"/>
      <c r="MU2" s="243"/>
      <c r="MV2" s="243"/>
      <c r="MW2" s="243"/>
      <c r="MX2" s="243"/>
      <c r="MY2" s="243"/>
      <c r="MZ2" s="243"/>
      <c r="NA2" s="243"/>
      <c r="NB2" s="243"/>
      <c r="NC2" s="243"/>
      <c r="ND2" s="243"/>
      <c r="NE2" s="243"/>
      <c r="NF2" s="243"/>
      <c r="NG2" s="243"/>
      <c r="NH2" s="243"/>
      <c r="NI2" s="243"/>
      <c r="NJ2" s="243"/>
      <c r="NK2" s="243"/>
      <c r="NL2" s="243"/>
      <c r="NM2" s="243"/>
      <c r="NN2" s="243"/>
      <c r="NO2" s="243"/>
      <c r="NP2" s="243"/>
      <c r="NQ2" s="243"/>
      <c r="NR2" s="243"/>
      <c r="NS2" s="243"/>
      <c r="NT2" s="243"/>
      <c r="NU2" s="243"/>
      <c r="NV2" s="243"/>
      <c r="NW2" s="243"/>
      <c r="NX2" s="243"/>
      <c r="NY2" s="243"/>
      <c r="NZ2" s="243"/>
      <c r="OA2" s="243"/>
      <c r="OB2" s="243"/>
      <c r="OC2" s="243"/>
      <c r="OD2" s="243"/>
      <c r="OE2" s="243"/>
      <c r="OF2" s="243"/>
      <c r="OG2" s="243"/>
      <c r="OH2" s="243"/>
      <c r="OI2" s="243"/>
      <c r="OJ2" s="243"/>
      <c r="OK2" s="243"/>
      <c r="OL2" s="243"/>
    </row>
    <row r="3" spans="1:402" s="118" customFormat="1" ht="19.05" customHeight="1">
      <c r="A3" s="259" t="s">
        <v>1756</v>
      </c>
      <c r="B3" s="261" t="s">
        <v>1757</v>
      </c>
      <c r="C3" s="263" t="s">
        <v>1758</v>
      </c>
      <c r="D3" s="264" t="s">
        <v>459</v>
      </c>
      <c r="E3" s="265" t="s">
        <v>1759</v>
      </c>
      <c r="F3" s="266"/>
      <c r="G3" s="266"/>
      <c r="H3" s="266"/>
      <c r="I3" s="266"/>
      <c r="J3" s="266"/>
      <c r="K3" s="266"/>
      <c r="L3" s="266"/>
      <c r="M3" s="266"/>
      <c r="N3" s="266"/>
      <c r="O3" s="284" t="s">
        <v>1760</v>
      </c>
      <c r="P3" s="273" t="s">
        <v>1733</v>
      </c>
      <c r="Q3" s="273" t="s">
        <v>1734</v>
      </c>
      <c r="R3" s="255" t="s">
        <v>1735</v>
      </c>
      <c r="S3" s="275" t="s">
        <v>1736</v>
      </c>
      <c r="T3" s="281" t="s">
        <v>1737</v>
      </c>
      <c r="U3" s="275" t="s">
        <v>1738</v>
      </c>
      <c r="V3" s="275" t="s">
        <v>1739</v>
      </c>
      <c r="W3" s="283" t="s">
        <v>1740</v>
      </c>
      <c r="X3" s="283" t="s">
        <v>1741</v>
      </c>
      <c r="Y3" s="277" t="s">
        <v>1742</v>
      </c>
      <c r="Z3" s="279" t="s">
        <v>1743</v>
      </c>
      <c r="AA3" s="271" t="s">
        <v>1744</v>
      </c>
      <c r="AB3" s="284" t="s">
        <v>1745</v>
      </c>
      <c r="AC3" s="255" t="s">
        <v>1746</v>
      </c>
      <c r="AD3" s="257" t="s">
        <v>1747</v>
      </c>
      <c r="AE3" s="268" t="s">
        <v>1748</v>
      </c>
      <c r="AF3" s="286" t="s">
        <v>1569</v>
      </c>
      <c r="AG3" s="253"/>
      <c r="AH3" s="253"/>
      <c r="AI3" s="253"/>
      <c r="AJ3" s="252" t="s">
        <v>1570</v>
      </c>
      <c r="AK3" s="253"/>
      <c r="AL3" s="253"/>
      <c r="AM3" s="253"/>
      <c r="AN3" s="252" t="s">
        <v>1571</v>
      </c>
      <c r="AO3" s="253"/>
      <c r="AP3" s="253"/>
      <c r="AQ3" s="253"/>
      <c r="AR3" s="252" t="s">
        <v>1572</v>
      </c>
      <c r="AS3" s="253"/>
      <c r="AT3" s="253"/>
      <c r="AU3" s="253"/>
      <c r="AV3" s="252" t="s">
        <v>1573</v>
      </c>
      <c r="AW3" s="253"/>
      <c r="AX3" s="253"/>
      <c r="AY3" s="253"/>
      <c r="AZ3" s="252" t="s">
        <v>1574</v>
      </c>
      <c r="BA3" s="253"/>
      <c r="BB3" s="253"/>
      <c r="BC3" s="253"/>
      <c r="BD3" s="252" t="s">
        <v>1575</v>
      </c>
      <c r="BE3" s="253"/>
      <c r="BF3" s="253"/>
      <c r="BG3" s="253"/>
      <c r="BH3" s="252" t="s">
        <v>1577</v>
      </c>
      <c r="BI3" s="253"/>
      <c r="BJ3" s="253"/>
      <c r="BK3" s="253"/>
      <c r="BL3" s="252" t="s">
        <v>1579</v>
      </c>
      <c r="BM3" s="253"/>
      <c r="BN3" s="253"/>
      <c r="BO3" s="253"/>
      <c r="BP3" s="252" t="s">
        <v>1581</v>
      </c>
      <c r="BQ3" s="253"/>
      <c r="BR3" s="253"/>
      <c r="BS3" s="253"/>
      <c r="BT3" s="252" t="s">
        <v>1583</v>
      </c>
      <c r="BU3" s="253"/>
      <c r="BV3" s="253"/>
      <c r="BW3" s="253"/>
      <c r="BX3" s="252" t="s">
        <v>1585</v>
      </c>
      <c r="BY3" s="253"/>
      <c r="BZ3" s="253"/>
      <c r="CA3" s="253"/>
      <c r="CB3" s="252" t="s">
        <v>1587</v>
      </c>
      <c r="CC3" s="253"/>
      <c r="CD3" s="253"/>
      <c r="CE3" s="253"/>
      <c r="CF3" s="252" t="s">
        <v>1589</v>
      </c>
      <c r="CG3" s="253"/>
      <c r="CH3" s="253"/>
      <c r="CI3" s="254"/>
    </row>
    <row r="4" spans="1:402" s="118" customFormat="1" ht="6" customHeight="1">
      <c r="A4" s="260"/>
      <c r="B4" s="262"/>
      <c r="C4" s="259"/>
      <c r="D4" s="256"/>
      <c r="E4" s="267"/>
      <c r="F4" s="266"/>
      <c r="G4" s="266"/>
      <c r="H4" s="266"/>
      <c r="I4" s="266"/>
      <c r="J4" s="266"/>
      <c r="K4" s="266"/>
      <c r="L4" s="266"/>
      <c r="M4" s="266"/>
      <c r="N4" s="266"/>
      <c r="O4" s="285"/>
      <c r="P4" s="274"/>
      <c r="Q4" s="274"/>
      <c r="R4" s="256"/>
      <c r="S4" s="276"/>
      <c r="T4" s="282"/>
      <c r="U4" s="276"/>
      <c r="V4" s="276"/>
      <c r="W4" s="274"/>
      <c r="X4" s="274"/>
      <c r="Y4" s="278"/>
      <c r="Z4" s="280"/>
      <c r="AA4" s="272"/>
      <c r="AB4" s="285"/>
      <c r="AC4" s="256"/>
      <c r="AD4" s="258"/>
      <c r="AE4" s="269"/>
      <c r="AF4" s="163">
        <v>45704</v>
      </c>
      <c r="AG4" s="164">
        <v>45711</v>
      </c>
      <c r="AH4" s="164">
        <v>45718</v>
      </c>
      <c r="AI4" s="164">
        <v>45725</v>
      </c>
      <c r="AJ4" s="164">
        <v>45732</v>
      </c>
      <c r="AK4" s="164">
        <v>45739</v>
      </c>
      <c r="AL4" s="164">
        <v>45746</v>
      </c>
      <c r="AM4" s="164">
        <v>45753</v>
      </c>
      <c r="AN4" s="164">
        <v>45760</v>
      </c>
      <c r="AO4" s="164">
        <v>45767</v>
      </c>
      <c r="AP4" s="164">
        <v>45774</v>
      </c>
      <c r="AQ4" s="164">
        <v>45781</v>
      </c>
      <c r="AR4" s="164">
        <v>45788</v>
      </c>
      <c r="AS4" s="164">
        <v>45795</v>
      </c>
      <c r="AT4" s="164">
        <v>45802</v>
      </c>
      <c r="AU4" s="164">
        <v>45809</v>
      </c>
      <c r="AV4" s="164">
        <v>45816</v>
      </c>
      <c r="AW4" s="164">
        <v>45823</v>
      </c>
      <c r="AX4" s="164">
        <v>45830</v>
      </c>
      <c r="AY4" s="164">
        <v>45837</v>
      </c>
      <c r="AZ4" s="164">
        <v>45844</v>
      </c>
      <c r="BA4" s="164">
        <v>45851</v>
      </c>
      <c r="BB4" s="164">
        <v>45858</v>
      </c>
      <c r="BC4" s="164">
        <v>45865</v>
      </c>
      <c r="BD4" s="164">
        <v>45872</v>
      </c>
      <c r="BE4" s="164">
        <v>45879</v>
      </c>
      <c r="BF4" s="164">
        <v>45886</v>
      </c>
      <c r="BG4" s="164">
        <v>45893</v>
      </c>
      <c r="BH4" s="164">
        <v>45900</v>
      </c>
      <c r="BI4" s="164">
        <v>45907</v>
      </c>
      <c r="BJ4" s="164">
        <v>45914</v>
      </c>
      <c r="BK4" s="164">
        <v>45921</v>
      </c>
      <c r="BL4" s="164">
        <v>45928</v>
      </c>
      <c r="BM4" s="164">
        <v>45935</v>
      </c>
      <c r="BN4" s="164">
        <v>45942</v>
      </c>
      <c r="BO4" s="164">
        <v>45949</v>
      </c>
      <c r="BP4" s="164">
        <v>45956</v>
      </c>
      <c r="BQ4" s="164">
        <v>45963</v>
      </c>
      <c r="BR4" s="164">
        <v>45970</v>
      </c>
      <c r="BS4" s="164">
        <v>45977</v>
      </c>
      <c r="BT4" s="164">
        <v>45984</v>
      </c>
      <c r="BU4" s="164">
        <v>45991</v>
      </c>
      <c r="BV4" s="164">
        <v>45998</v>
      </c>
      <c r="BW4" s="164">
        <v>46005</v>
      </c>
      <c r="BX4" s="164">
        <v>46012</v>
      </c>
      <c r="BY4" s="164">
        <v>46019</v>
      </c>
      <c r="BZ4" s="164">
        <v>46026</v>
      </c>
      <c r="CA4" s="164">
        <v>46033</v>
      </c>
      <c r="CB4" s="164">
        <v>46040</v>
      </c>
      <c r="CC4" s="164">
        <v>46047</v>
      </c>
      <c r="CD4" s="164">
        <v>46054</v>
      </c>
      <c r="CE4" s="164">
        <v>46061</v>
      </c>
      <c r="CF4" s="164">
        <v>46068</v>
      </c>
      <c r="CG4" s="206"/>
      <c r="CH4" s="206"/>
      <c r="CI4" s="207"/>
      <c r="CJ4" s="199"/>
      <c r="CK4" s="199"/>
      <c r="CL4" s="199"/>
      <c r="CM4" s="199"/>
      <c r="CN4" s="199"/>
      <c r="CO4" s="199"/>
      <c r="CP4" s="199"/>
      <c r="CQ4" s="199"/>
      <c r="CR4" s="199"/>
      <c r="CS4" s="199"/>
      <c r="CT4" s="199"/>
      <c r="CU4" s="199"/>
      <c r="CV4" s="199"/>
      <c r="CW4" s="199"/>
      <c r="CX4" s="199"/>
      <c r="CY4" s="199"/>
      <c r="CZ4" s="199"/>
      <c r="DA4" s="199"/>
      <c r="DB4" s="199"/>
      <c r="DC4" s="199"/>
      <c r="DD4" s="199"/>
      <c r="DE4" s="199"/>
      <c r="DF4" s="199"/>
      <c r="DG4" s="199"/>
      <c r="DH4" s="199"/>
      <c r="DI4" s="199"/>
      <c r="DJ4" s="199"/>
      <c r="DK4" s="199"/>
      <c r="DL4" s="199"/>
      <c r="DM4" s="199"/>
      <c r="DN4" s="199"/>
      <c r="DO4" s="199"/>
      <c r="DP4" s="199"/>
      <c r="DQ4" s="199"/>
      <c r="DR4" s="199"/>
      <c r="DS4" s="199"/>
      <c r="DT4" s="199"/>
      <c r="DU4" s="199"/>
      <c r="DV4" s="199"/>
      <c r="DW4" s="199"/>
      <c r="DX4" s="199"/>
      <c r="DY4" s="199"/>
      <c r="DZ4" s="199"/>
      <c r="EA4" s="199"/>
      <c r="EB4" s="199"/>
      <c r="EC4" s="199"/>
      <c r="ED4" s="199"/>
      <c r="EE4" s="199"/>
      <c r="EF4" s="199"/>
      <c r="EG4" s="199"/>
      <c r="EH4" s="199"/>
      <c r="EI4" s="199"/>
      <c r="EJ4" s="199"/>
      <c r="EK4" s="199"/>
      <c r="EL4" s="199"/>
      <c r="EM4" s="199"/>
      <c r="EN4" s="199"/>
      <c r="EO4" s="199"/>
      <c r="EP4" s="199"/>
      <c r="EQ4" s="199"/>
      <c r="ER4" s="199"/>
      <c r="ES4" s="199"/>
      <c r="ET4" s="199"/>
      <c r="EU4" s="199"/>
      <c r="EV4" s="199"/>
      <c r="EW4" s="199"/>
      <c r="EX4" s="199"/>
      <c r="EY4" s="199"/>
      <c r="EZ4" s="199"/>
      <c r="FA4" s="199"/>
      <c r="FB4" s="199"/>
      <c r="FC4" s="199"/>
      <c r="FD4" s="199"/>
      <c r="FE4" s="199"/>
      <c r="FF4" s="199"/>
      <c r="FG4" s="199"/>
      <c r="FH4" s="199"/>
      <c r="FI4" s="199"/>
      <c r="FJ4" s="199"/>
      <c r="FK4" s="199"/>
      <c r="FL4" s="199"/>
      <c r="FM4" s="199"/>
      <c r="FN4" s="199"/>
      <c r="FO4" s="199"/>
      <c r="FP4" s="199"/>
      <c r="FQ4" s="199"/>
      <c r="FR4" s="199"/>
      <c r="FS4" s="199"/>
      <c r="FT4" s="199"/>
      <c r="FU4" s="199"/>
      <c r="FV4" s="199"/>
      <c r="FW4" s="199"/>
      <c r="FX4" s="199"/>
      <c r="FY4" s="199"/>
      <c r="FZ4" s="199"/>
      <c r="GA4" s="199"/>
      <c r="GB4" s="199"/>
      <c r="GC4" s="199"/>
      <c r="GD4" s="199"/>
      <c r="GE4" s="199"/>
      <c r="GF4" s="199"/>
      <c r="GG4" s="199"/>
      <c r="GH4" s="199"/>
      <c r="GI4" s="199"/>
      <c r="GJ4" s="199"/>
      <c r="GK4" s="199"/>
      <c r="GL4" s="199"/>
      <c r="GM4" s="199"/>
      <c r="GN4" s="199"/>
      <c r="GO4" s="199"/>
      <c r="GP4" s="199"/>
      <c r="GQ4" s="199"/>
      <c r="GR4" s="199"/>
      <c r="GS4" s="199"/>
      <c r="GT4" s="199"/>
      <c r="GU4" s="199"/>
      <c r="GV4" s="199"/>
      <c r="GW4" s="199"/>
      <c r="GX4" s="199"/>
      <c r="GY4" s="199"/>
      <c r="GZ4" s="199"/>
      <c r="HA4" s="199"/>
      <c r="HB4" s="199"/>
      <c r="HC4" s="199"/>
      <c r="HD4" s="199"/>
      <c r="HE4" s="199"/>
      <c r="HF4" s="199"/>
      <c r="HG4" s="199"/>
      <c r="HH4" s="199"/>
      <c r="HI4" s="199"/>
      <c r="HJ4" s="199"/>
      <c r="HK4" s="199"/>
      <c r="HL4" s="199"/>
      <c r="HM4" s="199"/>
      <c r="HN4" s="199"/>
      <c r="HO4" s="199"/>
      <c r="HP4" s="199"/>
      <c r="HQ4" s="199"/>
      <c r="HR4" s="199"/>
      <c r="HS4" s="199"/>
      <c r="HT4" s="199"/>
      <c r="HU4" s="199"/>
      <c r="HV4" s="199"/>
      <c r="HW4" s="199"/>
      <c r="HX4" s="199"/>
      <c r="HY4" s="199"/>
      <c r="HZ4" s="199"/>
      <c r="IA4" s="199"/>
      <c r="IB4" s="199"/>
      <c r="IC4" s="199"/>
      <c r="ID4" s="199"/>
      <c r="IE4" s="199"/>
      <c r="IF4" s="199"/>
      <c r="IG4" s="199"/>
      <c r="IH4" s="199"/>
      <c r="II4" s="199"/>
      <c r="IJ4" s="199"/>
      <c r="IK4" s="199"/>
      <c r="IL4" s="199"/>
      <c r="IM4" s="199"/>
      <c r="IN4" s="199"/>
      <c r="IO4" s="199"/>
      <c r="IP4" s="199"/>
      <c r="IQ4" s="199"/>
      <c r="IR4" s="199"/>
      <c r="IS4" s="199"/>
      <c r="IT4" s="199"/>
      <c r="IU4" s="199"/>
      <c r="IV4" s="199"/>
      <c r="IW4" s="199"/>
      <c r="IX4" s="199"/>
      <c r="IY4" s="199"/>
      <c r="IZ4" s="199"/>
      <c r="JA4" s="199"/>
      <c r="JB4" s="199"/>
      <c r="JC4" s="199"/>
      <c r="JD4" s="199"/>
      <c r="JE4" s="199"/>
      <c r="JF4" s="199"/>
      <c r="JG4" s="199"/>
      <c r="JH4" s="199"/>
      <c r="JI4" s="199"/>
      <c r="JJ4" s="199"/>
      <c r="JK4" s="199"/>
      <c r="JL4" s="199"/>
      <c r="JM4" s="199"/>
      <c r="JN4" s="199"/>
      <c r="JO4" s="199"/>
      <c r="JP4" s="199"/>
      <c r="JQ4" s="199"/>
      <c r="JR4" s="199"/>
      <c r="JS4" s="199"/>
      <c r="JT4" s="199"/>
      <c r="JU4" s="199"/>
      <c r="JV4" s="199"/>
      <c r="JW4" s="199"/>
      <c r="JX4" s="199"/>
      <c r="JY4" s="199"/>
      <c r="JZ4" s="199"/>
      <c r="KA4" s="199"/>
      <c r="KB4" s="199"/>
      <c r="KC4" s="199"/>
      <c r="KD4" s="199"/>
      <c r="KE4" s="199"/>
      <c r="KF4" s="199"/>
      <c r="KG4" s="199"/>
      <c r="KH4" s="199"/>
      <c r="KI4" s="199"/>
      <c r="KJ4" s="199"/>
      <c r="KK4" s="199"/>
      <c r="KL4" s="199"/>
      <c r="KM4" s="199"/>
      <c r="KN4" s="199"/>
      <c r="KO4" s="199"/>
      <c r="KP4" s="199"/>
      <c r="KQ4" s="199"/>
      <c r="KR4" s="199"/>
      <c r="KS4" s="199"/>
      <c r="KT4" s="199"/>
      <c r="KU4" s="199"/>
      <c r="KV4" s="199"/>
      <c r="KW4" s="199"/>
      <c r="KX4" s="199"/>
      <c r="KY4" s="199"/>
      <c r="KZ4" s="199"/>
      <c r="LA4" s="199"/>
      <c r="LB4" s="199"/>
      <c r="LC4" s="199"/>
      <c r="LD4" s="199"/>
      <c r="LE4" s="199"/>
      <c r="LF4" s="199"/>
      <c r="LG4" s="199"/>
      <c r="LH4" s="199"/>
      <c r="LI4" s="199"/>
      <c r="LJ4" s="199"/>
      <c r="LK4" s="199"/>
      <c r="LL4" s="199"/>
      <c r="LM4" s="199"/>
      <c r="LN4" s="199"/>
      <c r="LO4" s="199"/>
      <c r="LP4" s="199"/>
      <c r="LQ4" s="199"/>
      <c r="LR4" s="199"/>
      <c r="LS4" s="199"/>
      <c r="LT4" s="199"/>
      <c r="LU4" s="199"/>
      <c r="LV4" s="199"/>
      <c r="LW4" s="199"/>
      <c r="LX4" s="199"/>
      <c r="LY4" s="199"/>
      <c r="LZ4" s="199"/>
      <c r="MA4" s="199"/>
      <c r="MB4" s="199"/>
      <c r="MC4" s="199"/>
      <c r="MD4" s="199"/>
      <c r="ME4" s="199"/>
      <c r="MF4" s="199"/>
      <c r="MG4" s="199"/>
      <c r="MH4" s="199"/>
      <c r="MI4" s="199"/>
      <c r="MJ4" s="199"/>
      <c r="MK4" s="199"/>
      <c r="ML4" s="199"/>
      <c r="MM4" s="199"/>
      <c r="MN4" s="199"/>
      <c r="MO4" s="199"/>
      <c r="MP4" s="199"/>
      <c r="MQ4" s="199"/>
      <c r="MR4" s="199"/>
      <c r="MS4" s="199"/>
      <c r="MT4" s="199"/>
      <c r="MU4" s="199"/>
      <c r="MV4" s="199"/>
      <c r="MW4" s="199"/>
      <c r="MX4" s="199"/>
      <c r="MY4" s="199"/>
      <c r="MZ4" s="199"/>
      <c r="NA4" s="199"/>
      <c r="NB4" s="199"/>
      <c r="NC4" s="199"/>
      <c r="ND4" s="199"/>
      <c r="NE4" s="199"/>
      <c r="NF4" s="199"/>
      <c r="NG4" s="199"/>
      <c r="NH4" s="199"/>
      <c r="NI4" s="199"/>
      <c r="NJ4" s="199"/>
      <c r="NK4" s="199"/>
      <c r="NL4" s="199"/>
      <c r="NM4" s="199"/>
      <c r="NN4" s="199"/>
      <c r="NO4" s="199"/>
      <c r="NP4" s="199"/>
      <c r="NQ4" s="199"/>
      <c r="NR4" s="199"/>
      <c r="NS4" s="199"/>
      <c r="NT4" s="199"/>
      <c r="NU4" s="199"/>
      <c r="NV4" s="199"/>
      <c r="NW4" s="199"/>
      <c r="NX4" s="199"/>
      <c r="NY4" s="199"/>
      <c r="NZ4" s="199"/>
      <c r="OA4" s="199"/>
      <c r="OB4" s="199"/>
      <c r="OC4" s="199"/>
      <c r="OD4" s="199"/>
      <c r="OE4" s="199"/>
      <c r="OF4" s="199"/>
      <c r="OG4" s="199"/>
      <c r="OH4" s="199"/>
      <c r="OI4" s="199"/>
      <c r="OJ4" s="199"/>
      <c r="OK4" s="199"/>
      <c r="OL4" s="199"/>
    </row>
    <row r="5" spans="1:402" ht="12" customHeight="1">
      <c r="A5" s="133"/>
      <c r="B5" s="133"/>
      <c r="C5" s="133">
        <v>1</v>
      </c>
      <c r="D5" s="160"/>
      <c r="E5" s="134" t="s">
        <v>1470</v>
      </c>
      <c r="F5" s="134"/>
      <c r="G5" s="134"/>
      <c r="H5" s="134"/>
      <c r="I5" s="134"/>
      <c r="J5" s="134"/>
      <c r="K5" s="134"/>
      <c r="L5" s="134"/>
      <c r="M5" s="134"/>
      <c r="N5" s="134"/>
      <c r="O5" s="134"/>
      <c r="P5" s="236">
        <v>45705</v>
      </c>
      <c r="Q5" s="236">
        <v>46058</v>
      </c>
      <c r="R5" s="134"/>
      <c r="S5" s="135">
        <v>254</v>
      </c>
      <c r="T5" s="135">
        <v>12</v>
      </c>
      <c r="U5" s="135">
        <v>254</v>
      </c>
      <c r="V5" s="135">
        <v>12</v>
      </c>
      <c r="W5" s="236"/>
      <c r="X5" s="236"/>
      <c r="Y5" s="136"/>
      <c r="Z5" s="137">
        <v>0</v>
      </c>
      <c r="AA5" s="135"/>
      <c r="AB5" s="134"/>
      <c r="AC5" s="138"/>
      <c r="AD5" s="159"/>
      <c r="AE5" s="240">
        <v>7.2645739910313895E-2</v>
      </c>
      <c r="AF5" s="165"/>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c r="CA5" s="166"/>
      <c r="CB5" s="166"/>
      <c r="CC5" s="166"/>
      <c r="CD5" s="166"/>
      <c r="CE5" s="166"/>
      <c r="CF5" s="166"/>
      <c r="CG5" s="166"/>
      <c r="CH5" s="162"/>
      <c r="CI5" s="162"/>
    </row>
    <row r="6" spans="1:402" ht="12" customHeight="1">
      <c r="A6" s="133"/>
      <c r="B6" s="133"/>
      <c r="C6" s="133">
        <v>2</v>
      </c>
      <c r="D6" s="160"/>
      <c r="E6" s="134"/>
      <c r="F6" s="134" t="s">
        <v>1471</v>
      </c>
      <c r="G6" s="134"/>
      <c r="H6" s="134"/>
      <c r="I6" s="134"/>
      <c r="J6" s="134"/>
      <c r="K6" s="134"/>
      <c r="L6" s="134"/>
      <c r="M6" s="134"/>
      <c r="N6" s="134"/>
      <c r="O6" s="134"/>
      <c r="P6" s="236">
        <v>45705</v>
      </c>
      <c r="Q6" s="236">
        <v>45709</v>
      </c>
      <c r="R6" s="134"/>
      <c r="S6" s="135">
        <v>5</v>
      </c>
      <c r="T6" s="135">
        <v>5</v>
      </c>
      <c r="U6" s="135">
        <v>5</v>
      </c>
      <c r="V6" s="135">
        <v>5</v>
      </c>
      <c r="W6" s="236"/>
      <c r="X6" s="236"/>
      <c r="Y6" s="136"/>
      <c r="Z6" s="137">
        <v>0</v>
      </c>
      <c r="AA6" s="135"/>
      <c r="AB6" s="134"/>
      <c r="AC6" s="138"/>
      <c r="AD6" s="159"/>
      <c r="AE6" s="240">
        <v>1</v>
      </c>
      <c r="AF6" s="165"/>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c r="CA6" s="166"/>
      <c r="CB6" s="166"/>
      <c r="CC6" s="166"/>
      <c r="CD6" s="166"/>
      <c r="CE6" s="166"/>
      <c r="CF6" s="166"/>
      <c r="CG6" s="166"/>
    </row>
    <row r="7" spans="1:402" ht="12" customHeight="1">
      <c r="A7" s="133"/>
      <c r="B7" s="133"/>
      <c r="C7" s="133">
        <v>3</v>
      </c>
      <c r="D7" s="160"/>
      <c r="E7" s="134"/>
      <c r="F7" s="134"/>
      <c r="G7" s="134" t="s">
        <v>1472</v>
      </c>
      <c r="H7" s="134"/>
      <c r="I7" s="134"/>
      <c r="J7" s="134"/>
      <c r="K7" s="134"/>
      <c r="L7" s="134"/>
      <c r="M7" s="134"/>
      <c r="N7" s="134"/>
      <c r="O7" s="134"/>
      <c r="P7" s="236">
        <v>45705</v>
      </c>
      <c r="Q7" s="236">
        <v>45709</v>
      </c>
      <c r="R7" s="134"/>
      <c r="S7" s="135">
        <v>5</v>
      </c>
      <c r="T7" s="135">
        <v>5</v>
      </c>
      <c r="U7" s="135">
        <v>5</v>
      </c>
      <c r="V7" s="135">
        <v>5</v>
      </c>
      <c r="W7" s="236"/>
      <c r="X7" s="236"/>
      <c r="Y7" s="136"/>
      <c r="Z7" s="137">
        <v>0</v>
      </c>
      <c r="AA7" s="135"/>
      <c r="AB7" s="134"/>
      <c r="AC7" s="138"/>
      <c r="AD7" s="159"/>
      <c r="AE7" s="240">
        <v>1</v>
      </c>
      <c r="AF7" s="165"/>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c r="CA7" s="166"/>
      <c r="CB7" s="166"/>
      <c r="CC7" s="166"/>
      <c r="CD7" s="166"/>
      <c r="CE7" s="166"/>
      <c r="CF7" s="166"/>
      <c r="CG7" s="166"/>
    </row>
    <row r="8" spans="1:402" ht="12" customHeight="1">
      <c r="A8" s="133"/>
      <c r="B8" s="133"/>
      <c r="C8" s="133">
        <v>4</v>
      </c>
      <c r="D8" s="160"/>
      <c r="E8" s="134"/>
      <c r="F8" s="134"/>
      <c r="G8" s="134"/>
      <c r="H8" s="134" t="s">
        <v>1472</v>
      </c>
      <c r="I8" s="134"/>
      <c r="J8" s="134"/>
      <c r="K8" s="134"/>
      <c r="L8" s="134"/>
      <c r="M8" s="134"/>
      <c r="N8" s="134"/>
      <c r="O8" s="134"/>
      <c r="P8" s="236">
        <v>45705</v>
      </c>
      <c r="Q8" s="236">
        <v>45709</v>
      </c>
      <c r="R8" s="134"/>
      <c r="S8" s="135">
        <v>5</v>
      </c>
      <c r="T8" s="135">
        <v>5</v>
      </c>
      <c r="U8" s="135">
        <v>5</v>
      </c>
      <c r="V8" s="135">
        <v>5</v>
      </c>
      <c r="W8" s="236">
        <v>45705</v>
      </c>
      <c r="X8" s="236">
        <v>45709</v>
      </c>
      <c r="Y8" s="136">
        <v>5</v>
      </c>
      <c r="Z8" s="137">
        <v>5</v>
      </c>
      <c r="AA8" s="135">
        <v>1</v>
      </c>
      <c r="AB8" s="134"/>
      <c r="AC8" s="138"/>
      <c r="AD8" s="159"/>
      <c r="AE8" s="240">
        <v>1</v>
      </c>
      <c r="AF8" s="165"/>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c r="CA8" s="166"/>
      <c r="CB8" s="166"/>
      <c r="CC8" s="166"/>
      <c r="CD8" s="166"/>
      <c r="CE8" s="166"/>
      <c r="CF8" s="166"/>
      <c r="CG8" s="166"/>
    </row>
    <row r="9" spans="1:402" ht="12" customHeight="1">
      <c r="A9" s="133"/>
      <c r="B9" s="133"/>
      <c r="C9" s="133">
        <v>3</v>
      </c>
      <c r="D9" s="160"/>
      <c r="E9" s="134"/>
      <c r="F9" s="134"/>
      <c r="G9" s="134" t="s">
        <v>1610</v>
      </c>
      <c r="H9" s="134"/>
      <c r="I9" s="134"/>
      <c r="J9" s="134"/>
      <c r="K9" s="134"/>
      <c r="L9" s="134"/>
      <c r="M9" s="134"/>
      <c r="N9" s="134"/>
      <c r="O9" s="134"/>
      <c r="P9" s="236">
        <v>45705</v>
      </c>
      <c r="Q9" s="236">
        <v>45709</v>
      </c>
      <c r="R9" s="134"/>
      <c r="S9" s="135">
        <v>5</v>
      </c>
      <c r="T9" s="135">
        <v>5</v>
      </c>
      <c r="U9" s="135">
        <v>5</v>
      </c>
      <c r="V9" s="135">
        <v>5</v>
      </c>
      <c r="W9" s="236"/>
      <c r="X9" s="236"/>
      <c r="Y9" s="136"/>
      <c r="Z9" s="137">
        <v>0</v>
      </c>
      <c r="AA9" s="135"/>
      <c r="AB9" s="134"/>
      <c r="AC9" s="138"/>
      <c r="AD9" s="159"/>
      <c r="AE9" s="240">
        <v>1</v>
      </c>
      <c r="AF9" s="165"/>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W9" s="166"/>
      <c r="BX9" s="166"/>
      <c r="BY9" s="166"/>
      <c r="BZ9" s="166"/>
      <c r="CA9" s="166"/>
      <c r="CB9" s="166"/>
      <c r="CC9" s="166"/>
      <c r="CD9" s="166"/>
      <c r="CE9" s="166"/>
      <c r="CF9" s="166"/>
      <c r="CG9" s="166"/>
    </row>
    <row r="10" spans="1:402" ht="12" customHeight="1">
      <c r="A10" s="133" t="s">
        <v>1551</v>
      </c>
      <c r="B10" s="133"/>
      <c r="C10" s="133">
        <v>4</v>
      </c>
      <c r="D10" s="160"/>
      <c r="E10" s="134"/>
      <c r="F10" s="134"/>
      <c r="G10" s="134"/>
      <c r="H10" s="134" t="s">
        <v>1611</v>
      </c>
      <c r="I10" s="134"/>
      <c r="J10" s="134"/>
      <c r="K10" s="134"/>
      <c r="L10" s="134"/>
      <c r="M10" s="134"/>
      <c r="N10" s="134"/>
      <c r="O10" s="134"/>
      <c r="P10" s="236">
        <v>45705</v>
      </c>
      <c r="Q10" s="236">
        <v>45709</v>
      </c>
      <c r="R10" s="134"/>
      <c r="S10" s="135">
        <v>5</v>
      </c>
      <c r="T10" s="135">
        <v>5</v>
      </c>
      <c r="U10" s="135">
        <v>5</v>
      </c>
      <c r="V10" s="135">
        <v>5</v>
      </c>
      <c r="W10" s="236"/>
      <c r="X10" s="236"/>
      <c r="Y10" s="136"/>
      <c r="Z10" s="137">
        <v>0</v>
      </c>
      <c r="AA10" s="135">
        <v>0.1</v>
      </c>
      <c r="AB10" s="134"/>
      <c r="AC10" s="138"/>
      <c r="AD10" s="159"/>
      <c r="AE10" s="240">
        <v>1</v>
      </c>
      <c r="AF10" s="165"/>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c r="CA10" s="166"/>
      <c r="CB10" s="166"/>
      <c r="CC10" s="166"/>
      <c r="CD10" s="166"/>
      <c r="CE10" s="166"/>
      <c r="CF10" s="166"/>
      <c r="CG10" s="166"/>
    </row>
    <row r="11" spans="1:402" ht="12" customHeight="1">
      <c r="A11" s="133"/>
      <c r="B11" s="133"/>
      <c r="C11" s="133">
        <v>4</v>
      </c>
      <c r="D11" s="160"/>
      <c r="E11" s="134"/>
      <c r="F11" s="134"/>
      <c r="G11" s="134"/>
      <c r="H11" s="134" t="s">
        <v>1612</v>
      </c>
      <c r="I11" s="134"/>
      <c r="J11" s="134"/>
      <c r="K11" s="134"/>
      <c r="L11" s="134"/>
      <c r="M11" s="134"/>
      <c r="N11" s="134"/>
      <c r="O11" s="134"/>
      <c r="P11" s="236">
        <v>45705</v>
      </c>
      <c r="Q11" s="236">
        <v>45709</v>
      </c>
      <c r="R11" s="134"/>
      <c r="S11" s="135">
        <v>5</v>
      </c>
      <c r="T11" s="135">
        <v>5</v>
      </c>
      <c r="U11" s="135">
        <v>5</v>
      </c>
      <c r="V11" s="135">
        <v>5</v>
      </c>
      <c r="W11" s="236"/>
      <c r="X11" s="236"/>
      <c r="Y11" s="136"/>
      <c r="Z11" s="137">
        <v>0</v>
      </c>
      <c r="AA11" s="135">
        <v>0.1</v>
      </c>
      <c r="AB11" s="134"/>
      <c r="AC11" s="138"/>
      <c r="AD11" s="159"/>
      <c r="AE11" s="240">
        <v>1</v>
      </c>
      <c r="AF11" s="165"/>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c r="CA11" s="166"/>
      <c r="CB11" s="166"/>
      <c r="CC11" s="166"/>
      <c r="CD11" s="166"/>
      <c r="CE11" s="166"/>
      <c r="CF11" s="166"/>
      <c r="CG11" s="166"/>
    </row>
    <row r="12" spans="1:402" ht="12" customHeight="1">
      <c r="A12" s="133"/>
      <c r="B12" s="133"/>
      <c r="C12" s="133">
        <v>4</v>
      </c>
      <c r="D12" s="160"/>
      <c r="E12" s="134"/>
      <c r="F12" s="134"/>
      <c r="G12" s="134"/>
      <c r="H12" s="134" t="s">
        <v>1613</v>
      </c>
      <c r="I12" s="134"/>
      <c r="J12" s="134"/>
      <c r="K12" s="134"/>
      <c r="L12" s="134"/>
      <c r="M12" s="134"/>
      <c r="N12" s="134"/>
      <c r="O12" s="134"/>
      <c r="P12" s="236">
        <v>45705</v>
      </c>
      <c r="Q12" s="236">
        <v>45709</v>
      </c>
      <c r="R12" s="134"/>
      <c r="S12" s="135">
        <v>5</v>
      </c>
      <c r="T12" s="135">
        <v>5</v>
      </c>
      <c r="U12" s="135">
        <v>5</v>
      </c>
      <c r="V12" s="135">
        <v>5</v>
      </c>
      <c r="W12" s="236"/>
      <c r="X12" s="236"/>
      <c r="Y12" s="136"/>
      <c r="Z12" s="137">
        <v>0</v>
      </c>
      <c r="AA12" s="135">
        <v>0.1</v>
      </c>
      <c r="AB12" s="134"/>
      <c r="AC12" s="138"/>
      <c r="AD12" s="159"/>
      <c r="AE12" s="240">
        <v>1</v>
      </c>
      <c r="AF12" s="165"/>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row>
    <row r="13" spans="1:402" ht="12" customHeight="1">
      <c r="A13" s="133"/>
      <c r="B13" s="133"/>
      <c r="C13" s="133">
        <v>4</v>
      </c>
      <c r="D13" s="160"/>
      <c r="E13" s="134"/>
      <c r="F13" s="134"/>
      <c r="G13" s="134"/>
      <c r="H13" s="134" t="s">
        <v>1614</v>
      </c>
      <c r="I13" s="134"/>
      <c r="J13" s="134"/>
      <c r="K13" s="134"/>
      <c r="L13" s="134"/>
      <c r="M13" s="134"/>
      <c r="N13" s="134"/>
      <c r="O13" s="134"/>
      <c r="P13" s="236">
        <v>45705</v>
      </c>
      <c r="Q13" s="236">
        <v>45709</v>
      </c>
      <c r="R13" s="134"/>
      <c r="S13" s="135">
        <v>5</v>
      </c>
      <c r="T13" s="135">
        <v>5</v>
      </c>
      <c r="U13" s="135">
        <v>5</v>
      </c>
      <c r="V13" s="135">
        <v>5</v>
      </c>
      <c r="W13" s="236"/>
      <c r="X13" s="236"/>
      <c r="Y13" s="136"/>
      <c r="Z13" s="137">
        <v>0</v>
      </c>
      <c r="AA13" s="135">
        <v>0.1</v>
      </c>
      <c r="AB13" s="134"/>
      <c r="AC13" s="138"/>
      <c r="AD13" s="159"/>
      <c r="AE13" s="240">
        <v>1</v>
      </c>
      <c r="AF13" s="165"/>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row>
    <row r="14" spans="1:402" ht="12" customHeight="1">
      <c r="A14" s="133"/>
      <c r="B14" s="133"/>
      <c r="C14" s="133">
        <v>4</v>
      </c>
      <c r="D14" s="160"/>
      <c r="E14" s="134"/>
      <c r="F14" s="134"/>
      <c r="G14" s="134"/>
      <c r="H14" s="134" t="s">
        <v>1615</v>
      </c>
      <c r="I14" s="134"/>
      <c r="J14" s="134"/>
      <c r="K14" s="134"/>
      <c r="L14" s="134"/>
      <c r="M14" s="134"/>
      <c r="N14" s="134"/>
      <c r="O14" s="134"/>
      <c r="P14" s="236">
        <v>45705</v>
      </c>
      <c r="Q14" s="236">
        <v>45709</v>
      </c>
      <c r="R14" s="134"/>
      <c r="S14" s="135">
        <v>5</v>
      </c>
      <c r="T14" s="135">
        <v>5</v>
      </c>
      <c r="U14" s="135">
        <v>5</v>
      </c>
      <c r="V14" s="135">
        <v>5</v>
      </c>
      <c r="W14" s="236"/>
      <c r="X14" s="236"/>
      <c r="Y14" s="136"/>
      <c r="Z14" s="137">
        <v>0</v>
      </c>
      <c r="AA14" s="135">
        <v>0.1</v>
      </c>
      <c r="AB14" s="134"/>
      <c r="AC14" s="138"/>
      <c r="AD14" s="159"/>
      <c r="AE14" s="240">
        <v>1</v>
      </c>
      <c r="AF14" s="165"/>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c r="CA14" s="166"/>
      <c r="CB14" s="166"/>
      <c r="CC14" s="166"/>
      <c r="CD14" s="166"/>
      <c r="CE14" s="166"/>
      <c r="CF14" s="166"/>
      <c r="CG14" s="166"/>
    </row>
    <row r="15" spans="1:402" ht="12" customHeight="1">
      <c r="A15" s="133">
        <v>0</v>
      </c>
      <c r="B15" s="133"/>
      <c r="C15" s="133">
        <v>4</v>
      </c>
      <c r="D15" s="160"/>
      <c r="E15" s="134"/>
      <c r="F15" s="134"/>
      <c r="G15" s="134"/>
      <c r="H15" s="134" t="s">
        <v>1616</v>
      </c>
      <c r="I15" s="134"/>
      <c r="J15" s="134"/>
      <c r="K15" s="134"/>
      <c r="L15" s="134"/>
      <c r="M15" s="134"/>
      <c r="N15" s="134"/>
      <c r="O15" s="134"/>
      <c r="P15" s="236">
        <v>45705</v>
      </c>
      <c r="Q15" s="236">
        <v>45709</v>
      </c>
      <c r="R15" s="134"/>
      <c r="S15" s="135">
        <v>5</v>
      </c>
      <c r="T15" s="135">
        <v>5</v>
      </c>
      <c r="U15" s="135">
        <v>5</v>
      </c>
      <c r="V15" s="135">
        <v>5</v>
      </c>
      <c r="W15" s="236"/>
      <c r="X15" s="236"/>
      <c r="Y15" s="136"/>
      <c r="Z15" s="137">
        <v>0</v>
      </c>
      <c r="AA15" s="135">
        <v>0.1</v>
      </c>
      <c r="AB15" s="134"/>
      <c r="AC15" s="138"/>
      <c r="AD15" s="159"/>
      <c r="AE15" s="240">
        <v>1</v>
      </c>
      <c r="AF15" s="165"/>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c r="CA15" s="166"/>
      <c r="CB15" s="166"/>
      <c r="CC15" s="166"/>
      <c r="CD15" s="166"/>
      <c r="CE15" s="166"/>
      <c r="CF15" s="166"/>
      <c r="CG15" s="166"/>
    </row>
    <row r="16" spans="1:402" ht="12" customHeight="1">
      <c r="A16" s="133"/>
      <c r="B16" s="133"/>
      <c r="C16" s="133">
        <v>4</v>
      </c>
      <c r="D16" s="160"/>
      <c r="E16" s="134"/>
      <c r="F16" s="134"/>
      <c r="G16" s="134"/>
      <c r="H16" s="134" t="s">
        <v>1617</v>
      </c>
      <c r="I16" s="134"/>
      <c r="J16" s="134"/>
      <c r="K16" s="134"/>
      <c r="L16" s="134"/>
      <c r="M16" s="134"/>
      <c r="N16" s="134"/>
      <c r="O16" s="134"/>
      <c r="P16" s="236">
        <v>45705</v>
      </c>
      <c r="Q16" s="236">
        <v>45709</v>
      </c>
      <c r="R16" s="134"/>
      <c r="S16" s="135">
        <v>5</v>
      </c>
      <c r="T16" s="135">
        <v>5</v>
      </c>
      <c r="U16" s="135">
        <v>5</v>
      </c>
      <c r="V16" s="135">
        <v>5</v>
      </c>
      <c r="W16" s="236"/>
      <c r="X16" s="236"/>
      <c r="Y16" s="136"/>
      <c r="Z16" s="137">
        <v>0</v>
      </c>
      <c r="AA16" s="135">
        <v>0.1</v>
      </c>
      <c r="AB16" s="134"/>
      <c r="AC16" s="138"/>
      <c r="AD16" s="159"/>
      <c r="AE16" s="240">
        <v>1</v>
      </c>
      <c r="AF16" s="165"/>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c r="CA16" s="166"/>
      <c r="CB16" s="166"/>
      <c r="CC16" s="166"/>
      <c r="CD16" s="166"/>
      <c r="CE16" s="166"/>
      <c r="CF16" s="166"/>
      <c r="CG16" s="166"/>
    </row>
    <row r="17" spans="1:85" ht="12" customHeight="1">
      <c r="A17" s="133"/>
      <c r="B17" s="133"/>
      <c r="C17" s="133">
        <v>2</v>
      </c>
      <c r="D17" s="160"/>
      <c r="E17" s="134"/>
      <c r="F17" s="134" t="s">
        <v>1482</v>
      </c>
      <c r="G17" s="134"/>
      <c r="H17" s="134"/>
      <c r="I17" s="134"/>
      <c r="J17" s="134"/>
      <c r="K17" s="134"/>
      <c r="L17" s="134"/>
      <c r="M17" s="134"/>
      <c r="N17" s="134"/>
      <c r="O17" s="134"/>
      <c r="P17" s="236">
        <v>45705</v>
      </c>
      <c r="Q17" s="236">
        <v>46058</v>
      </c>
      <c r="R17" s="134"/>
      <c r="S17" s="135">
        <v>254</v>
      </c>
      <c r="T17" s="135">
        <v>12</v>
      </c>
      <c r="U17" s="135">
        <v>254</v>
      </c>
      <c r="V17" s="135">
        <v>12</v>
      </c>
      <c r="W17" s="236"/>
      <c r="X17" s="236"/>
      <c r="Y17" s="136"/>
      <c r="Z17" s="137">
        <v>0</v>
      </c>
      <c r="AA17" s="135"/>
      <c r="AB17" s="134"/>
      <c r="AC17" s="138"/>
      <c r="AD17" s="159"/>
      <c r="AE17" s="240">
        <v>1.0695187165775401E-3</v>
      </c>
      <c r="AF17" s="165"/>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c r="CA17" s="166"/>
      <c r="CB17" s="166"/>
      <c r="CC17" s="166"/>
      <c r="CD17" s="166"/>
      <c r="CE17" s="166"/>
      <c r="CF17" s="166"/>
      <c r="CG17" s="166"/>
    </row>
    <row r="18" spans="1:85" ht="12" customHeight="1">
      <c r="A18" s="133"/>
      <c r="B18" s="133"/>
      <c r="C18" s="133">
        <v>3</v>
      </c>
      <c r="D18" s="160"/>
      <c r="E18" s="134"/>
      <c r="F18" s="134"/>
      <c r="G18" s="134" t="s">
        <v>1618</v>
      </c>
      <c r="H18" s="134"/>
      <c r="I18" s="134"/>
      <c r="J18" s="134"/>
      <c r="K18" s="134"/>
      <c r="L18" s="134"/>
      <c r="M18" s="134"/>
      <c r="N18" s="134"/>
      <c r="O18" s="134"/>
      <c r="P18" s="236">
        <v>45721</v>
      </c>
      <c r="Q18" s="236">
        <v>46057</v>
      </c>
      <c r="R18" s="134"/>
      <c r="S18" s="135">
        <v>241</v>
      </c>
      <c r="T18" s="135">
        <v>0</v>
      </c>
      <c r="U18" s="135">
        <v>241</v>
      </c>
      <c r="V18" s="135">
        <v>0</v>
      </c>
      <c r="W18" s="236"/>
      <c r="X18" s="236"/>
      <c r="Y18" s="136"/>
      <c r="Z18" s="137">
        <v>0</v>
      </c>
      <c r="AA18" s="135"/>
      <c r="AB18" s="134"/>
      <c r="AC18" s="138"/>
      <c r="AD18" s="159"/>
      <c r="AE18" s="240">
        <v>0</v>
      </c>
      <c r="AF18" s="165"/>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c r="CA18" s="166"/>
      <c r="CB18" s="166"/>
      <c r="CC18" s="166"/>
      <c r="CD18" s="166"/>
      <c r="CE18" s="166"/>
      <c r="CF18" s="166"/>
      <c r="CG18" s="166"/>
    </row>
    <row r="19" spans="1:85" ht="12" customHeight="1">
      <c r="A19" s="133"/>
      <c r="B19" s="133"/>
      <c r="C19" s="133">
        <v>4</v>
      </c>
      <c r="D19" s="160"/>
      <c r="E19" s="134"/>
      <c r="F19" s="134"/>
      <c r="G19" s="134"/>
      <c r="H19" s="134" t="s">
        <v>1481</v>
      </c>
      <c r="I19" s="134"/>
      <c r="J19" s="134"/>
      <c r="K19" s="134"/>
      <c r="L19" s="134"/>
      <c r="M19" s="134"/>
      <c r="N19" s="134"/>
      <c r="O19" s="134"/>
      <c r="P19" s="236">
        <v>45721</v>
      </c>
      <c r="Q19" s="236">
        <v>45721</v>
      </c>
      <c r="R19" s="134"/>
      <c r="S19" s="135">
        <v>1</v>
      </c>
      <c r="T19" s="135">
        <v>0</v>
      </c>
      <c r="U19" s="135">
        <v>1</v>
      </c>
      <c r="V19" s="135">
        <v>0</v>
      </c>
      <c r="W19" s="236"/>
      <c r="X19" s="236"/>
      <c r="Y19" s="136"/>
      <c r="Z19" s="137">
        <v>0</v>
      </c>
      <c r="AA19" s="135">
        <v>1</v>
      </c>
      <c r="AB19" s="134"/>
      <c r="AC19" s="138"/>
      <c r="AD19" s="159"/>
      <c r="AE19" s="240">
        <v>0</v>
      </c>
      <c r="AF19" s="165"/>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c r="CA19" s="166"/>
      <c r="CB19" s="166"/>
      <c r="CC19" s="166"/>
      <c r="CD19" s="166"/>
      <c r="CE19" s="166"/>
      <c r="CF19" s="166"/>
      <c r="CG19" s="166"/>
    </row>
    <row r="20" spans="1:85" ht="12" customHeight="1">
      <c r="A20" s="133">
        <v>1</v>
      </c>
      <c r="B20" s="133"/>
      <c r="C20" s="133">
        <v>4</v>
      </c>
      <c r="D20" s="160"/>
      <c r="E20" s="134"/>
      <c r="F20" s="134"/>
      <c r="G20" s="134"/>
      <c r="H20" s="134" t="s">
        <v>1488</v>
      </c>
      <c r="I20" s="134"/>
      <c r="J20" s="134"/>
      <c r="K20" s="134"/>
      <c r="L20" s="134"/>
      <c r="M20" s="134"/>
      <c r="N20" s="134"/>
      <c r="O20" s="134"/>
      <c r="P20" s="236">
        <v>45853</v>
      </c>
      <c r="Q20" s="236">
        <v>45853</v>
      </c>
      <c r="R20" s="134"/>
      <c r="S20" s="135">
        <v>1</v>
      </c>
      <c r="T20" s="135">
        <v>0</v>
      </c>
      <c r="U20" s="135">
        <v>1</v>
      </c>
      <c r="V20" s="135">
        <v>0</v>
      </c>
      <c r="W20" s="236"/>
      <c r="X20" s="236"/>
      <c r="Y20" s="136"/>
      <c r="Z20" s="137">
        <v>0</v>
      </c>
      <c r="AA20" s="135">
        <v>1</v>
      </c>
      <c r="AB20" s="134"/>
      <c r="AC20" s="138"/>
      <c r="AD20" s="159"/>
      <c r="AE20" s="240">
        <v>0</v>
      </c>
      <c r="AF20" s="165"/>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c r="CA20" s="166"/>
      <c r="CB20" s="166"/>
      <c r="CC20" s="166"/>
      <c r="CD20" s="166"/>
      <c r="CE20" s="166"/>
      <c r="CF20" s="166"/>
      <c r="CG20" s="166"/>
    </row>
    <row r="21" spans="1:85" ht="12" customHeight="1">
      <c r="A21" s="133"/>
      <c r="B21" s="133"/>
      <c r="C21" s="133">
        <v>4</v>
      </c>
      <c r="D21" s="160"/>
      <c r="E21" s="134"/>
      <c r="F21" s="134"/>
      <c r="G21" s="134"/>
      <c r="H21" s="134" t="s">
        <v>1619</v>
      </c>
      <c r="I21" s="134"/>
      <c r="J21" s="134"/>
      <c r="K21" s="134"/>
      <c r="L21" s="134"/>
      <c r="M21" s="134"/>
      <c r="N21" s="134"/>
      <c r="O21" s="134"/>
      <c r="P21" s="236">
        <v>46057</v>
      </c>
      <c r="Q21" s="236">
        <v>46057</v>
      </c>
      <c r="R21" s="134"/>
      <c r="S21" s="135">
        <v>1</v>
      </c>
      <c r="T21" s="135">
        <v>0</v>
      </c>
      <c r="U21" s="135">
        <v>1</v>
      </c>
      <c r="V21" s="135">
        <v>0</v>
      </c>
      <c r="W21" s="236"/>
      <c r="X21" s="236"/>
      <c r="Y21" s="136"/>
      <c r="Z21" s="137">
        <v>0</v>
      </c>
      <c r="AA21" s="135">
        <v>1</v>
      </c>
      <c r="AB21" s="134"/>
      <c r="AC21" s="138"/>
      <c r="AD21" s="159"/>
      <c r="AE21" s="240">
        <v>0</v>
      </c>
      <c r="AF21" s="165"/>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c r="CA21" s="166"/>
      <c r="CB21" s="166"/>
      <c r="CC21" s="166"/>
      <c r="CD21" s="166"/>
      <c r="CE21" s="166"/>
      <c r="CF21" s="166"/>
      <c r="CG21" s="166"/>
    </row>
    <row r="22" spans="1:85" ht="12" customHeight="1">
      <c r="A22" s="133"/>
      <c r="B22" s="133"/>
      <c r="C22" s="133">
        <v>3</v>
      </c>
      <c r="D22" s="160"/>
      <c r="E22" s="134"/>
      <c r="F22" s="134"/>
      <c r="G22" s="134" t="s">
        <v>1620</v>
      </c>
      <c r="H22" s="134"/>
      <c r="I22" s="134"/>
      <c r="J22" s="134"/>
      <c r="K22" s="134"/>
      <c r="L22" s="134"/>
      <c r="M22" s="134"/>
      <c r="N22" s="134"/>
      <c r="O22" s="134"/>
      <c r="P22" s="236">
        <v>45715</v>
      </c>
      <c r="Q22" s="236">
        <v>46058</v>
      </c>
      <c r="R22" s="134"/>
      <c r="S22" s="135">
        <v>246</v>
      </c>
      <c r="T22" s="135">
        <v>4</v>
      </c>
      <c r="U22" s="135">
        <v>246</v>
      </c>
      <c r="V22" s="135">
        <v>4</v>
      </c>
      <c r="W22" s="236"/>
      <c r="X22" s="236"/>
      <c r="Y22" s="136"/>
      <c r="Z22" s="137">
        <v>0</v>
      </c>
      <c r="AA22" s="135"/>
      <c r="AB22" s="134"/>
      <c r="AC22" s="138"/>
      <c r="AD22" s="159"/>
      <c r="AE22" s="240">
        <v>2.0408163265306131E-2</v>
      </c>
      <c r="AF22" s="165"/>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c r="CA22" s="166"/>
      <c r="CB22" s="166"/>
      <c r="CC22" s="166"/>
      <c r="CD22" s="166"/>
      <c r="CE22" s="166"/>
      <c r="CF22" s="166"/>
      <c r="CG22" s="166"/>
    </row>
    <row r="23" spans="1:85" ht="12" customHeight="1">
      <c r="A23" s="133"/>
      <c r="B23" s="133"/>
      <c r="C23" s="133">
        <v>4</v>
      </c>
      <c r="D23" s="160"/>
      <c r="E23" s="134"/>
      <c r="F23" s="134"/>
      <c r="G23" s="134"/>
      <c r="H23" s="134" t="s">
        <v>1621</v>
      </c>
      <c r="I23" s="134"/>
      <c r="J23" s="134"/>
      <c r="K23" s="134"/>
      <c r="L23" s="134"/>
      <c r="M23" s="134"/>
      <c r="N23" s="134"/>
      <c r="O23" s="134"/>
      <c r="P23" s="236">
        <v>45715</v>
      </c>
      <c r="Q23" s="236">
        <v>45715</v>
      </c>
      <c r="R23" s="134"/>
      <c r="S23" s="135">
        <v>1</v>
      </c>
      <c r="T23" s="135">
        <v>1</v>
      </c>
      <c r="U23" s="135">
        <v>1</v>
      </c>
      <c r="V23" s="135">
        <v>1</v>
      </c>
      <c r="W23" s="236"/>
      <c r="X23" s="236"/>
      <c r="Y23" s="136"/>
      <c r="Z23" s="137">
        <v>0</v>
      </c>
      <c r="AA23" s="135">
        <v>0.1</v>
      </c>
      <c r="AB23" s="134"/>
      <c r="AC23" s="138"/>
      <c r="AD23" s="159"/>
      <c r="AE23" s="240">
        <v>1</v>
      </c>
      <c r="AF23" s="165"/>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c r="CA23" s="166"/>
      <c r="CB23" s="166"/>
      <c r="CC23" s="166"/>
      <c r="CD23" s="166"/>
      <c r="CE23" s="166"/>
      <c r="CF23" s="166"/>
      <c r="CG23" s="166"/>
    </row>
    <row r="24" spans="1:85" ht="12" customHeight="1">
      <c r="A24" s="133"/>
      <c r="B24" s="133"/>
      <c r="C24" s="133">
        <v>4</v>
      </c>
      <c r="D24" s="160"/>
      <c r="E24" s="134"/>
      <c r="F24" s="134"/>
      <c r="G24" s="134"/>
      <c r="H24" s="134" t="s">
        <v>1622</v>
      </c>
      <c r="I24" s="134"/>
      <c r="J24" s="134"/>
      <c r="K24" s="134"/>
      <c r="L24" s="134"/>
      <c r="M24" s="134"/>
      <c r="N24" s="134"/>
      <c r="O24" s="134"/>
      <c r="P24" s="236">
        <v>45722</v>
      </c>
      <c r="Q24" s="236">
        <v>45722</v>
      </c>
      <c r="R24" s="134"/>
      <c r="S24" s="135">
        <v>1</v>
      </c>
      <c r="T24" s="135">
        <v>0</v>
      </c>
      <c r="U24" s="135">
        <v>1</v>
      </c>
      <c r="V24" s="135">
        <v>0</v>
      </c>
      <c r="W24" s="236"/>
      <c r="X24" s="236"/>
      <c r="Y24" s="136"/>
      <c r="Z24" s="137">
        <v>0</v>
      </c>
      <c r="AA24" s="135">
        <v>0.1</v>
      </c>
      <c r="AB24" s="134"/>
      <c r="AC24" s="138"/>
      <c r="AD24" s="159"/>
      <c r="AE24" s="240">
        <v>0</v>
      </c>
      <c r="AF24" s="165"/>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c r="CA24" s="166"/>
      <c r="CB24" s="166"/>
      <c r="CC24" s="166"/>
      <c r="CD24" s="166"/>
      <c r="CE24" s="166"/>
      <c r="CF24" s="166"/>
      <c r="CG24" s="166"/>
    </row>
    <row r="25" spans="1:85" ht="12" customHeight="1">
      <c r="A25" s="133"/>
      <c r="B25" s="133"/>
      <c r="C25" s="133">
        <v>4</v>
      </c>
      <c r="D25" s="160"/>
      <c r="E25" s="134"/>
      <c r="F25" s="134"/>
      <c r="G25" s="134"/>
      <c r="H25" s="134" t="s">
        <v>1623</v>
      </c>
      <c r="I25" s="134"/>
      <c r="J25" s="134"/>
      <c r="K25" s="134"/>
      <c r="L25" s="134"/>
      <c r="M25" s="134"/>
      <c r="N25" s="134"/>
      <c r="O25" s="134"/>
      <c r="P25" s="236">
        <v>45729</v>
      </c>
      <c r="Q25" s="236">
        <v>45729</v>
      </c>
      <c r="R25" s="134"/>
      <c r="S25" s="135">
        <v>1</v>
      </c>
      <c r="T25" s="135">
        <v>0</v>
      </c>
      <c r="U25" s="135">
        <v>1</v>
      </c>
      <c r="V25" s="135">
        <v>0</v>
      </c>
      <c r="W25" s="236"/>
      <c r="X25" s="236"/>
      <c r="Y25" s="136"/>
      <c r="Z25" s="137">
        <v>0</v>
      </c>
      <c r="AA25" s="135">
        <v>0.1</v>
      </c>
      <c r="AB25" s="134"/>
      <c r="AC25" s="138"/>
      <c r="AD25" s="159"/>
      <c r="AE25" s="240">
        <v>0</v>
      </c>
      <c r="AF25" s="165"/>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c r="CA25" s="166"/>
      <c r="CB25" s="166"/>
      <c r="CC25" s="166"/>
      <c r="CD25" s="166"/>
      <c r="CE25" s="166"/>
      <c r="CF25" s="166"/>
      <c r="CG25" s="166"/>
    </row>
    <row r="26" spans="1:85" ht="12" customHeight="1">
      <c r="A26" s="133"/>
      <c r="B26" s="133"/>
      <c r="C26" s="133">
        <v>4</v>
      </c>
      <c r="D26" s="160"/>
      <c r="E26" s="134"/>
      <c r="F26" s="134"/>
      <c r="G26" s="134"/>
      <c r="H26" s="134" t="s">
        <v>1624</v>
      </c>
      <c r="I26" s="134"/>
      <c r="J26" s="134"/>
      <c r="K26" s="134"/>
      <c r="L26" s="134"/>
      <c r="M26" s="134"/>
      <c r="N26" s="134"/>
      <c r="O26" s="134"/>
      <c r="P26" s="236">
        <v>45736</v>
      </c>
      <c r="Q26" s="236">
        <v>45736</v>
      </c>
      <c r="R26" s="134"/>
      <c r="S26" s="135">
        <v>1</v>
      </c>
      <c r="T26" s="135">
        <v>0</v>
      </c>
      <c r="U26" s="135">
        <v>1</v>
      </c>
      <c r="V26" s="135">
        <v>0</v>
      </c>
      <c r="W26" s="236"/>
      <c r="X26" s="236"/>
      <c r="Y26" s="136"/>
      <c r="Z26" s="137">
        <v>0</v>
      </c>
      <c r="AA26" s="135">
        <v>0.1</v>
      </c>
      <c r="AB26" s="134"/>
      <c r="AC26" s="138"/>
      <c r="AD26" s="159"/>
      <c r="AE26" s="240">
        <v>0</v>
      </c>
      <c r="AF26" s="165"/>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c r="CA26" s="166"/>
      <c r="CB26" s="166"/>
      <c r="CC26" s="166"/>
      <c r="CD26" s="166"/>
      <c r="CE26" s="166"/>
      <c r="CF26" s="166"/>
      <c r="CG26" s="166"/>
    </row>
    <row r="27" spans="1:85" ht="12" customHeight="1">
      <c r="A27" s="133"/>
      <c r="B27" s="133"/>
      <c r="C27" s="133">
        <v>4</v>
      </c>
      <c r="D27" s="160"/>
      <c r="E27" s="134"/>
      <c r="F27" s="134"/>
      <c r="G27" s="134"/>
      <c r="H27" s="134" t="s">
        <v>1625</v>
      </c>
      <c r="I27" s="134"/>
      <c r="J27" s="134"/>
      <c r="K27" s="134"/>
      <c r="L27" s="134"/>
      <c r="M27" s="134"/>
      <c r="N27" s="134"/>
      <c r="O27" s="134"/>
      <c r="P27" s="236">
        <v>45743</v>
      </c>
      <c r="Q27" s="236">
        <v>45743</v>
      </c>
      <c r="R27" s="134"/>
      <c r="S27" s="135">
        <v>1</v>
      </c>
      <c r="T27" s="135">
        <v>0</v>
      </c>
      <c r="U27" s="135">
        <v>1</v>
      </c>
      <c r="V27" s="135">
        <v>0</v>
      </c>
      <c r="W27" s="236"/>
      <c r="X27" s="236"/>
      <c r="Y27" s="136"/>
      <c r="Z27" s="137">
        <v>0</v>
      </c>
      <c r="AA27" s="135">
        <v>0.1</v>
      </c>
      <c r="AB27" s="134"/>
      <c r="AC27" s="138"/>
      <c r="AD27" s="159"/>
      <c r="AE27" s="240">
        <v>0</v>
      </c>
      <c r="AF27" s="165"/>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c r="CA27" s="166"/>
      <c r="CB27" s="166"/>
      <c r="CC27" s="166"/>
      <c r="CD27" s="166"/>
      <c r="CE27" s="166"/>
      <c r="CF27" s="166"/>
      <c r="CG27" s="166"/>
    </row>
    <row r="28" spans="1:85" ht="12" customHeight="1">
      <c r="A28" s="133"/>
      <c r="B28" s="133"/>
      <c r="C28" s="133">
        <v>4</v>
      </c>
      <c r="D28" s="160"/>
      <c r="E28" s="134"/>
      <c r="F28" s="134"/>
      <c r="G28" s="134"/>
      <c r="H28" s="134" t="s">
        <v>1626</v>
      </c>
      <c r="I28" s="134"/>
      <c r="J28" s="134"/>
      <c r="K28" s="134"/>
      <c r="L28" s="134"/>
      <c r="M28" s="134"/>
      <c r="N28" s="134"/>
      <c r="O28" s="134"/>
      <c r="P28" s="236">
        <v>45750</v>
      </c>
      <c r="Q28" s="236">
        <v>45750</v>
      </c>
      <c r="R28" s="134"/>
      <c r="S28" s="135">
        <v>1</v>
      </c>
      <c r="T28" s="135">
        <v>0</v>
      </c>
      <c r="U28" s="135">
        <v>1</v>
      </c>
      <c r="V28" s="135">
        <v>0</v>
      </c>
      <c r="W28" s="236"/>
      <c r="X28" s="236"/>
      <c r="Y28" s="136"/>
      <c r="Z28" s="137">
        <v>0</v>
      </c>
      <c r="AA28" s="135">
        <v>0.1</v>
      </c>
      <c r="AB28" s="134"/>
      <c r="AC28" s="138"/>
      <c r="AD28" s="159"/>
      <c r="AE28" s="240">
        <v>0</v>
      </c>
      <c r="AF28" s="165"/>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c r="CA28" s="166"/>
      <c r="CB28" s="166"/>
      <c r="CC28" s="166"/>
      <c r="CD28" s="166"/>
      <c r="CE28" s="166"/>
      <c r="CF28" s="166"/>
      <c r="CG28" s="166"/>
    </row>
    <row r="29" spans="1:85" ht="12" customHeight="1">
      <c r="A29" s="133"/>
      <c r="B29" s="133"/>
      <c r="C29" s="133">
        <v>4</v>
      </c>
      <c r="D29" s="160"/>
      <c r="E29" s="134"/>
      <c r="F29" s="134"/>
      <c r="G29" s="134"/>
      <c r="H29" s="134" t="s">
        <v>1627</v>
      </c>
      <c r="I29" s="134"/>
      <c r="J29" s="134"/>
      <c r="K29" s="134"/>
      <c r="L29" s="134"/>
      <c r="M29" s="134"/>
      <c r="N29" s="134"/>
      <c r="O29" s="134"/>
      <c r="P29" s="236">
        <v>45757</v>
      </c>
      <c r="Q29" s="236">
        <v>45757</v>
      </c>
      <c r="R29" s="134"/>
      <c r="S29" s="135">
        <v>1</v>
      </c>
      <c r="T29" s="135">
        <v>0</v>
      </c>
      <c r="U29" s="135">
        <v>1</v>
      </c>
      <c r="V29" s="135">
        <v>0</v>
      </c>
      <c r="W29" s="236"/>
      <c r="X29" s="236"/>
      <c r="Y29" s="136"/>
      <c r="Z29" s="137">
        <v>0</v>
      </c>
      <c r="AA29" s="135">
        <v>0.1</v>
      </c>
      <c r="AB29" s="134"/>
      <c r="AC29" s="138"/>
      <c r="AD29" s="159"/>
      <c r="AE29" s="240">
        <v>0</v>
      </c>
      <c r="AF29" s="165"/>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c r="CA29" s="166"/>
      <c r="CB29" s="166"/>
      <c r="CC29" s="166"/>
      <c r="CD29" s="166"/>
      <c r="CE29" s="166"/>
      <c r="CF29" s="166"/>
      <c r="CG29" s="166"/>
    </row>
    <row r="30" spans="1:85" ht="12" customHeight="1">
      <c r="A30" s="133"/>
      <c r="B30" s="133"/>
      <c r="C30" s="133">
        <v>4</v>
      </c>
      <c r="D30" s="160"/>
      <c r="E30" s="134"/>
      <c r="F30" s="134"/>
      <c r="G30" s="134"/>
      <c r="H30" s="134" t="s">
        <v>1628</v>
      </c>
      <c r="I30" s="134"/>
      <c r="J30" s="134"/>
      <c r="K30" s="134"/>
      <c r="L30" s="134"/>
      <c r="M30" s="134"/>
      <c r="N30" s="134"/>
      <c r="O30" s="134"/>
      <c r="P30" s="236">
        <v>45764</v>
      </c>
      <c r="Q30" s="236">
        <v>45764</v>
      </c>
      <c r="R30" s="134"/>
      <c r="S30" s="135">
        <v>1</v>
      </c>
      <c r="T30" s="135">
        <v>0</v>
      </c>
      <c r="U30" s="135">
        <v>1</v>
      </c>
      <c r="V30" s="135">
        <v>0</v>
      </c>
      <c r="W30" s="236"/>
      <c r="X30" s="236"/>
      <c r="Y30" s="136"/>
      <c r="Z30" s="137">
        <v>0</v>
      </c>
      <c r="AA30" s="135">
        <v>0.1</v>
      </c>
      <c r="AB30" s="134"/>
      <c r="AC30" s="138"/>
      <c r="AD30" s="159"/>
      <c r="AE30" s="240">
        <v>0</v>
      </c>
      <c r="AF30" s="165"/>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c r="CA30" s="166"/>
      <c r="CB30" s="166"/>
      <c r="CC30" s="166"/>
      <c r="CD30" s="166"/>
      <c r="CE30" s="166"/>
      <c r="CF30" s="166"/>
      <c r="CG30" s="166"/>
    </row>
    <row r="31" spans="1:85" ht="12" customHeight="1">
      <c r="A31" s="133"/>
      <c r="B31" s="133"/>
      <c r="C31" s="133">
        <v>4</v>
      </c>
      <c r="D31" s="160"/>
      <c r="E31" s="134"/>
      <c r="F31" s="134"/>
      <c r="G31" s="134"/>
      <c r="H31" s="134" t="s">
        <v>1629</v>
      </c>
      <c r="I31" s="134"/>
      <c r="J31" s="134"/>
      <c r="K31" s="134"/>
      <c r="L31" s="134"/>
      <c r="M31" s="134"/>
      <c r="N31" s="134"/>
      <c r="O31" s="134"/>
      <c r="P31" s="236">
        <v>45771</v>
      </c>
      <c r="Q31" s="236">
        <v>45771</v>
      </c>
      <c r="R31" s="134"/>
      <c r="S31" s="135">
        <v>1</v>
      </c>
      <c r="T31" s="135">
        <v>0</v>
      </c>
      <c r="U31" s="135">
        <v>1</v>
      </c>
      <c r="V31" s="135">
        <v>0</v>
      </c>
      <c r="W31" s="236"/>
      <c r="X31" s="236"/>
      <c r="Y31" s="136"/>
      <c r="Z31" s="137">
        <v>0</v>
      </c>
      <c r="AA31" s="135">
        <v>0.1</v>
      </c>
      <c r="AB31" s="134"/>
      <c r="AC31" s="138"/>
      <c r="AD31" s="159"/>
      <c r="AE31" s="240">
        <v>0</v>
      </c>
      <c r="AF31" s="165"/>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c r="CA31" s="166"/>
      <c r="CB31" s="166"/>
      <c r="CC31" s="166"/>
      <c r="CD31" s="166"/>
      <c r="CE31" s="166"/>
      <c r="CF31" s="166"/>
      <c r="CG31" s="166"/>
    </row>
    <row r="32" spans="1:85" ht="12" customHeight="1">
      <c r="A32" s="133"/>
      <c r="B32" s="133"/>
      <c r="C32" s="133">
        <v>4</v>
      </c>
      <c r="D32" s="160"/>
      <c r="E32" s="134"/>
      <c r="F32" s="134"/>
      <c r="G32" s="134"/>
      <c r="H32" s="134" t="s">
        <v>1630</v>
      </c>
      <c r="I32" s="134"/>
      <c r="J32" s="134"/>
      <c r="K32" s="134"/>
      <c r="L32" s="134"/>
      <c r="M32" s="134"/>
      <c r="N32" s="134"/>
      <c r="O32" s="134"/>
      <c r="P32" s="236">
        <v>45779</v>
      </c>
      <c r="Q32" s="236">
        <v>45779</v>
      </c>
      <c r="R32" s="134"/>
      <c r="S32" s="135">
        <v>1</v>
      </c>
      <c r="T32" s="135">
        <v>0</v>
      </c>
      <c r="U32" s="135">
        <v>1</v>
      </c>
      <c r="V32" s="135">
        <v>0</v>
      </c>
      <c r="W32" s="236"/>
      <c r="X32" s="236"/>
      <c r="Y32" s="136"/>
      <c r="Z32" s="137">
        <v>0</v>
      </c>
      <c r="AA32" s="135">
        <v>0.1</v>
      </c>
      <c r="AB32" s="134"/>
      <c r="AC32" s="138"/>
      <c r="AD32" s="159"/>
      <c r="AE32" s="240">
        <v>0</v>
      </c>
      <c r="AF32" s="165"/>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c r="CA32" s="166"/>
      <c r="CB32" s="166"/>
      <c r="CC32" s="166"/>
      <c r="CD32" s="166"/>
      <c r="CE32" s="166"/>
      <c r="CF32" s="166"/>
      <c r="CG32" s="166"/>
    </row>
    <row r="33" spans="1:85" ht="12" customHeight="1">
      <c r="A33" s="133"/>
      <c r="B33" s="133"/>
      <c r="C33" s="133">
        <v>4</v>
      </c>
      <c r="D33" s="160"/>
      <c r="E33" s="134"/>
      <c r="F33" s="134"/>
      <c r="G33" s="134"/>
      <c r="H33" s="134" t="s">
        <v>1631</v>
      </c>
      <c r="I33" s="134"/>
      <c r="J33" s="134"/>
      <c r="K33" s="134"/>
      <c r="L33" s="134"/>
      <c r="M33" s="134"/>
      <c r="N33" s="134"/>
      <c r="O33" s="134"/>
      <c r="P33" s="236">
        <v>45785</v>
      </c>
      <c r="Q33" s="236">
        <v>45785</v>
      </c>
      <c r="R33" s="134"/>
      <c r="S33" s="135">
        <v>1</v>
      </c>
      <c r="T33" s="135">
        <v>0</v>
      </c>
      <c r="U33" s="135">
        <v>1</v>
      </c>
      <c r="V33" s="135">
        <v>0</v>
      </c>
      <c r="W33" s="236"/>
      <c r="X33" s="236"/>
      <c r="Y33" s="136"/>
      <c r="Z33" s="137">
        <v>0</v>
      </c>
      <c r="AA33" s="135">
        <v>0.1</v>
      </c>
      <c r="AB33" s="134"/>
      <c r="AC33" s="138"/>
      <c r="AD33" s="159"/>
      <c r="AE33" s="240">
        <v>0</v>
      </c>
      <c r="AF33" s="165"/>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c r="CA33" s="166"/>
      <c r="CB33" s="166"/>
      <c r="CC33" s="166"/>
      <c r="CD33" s="166"/>
      <c r="CE33" s="166"/>
      <c r="CF33" s="166"/>
      <c r="CG33" s="166"/>
    </row>
    <row r="34" spans="1:85" ht="12" customHeight="1">
      <c r="A34" s="133"/>
      <c r="B34" s="133"/>
      <c r="C34" s="133">
        <v>4</v>
      </c>
      <c r="D34" s="160"/>
      <c r="E34" s="134"/>
      <c r="F34" s="134"/>
      <c r="G34" s="134"/>
      <c r="H34" s="134" t="s">
        <v>1632</v>
      </c>
      <c r="I34" s="134"/>
      <c r="J34" s="134"/>
      <c r="K34" s="134"/>
      <c r="L34" s="134"/>
      <c r="M34" s="134"/>
      <c r="N34" s="134"/>
      <c r="O34" s="134"/>
      <c r="P34" s="236">
        <v>45792</v>
      </c>
      <c r="Q34" s="236">
        <v>45792</v>
      </c>
      <c r="R34" s="134"/>
      <c r="S34" s="135">
        <v>1</v>
      </c>
      <c r="T34" s="135">
        <v>0</v>
      </c>
      <c r="U34" s="135">
        <v>1</v>
      </c>
      <c r="V34" s="135">
        <v>0</v>
      </c>
      <c r="W34" s="236"/>
      <c r="X34" s="236"/>
      <c r="Y34" s="136"/>
      <c r="Z34" s="137">
        <v>0</v>
      </c>
      <c r="AA34" s="135">
        <v>0.1</v>
      </c>
      <c r="AB34" s="134"/>
      <c r="AC34" s="138"/>
      <c r="AD34" s="159"/>
      <c r="AE34" s="240">
        <v>0</v>
      </c>
      <c r="AF34" s="165"/>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c r="CA34" s="166"/>
      <c r="CB34" s="166"/>
      <c r="CC34" s="166"/>
      <c r="CD34" s="166"/>
      <c r="CE34" s="166"/>
      <c r="CF34" s="166"/>
      <c r="CG34" s="166"/>
    </row>
    <row r="35" spans="1:85" ht="12" customHeight="1">
      <c r="A35" s="133"/>
      <c r="B35" s="133"/>
      <c r="C35" s="133">
        <v>4</v>
      </c>
      <c r="D35" s="160"/>
      <c r="E35" s="134"/>
      <c r="F35" s="134"/>
      <c r="G35" s="134"/>
      <c r="H35" s="134" t="s">
        <v>1633</v>
      </c>
      <c r="I35" s="134"/>
      <c r="J35" s="134"/>
      <c r="K35" s="134"/>
      <c r="L35" s="134"/>
      <c r="M35" s="134"/>
      <c r="N35" s="134"/>
      <c r="O35" s="134"/>
      <c r="P35" s="236">
        <v>45799</v>
      </c>
      <c r="Q35" s="236">
        <v>45799</v>
      </c>
      <c r="R35" s="134"/>
      <c r="S35" s="135">
        <v>1</v>
      </c>
      <c r="T35" s="135">
        <v>0</v>
      </c>
      <c r="U35" s="135">
        <v>1</v>
      </c>
      <c r="V35" s="135">
        <v>0</v>
      </c>
      <c r="W35" s="236"/>
      <c r="X35" s="236"/>
      <c r="Y35" s="136"/>
      <c r="Z35" s="137">
        <v>0</v>
      </c>
      <c r="AA35" s="135">
        <v>0.1</v>
      </c>
      <c r="AB35" s="134"/>
      <c r="AC35" s="138"/>
      <c r="AD35" s="159"/>
      <c r="AE35" s="240">
        <v>0</v>
      </c>
      <c r="AF35" s="165"/>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c r="CA35" s="166"/>
      <c r="CB35" s="166"/>
      <c r="CC35" s="166"/>
      <c r="CD35" s="166"/>
      <c r="CE35" s="166"/>
      <c r="CF35" s="166"/>
      <c r="CG35" s="166"/>
    </row>
    <row r="36" spans="1:85" ht="12" customHeight="1">
      <c r="A36" s="133"/>
      <c r="B36" s="133"/>
      <c r="C36" s="133">
        <v>4</v>
      </c>
      <c r="D36" s="160"/>
      <c r="E36" s="134"/>
      <c r="F36" s="134"/>
      <c r="G36" s="134"/>
      <c r="H36" s="134" t="s">
        <v>1634</v>
      </c>
      <c r="I36" s="134"/>
      <c r="J36" s="134"/>
      <c r="K36" s="134"/>
      <c r="L36" s="134"/>
      <c r="M36" s="134"/>
      <c r="N36" s="134"/>
      <c r="O36" s="134"/>
      <c r="P36" s="236">
        <v>45806</v>
      </c>
      <c r="Q36" s="236">
        <v>45806</v>
      </c>
      <c r="R36" s="134"/>
      <c r="S36" s="135">
        <v>1</v>
      </c>
      <c r="T36" s="135">
        <v>0</v>
      </c>
      <c r="U36" s="135">
        <v>1</v>
      </c>
      <c r="V36" s="135">
        <v>0</v>
      </c>
      <c r="W36" s="236"/>
      <c r="X36" s="236"/>
      <c r="Y36" s="136"/>
      <c r="Z36" s="137">
        <v>0</v>
      </c>
      <c r="AA36" s="135">
        <v>0.1</v>
      </c>
      <c r="AB36" s="134"/>
      <c r="AC36" s="138"/>
      <c r="AD36" s="159"/>
      <c r="AE36" s="240">
        <v>0</v>
      </c>
      <c r="AF36" s="165"/>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c r="CA36" s="166"/>
      <c r="CB36" s="166"/>
      <c r="CC36" s="166"/>
      <c r="CD36" s="166"/>
      <c r="CE36" s="166"/>
      <c r="CF36" s="166"/>
      <c r="CG36" s="166"/>
    </row>
    <row r="37" spans="1:85" ht="12" customHeight="1">
      <c r="A37" s="133"/>
      <c r="B37" s="133"/>
      <c r="C37" s="133">
        <v>4</v>
      </c>
      <c r="D37" s="160"/>
      <c r="E37" s="134"/>
      <c r="F37" s="134"/>
      <c r="G37" s="134"/>
      <c r="H37" s="134" t="s">
        <v>1635</v>
      </c>
      <c r="I37" s="134"/>
      <c r="J37" s="134"/>
      <c r="K37" s="134"/>
      <c r="L37" s="134"/>
      <c r="M37" s="134"/>
      <c r="N37" s="134"/>
      <c r="O37" s="134"/>
      <c r="P37" s="236">
        <v>45813</v>
      </c>
      <c r="Q37" s="236">
        <v>45813</v>
      </c>
      <c r="R37" s="134"/>
      <c r="S37" s="135">
        <v>1</v>
      </c>
      <c r="T37" s="135">
        <v>0</v>
      </c>
      <c r="U37" s="135">
        <v>1</v>
      </c>
      <c r="V37" s="135">
        <v>0</v>
      </c>
      <c r="W37" s="236"/>
      <c r="X37" s="236"/>
      <c r="Y37" s="136"/>
      <c r="Z37" s="137">
        <v>0</v>
      </c>
      <c r="AA37" s="135">
        <v>0.1</v>
      </c>
      <c r="AB37" s="134"/>
      <c r="AC37" s="138"/>
      <c r="AD37" s="159"/>
      <c r="AE37" s="240">
        <v>0</v>
      </c>
      <c r="AF37" s="165"/>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c r="CA37" s="166"/>
      <c r="CB37" s="166"/>
      <c r="CC37" s="166"/>
      <c r="CD37" s="166"/>
      <c r="CE37" s="166"/>
      <c r="CF37" s="166"/>
      <c r="CG37" s="166"/>
    </row>
    <row r="38" spans="1:85" ht="12" customHeight="1">
      <c r="A38" s="133"/>
      <c r="B38" s="133"/>
      <c r="C38" s="133">
        <v>4</v>
      </c>
      <c r="D38" s="160"/>
      <c r="E38" s="134"/>
      <c r="F38" s="134"/>
      <c r="G38" s="134"/>
      <c r="H38" s="134" t="s">
        <v>1636</v>
      </c>
      <c r="I38" s="134"/>
      <c r="J38" s="134"/>
      <c r="K38" s="134"/>
      <c r="L38" s="134"/>
      <c r="M38" s="134"/>
      <c r="N38" s="134"/>
      <c r="O38" s="134"/>
      <c r="P38" s="236">
        <v>45820</v>
      </c>
      <c r="Q38" s="236">
        <v>45820</v>
      </c>
      <c r="R38" s="134"/>
      <c r="S38" s="135">
        <v>1</v>
      </c>
      <c r="T38" s="135">
        <v>0</v>
      </c>
      <c r="U38" s="135">
        <v>1</v>
      </c>
      <c r="V38" s="135">
        <v>0</v>
      </c>
      <c r="W38" s="236"/>
      <c r="X38" s="236"/>
      <c r="Y38" s="136"/>
      <c r="Z38" s="137">
        <v>0</v>
      </c>
      <c r="AA38" s="135">
        <v>0.1</v>
      </c>
      <c r="AB38" s="134"/>
      <c r="AC38" s="138"/>
      <c r="AD38" s="159"/>
      <c r="AE38" s="240">
        <v>0</v>
      </c>
      <c r="AF38" s="165"/>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c r="CA38" s="166"/>
      <c r="CB38" s="166"/>
      <c r="CC38" s="166"/>
      <c r="CD38" s="166"/>
      <c r="CE38" s="166"/>
      <c r="CF38" s="166"/>
      <c r="CG38" s="166"/>
    </row>
    <row r="39" spans="1:85" ht="12" customHeight="1">
      <c r="A39" s="133"/>
      <c r="B39" s="133"/>
      <c r="C39" s="133">
        <v>4</v>
      </c>
      <c r="D39" s="160"/>
      <c r="E39" s="134"/>
      <c r="F39" s="134"/>
      <c r="G39" s="134"/>
      <c r="H39" s="134" t="s">
        <v>1637</v>
      </c>
      <c r="I39" s="134"/>
      <c r="J39" s="134"/>
      <c r="K39" s="134"/>
      <c r="L39" s="134"/>
      <c r="M39" s="134"/>
      <c r="N39" s="134"/>
      <c r="O39" s="134"/>
      <c r="P39" s="236">
        <v>45827</v>
      </c>
      <c r="Q39" s="236">
        <v>45827</v>
      </c>
      <c r="R39" s="134"/>
      <c r="S39" s="135">
        <v>1</v>
      </c>
      <c r="T39" s="135">
        <v>0</v>
      </c>
      <c r="U39" s="135">
        <v>1</v>
      </c>
      <c r="V39" s="135">
        <v>0</v>
      </c>
      <c r="W39" s="236"/>
      <c r="X39" s="236"/>
      <c r="Y39" s="136"/>
      <c r="Z39" s="137">
        <v>0</v>
      </c>
      <c r="AA39" s="135">
        <v>0.1</v>
      </c>
      <c r="AB39" s="134"/>
      <c r="AC39" s="138"/>
      <c r="AD39" s="159"/>
      <c r="AE39" s="240">
        <v>0</v>
      </c>
      <c r="AF39" s="165"/>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c r="CA39" s="166"/>
      <c r="CB39" s="166"/>
      <c r="CC39" s="166"/>
      <c r="CD39" s="166"/>
      <c r="CE39" s="166"/>
      <c r="CF39" s="166"/>
      <c r="CG39" s="166"/>
    </row>
    <row r="40" spans="1:85" ht="12" customHeight="1">
      <c r="A40" s="133"/>
      <c r="B40" s="133"/>
      <c r="C40" s="133">
        <v>4</v>
      </c>
      <c r="D40" s="160"/>
      <c r="E40" s="134"/>
      <c r="F40" s="134"/>
      <c r="G40" s="134"/>
      <c r="H40" s="134" t="s">
        <v>1638</v>
      </c>
      <c r="I40" s="134"/>
      <c r="J40" s="134"/>
      <c r="K40" s="134"/>
      <c r="L40" s="134"/>
      <c r="M40" s="134"/>
      <c r="N40" s="134"/>
      <c r="O40" s="134"/>
      <c r="P40" s="236">
        <v>45834</v>
      </c>
      <c r="Q40" s="236">
        <v>45834</v>
      </c>
      <c r="R40" s="134"/>
      <c r="S40" s="135">
        <v>1</v>
      </c>
      <c r="T40" s="135">
        <v>0</v>
      </c>
      <c r="U40" s="135">
        <v>1</v>
      </c>
      <c r="V40" s="135">
        <v>0</v>
      </c>
      <c r="W40" s="236"/>
      <c r="X40" s="236"/>
      <c r="Y40" s="136"/>
      <c r="Z40" s="137">
        <v>0</v>
      </c>
      <c r="AA40" s="135">
        <v>0.1</v>
      </c>
      <c r="AB40" s="134"/>
      <c r="AC40" s="138"/>
      <c r="AD40" s="159"/>
      <c r="AE40" s="240">
        <v>0</v>
      </c>
      <c r="AF40" s="165"/>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c r="CA40" s="166"/>
      <c r="CB40" s="166"/>
      <c r="CC40" s="166"/>
      <c r="CD40" s="166"/>
      <c r="CE40" s="166"/>
      <c r="CF40" s="166"/>
      <c r="CG40" s="166"/>
    </row>
    <row r="41" spans="1:85" ht="12" customHeight="1">
      <c r="A41" s="133"/>
      <c r="B41" s="133"/>
      <c r="C41" s="133">
        <v>4</v>
      </c>
      <c r="D41" s="160"/>
      <c r="E41" s="134"/>
      <c r="F41" s="134"/>
      <c r="G41" s="134"/>
      <c r="H41" s="134" t="s">
        <v>1639</v>
      </c>
      <c r="I41" s="134"/>
      <c r="J41" s="134"/>
      <c r="K41" s="134"/>
      <c r="L41" s="134"/>
      <c r="M41" s="134"/>
      <c r="N41" s="134"/>
      <c r="O41" s="134"/>
      <c r="P41" s="236">
        <v>45841</v>
      </c>
      <c r="Q41" s="236">
        <v>45841</v>
      </c>
      <c r="R41" s="134"/>
      <c r="S41" s="135">
        <v>1</v>
      </c>
      <c r="T41" s="135">
        <v>0</v>
      </c>
      <c r="U41" s="135">
        <v>1</v>
      </c>
      <c r="V41" s="135">
        <v>0</v>
      </c>
      <c r="W41" s="236"/>
      <c r="X41" s="236"/>
      <c r="Y41" s="136"/>
      <c r="Z41" s="137">
        <v>0</v>
      </c>
      <c r="AA41" s="135">
        <v>0.1</v>
      </c>
      <c r="AB41" s="134"/>
      <c r="AC41" s="138"/>
      <c r="AD41" s="159"/>
      <c r="AE41" s="240">
        <v>0</v>
      </c>
      <c r="AF41" s="165"/>
      <c r="AG41" s="166"/>
      <c r="AH41" s="166"/>
      <c r="AI41" s="166"/>
      <c r="AJ41" s="166"/>
      <c r="AK41" s="166"/>
      <c r="AL41" s="166"/>
      <c r="AM41" s="166"/>
      <c r="AN41" s="166"/>
      <c r="AO41" s="166"/>
      <c r="AP41" s="166"/>
      <c r="AQ41" s="166"/>
      <c r="AR41" s="166"/>
      <c r="AS41" s="166"/>
      <c r="AT41" s="166"/>
      <c r="AU41" s="166"/>
      <c r="AV41" s="166"/>
      <c r="AW41" s="166"/>
      <c r="AX41" s="166"/>
      <c r="AY41" s="166"/>
      <c r="AZ41" s="166"/>
      <c r="BA41" s="166"/>
      <c r="BB41" s="166"/>
      <c r="BC41" s="166"/>
      <c r="BD41" s="166"/>
      <c r="BE41" s="166"/>
      <c r="BF41" s="166"/>
      <c r="BG41" s="166"/>
      <c r="BH41" s="166"/>
      <c r="BI41" s="166"/>
      <c r="BJ41" s="166"/>
      <c r="BK41" s="166"/>
      <c r="BL41" s="166"/>
      <c r="BM41" s="166"/>
      <c r="BN41" s="166"/>
      <c r="BO41" s="166"/>
      <c r="BP41" s="166"/>
      <c r="BQ41" s="166"/>
      <c r="BR41" s="166"/>
      <c r="BS41" s="166"/>
      <c r="BT41" s="166"/>
      <c r="BU41" s="166"/>
      <c r="BV41" s="166"/>
      <c r="BW41" s="166"/>
      <c r="BX41" s="166"/>
      <c r="BY41" s="166"/>
      <c r="BZ41" s="166"/>
      <c r="CA41" s="166"/>
      <c r="CB41" s="166"/>
      <c r="CC41" s="166"/>
      <c r="CD41" s="166"/>
      <c r="CE41" s="166"/>
      <c r="CF41" s="166"/>
      <c r="CG41" s="166"/>
    </row>
    <row r="42" spans="1:85" ht="12" customHeight="1">
      <c r="A42" s="133"/>
      <c r="B42" s="133"/>
      <c r="C42" s="133">
        <v>4</v>
      </c>
      <c r="D42" s="160"/>
      <c r="E42" s="134"/>
      <c r="F42" s="134"/>
      <c r="G42" s="134"/>
      <c r="H42" s="134" t="s">
        <v>1640</v>
      </c>
      <c r="I42" s="134"/>
      <c r="J42" s="134"/>
      <c r="K42" s="134"/>
      <c r="L42" s="134"/>
      <c r="M42" s="134"/>
      <c r="N42" s="134"/>
      <c r="O42" s="134"/>
      <c r="P42" s="236">
        <v>45848</v>
      </c>
      <c r="Q42" s="236">
        <v>45848</v>
      </c>
      <c r="R42" s="134"/>
      <c r="S42" s="135">
        <v>1</v>
      </c>
      <c r="T42" s="135">
        <v>0</v>
      </c>
      <c r="U42" s="135">
        <v>1</v>
      </c>
      <c r="V42" s="135">
        <v>0</v>
      </c>
      <c r="W42" s="236"/>
      <c r="X42" s="236"/>
      <c r="Y42" s="136"/>
      <c r="Z42" s="137">
        <v>0</v>
      </c>
      <c r="AA42" s="135">
        <v>0.1</v>
      </c>
      <c r="AB42" s="134"/>
      <c r="AC42" s="138"/>
      <c r="AD42" s="159"/>
      <c r="AE42" s="240">
        <v>0</v>
      </c>
      <c r="AF42" s="165"/>
      <c r="AG42" s="166"/>
      <c r="AH42" s="166"/>
      <c r="AI42" s="166"/>
      <c r="AJ42" s="166"/>
      <c r="AK42" s="166"/>
      <c r="AL42" s="166"/>
      <c r="AM42" s="166"/>
      <c r="AN42" s="166"/>
      <c r="AO42" s="166"/>
      <c r="AP42" s="166"/>
      <c r="AQ42" s="166"/>
      <c r="AR42" s="166"/>
      <c r="AS42" s="166"/>
      <c r="AT42" s="166"/>
      <c r="AU42" s="166"/>
      <c r="AV42" s="166"/>
      <c r="AW42" s="166"/>
      <c r="AX42" s="166"/>
      <c r="AY42" s="166"/>
      <c r="AZ42" s="166"/>
      <c r="BA42" s="166"/>
      <c r="BB42" s="166"/>
      <c r="BC42" s="166"/>
      <c r="BD42" s="166"/>
      <c r="BE42" s="166"/>
      <c r="BF42" s="166"/>
      <c r="BG42" s="166"/>
      <c r="BH42" s="166"/>
      <c r="BI42" s="166"/>
      <c r="BJ42" s="166"/>
      <c r="BK42" s="166"/>
      <c r="BL42" s="166"/>
      <c r="BM42" s="166"/>
      <c r="BN42" s="166"/>
      <c r="BO42" s="166"/>
      <c r="BP42" s="166"/>
      <c r="BQ42" s="166"/>
      <c r="BR42" s="166"/>
      <c r="BS42" s="166"/>
      <c r="BT42" s="166"/>
      <c r="BU42" s="166"/>
      <c r="BV42" s="166"/>
      <c r="BW42" s="166"/>
      <c r="BX42" s="166"/>
      <c r="BY42" s="166"/>
      <c r="BZ42" s="166"/>
      <c r="CA42" s="166"/>
      <c r="CB42" s="166"/>
      <c r="CC42" s="166"/>
      <c r="CD42" s="166"/>
      <c r="CE42" s="166"/>
      <c r="CF42" s="166"/>
      <c r="CG42" s="166"/>
    </row>
    <row r="43" spans="1:85" ht="12" customHeight="1">
      <c r="A43" s="133"/>
      <c r="B43" s="133"/>
      <c r="C43" s="133">
        <v>4</v>
      </c>
      <c r="D43" s="160"/>
      <c r="E43" s="134"/>
      <c r="F43" s="134"/>
      <c r="G43" s="134"/>
      <c r="H43" s="134" t="s">
        <v>1641</v>
      </c>
      <c r="I43" s="134"/>
      <c r="J43" s="134"/>
      <c r="K43" s="134"/>
      <c r="L43" s="134"/>
      <c r="M43" s="134"/>
      <c r="N43" s="134"/>
      <c r="O43" s="134"/>
      <c r="P43" s="236">
        <v>45856</v>
      </c>
      <c r="Q43" s="236">
        <v>45856</v>
      </c>
      <c r="R43" s="134"/>
      <c r="S43" s="135">
        <v>1</v>
      </c>
      <c r="T43" s="135">
        <v>0</v>
      </c>
      <c r="U43" s="135">
        <v>1</v>
      </c>
      <c r="V43" s="135">
        <v>0</v>
      </c>
      <c r="W43" s="236"/>
      <c r="X43" s="236"/>
      <c r="Y43" s="136"/>
      <c r="Z43" s="137">
        <v>0</v>
      </c>
      <c r="AA43" s="135">
        <v>0.1</v>
      </c>
      <c r="AB43" s="134"/>
      <c r="AC43" s="138"/>
      <c r="AD43" s="159"/>
      <c r="AE43" s="240">
        <v>0</v>
      </c>
      <c r="AF43" s="165"/>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6"/>
      <c r="BS43" s="166"/>
      <c r="BT43" s="166"/>
      <c r="BU43" s="166"/>
      <c r="BV43" s="166"/>
      <c r="BW43" s="166"/>
      <c r="BX43" s="166"/>
      <c r="BY43" s="166"/>
      <c r="BZ43" s="166"/>
      <c r="CA43" s="166"/>
      <c r="CB43" s="166"/>
      <c r="CC43" s="166"/>
      <c r="CD43" s="166"/>
      <c r="CE43" s="166"/>
      <c r="CF43" s="166"/>
      <c r="CG43" s="166"/>
    </row>
    <row r="44" spans="1:85" ht="12" customHeight="1">
      <c r="A44" s="133"/>
      <c r="B44" s="133"/>
      <c r="C44" s="133">
        <v>4</v>
      </c>
      <c r="D44" s="160"/>
      <c r="E44" s="134"/>
      <c r="F44" s="134"/>
      <c r="G44" s="134"/>
      <c r="H44" s="134" t="s">
        <v>1642</v>
      </c>
      <c r="I44" s="134"/>
      <c r="J44" s="134"/>
      <c r="K44" s="134"/>
      <c r="L44" s="134"/>
      <c r="M44" s="134"/>
      <c r="N44" s="134"/>
      <c r="O44" s="134"/>
      <c r="P44" s="236">
        <v>45862</v>
      </c>
      <c r="Q44" s="236">
        <v>45862</v>
      </c>
      <c r="R44" s="134"/>
      <c r="S44" s="135">
        <v>1</v>
      </c>
      <c r="T44" s="135">
        <v>0</v>
      </c>
      <c r="U44" s="135">
        <v>1</v>
      </c>
      <c r="V44" s="135">
        <v>0</v>
      </c>
      <c r="W44" s="236"/>
      <c r="X44" s="236"/>
      <c r="Y44" s="136"/>
      <c r="Z44" s="137">
        <v>0</v>
      </c>
      <c r="AA44" s="135">
        <v>0.1</v>
      </c>
      <c r="AB44" s="134"/>
      <c r="AC44" s="138"/>
      <c r="AD44" s="159"/>
      <c r="AE44" s="240">
        <v>0</v>
      </c>
      <c r="AF44" s="165"/>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6"/>
      <c r="BD44" s="166"/>
      <c r="BE44" s="166"/>
      <c r="BF44" s="166"/>
      <c r="BG44" s="166"/>
      <c r="BH44" s="166"/>
      <c r="BI44" s="166"/>
      <c r="BJ44" s="166"/>
      <c r="BK44" s="166"/>
      <c r="BL44" s="166"/>
      <c r="BM44" s="166"/>
      <c r="BN44" s="166"/>
      <c r="BO44" s="166"/>
      <c r="BP44" s="166"/>
      <c r="BQ44" s="166"/>
      <c r="BR44" s="166"/>
      <c r="BS44" s="166"/>
      <c r="BT44" s="166"/>
      <c r="BU44" s="166"/>
      <c r="BV44" s="166"/>
      <c r="BW44" s="166"/>
      <c r="BX44" s="166"/>
      <c r="BY44" s="166"/>
      <c r="BZ44" s="166"/>
      <c r="CA44" s="166"/>
      <c r="CB44" s="166"/>
      <c r="CC44" s="166"/>
      <c r="CD44" s="166"/>
      <c r="CE44" s="166"/>
      <c r="CF44" s="166"/>
      <c r="CG44" s="166"/>
    </row>
    <row r="45" spans="1:85" ht="12" customHeight="1">
      <c r="A45" s="133"/>
      <c r="B45" s="133"/>
      <c r="C45" s="133">
        <v>4</v>
      </c>
      <c r="D45" s="160"/>
      <c r="E45" s="134"/>
      <c r="F45" s="134"/>
      <c r="G45" s="134"/>
      <c r="H45" s="134" t="s">
        <v>1643</v>
      </c>
      <c r="I45" s="134"/>
      <c r="J45" s="134"/>
      <c r="K45" s="134"/>
      <c r="L45" s="134"/>
      <c r="M45" s="134"/>
      <c r="N45" s="134"/>
      <c r="O45" s="134"/>
      <c r="P45" s="236">
        <v>45869</v>
      </c>
      <c r="Q45" s="236">
        <v>45869</v>
      </c>
      <c r="R45" s="134"/>
      <c r="S45" s="135">
        <v>1</v>
      </c>
      <c r="T45" s="135">
        <v>0</v>
      </c>
      <c r="U45" s="135">
        <v>1</v>
      </c>
      <c r="V45" s="135">
        <v>0</v>
      </c>
      <c r="W45" s="236"/>
      <c r="X45" s="236"/>
      <c r="Y45" s="136"/>
      <c r="Z45" s="137">
        <v>0</v>
      </c>
      <c r="AA45" s="135">
        <v>0.1</v>
      </c>
      <c r="AB45" s="134"/>
      <c r="AC45" s="138"/>
      <c r="AD45" s="159"/>
      <c r="AE45" s="240">
        <v>0</v>
      </c>
      <c r="AF45" s="165"/>
      <c r="AG45" s="166"/>
      <c r="AH45" s="166"/>
      <c r="AI45" s="166"/>
      <c r="AJ45" s="166"/>
      <c r="AK45" s="166"/>
      <c r="AL45" s="166"/>
      <c r="AM45" s="166"/>
      <c r="AN45" s="166"/>
      <c r="AO45" s="166"/>
      <c r="AP45" s="166"/>
      <c r="AQ45" s="166"/>
      <c r="AR45" s="166"/>
      <c r="AS45" s="166"/>
      <c r="AT45" s="166"/>
      <c r="AU45" s="166"/>
      <c r="AV45" s="166"/>
      <c r="AW45" s="166"/>
      <c r="AX45" s="166"/>
      <c r="AY45" s="166"/>
      <c r="AZ45" s="166"/>
      <c r="BA45" s="166"/>
      <c r="BB45" s="166"/>
      <c r="BC45" s="166"/>
      <c r="BD45" s="166"/>
      <c r="BE45" s="166"/>
      <c r="BF45" s="166"/>
      <c r="BG45" s="166"/>
      <c r="BH45" s="166"/>
      <c r="BI45" s="166"/>
      <c r="BJ45" s="166"/>
      <c r="BK45" s="166"/>
      <c r="BL45" s="166"/>
      <c r="BM45" s="166"/>
      <c r="BN45" s="166"/>
      <c r="BO45" s="166"/>
      <c r="BP45" s="166"/>
      <c r="BQ45" s="166"/>
      <c r="BR45" s="166"/>
      <c r="BS45" s="166"/>
      <c r="BT45" s="166"/>
      <c r="BU45" s="166"/>
      <c r="BV45" s="166"/>
      <c r="BW45" s="166"/>
      <c r="BX45" s="166"/>
      <c r="BY45" s="166"/>
      <c r="BZ45" s="166"/>
      <c r="CA45" s="166"/>
      <c r="CB45" s="166"/>
      <c r="CC45" s="166"/>
      <c r="CD45" s="166"/>
      <c r="CE45" s="166"/>
      <c r="CF45" s="166"/>
      <c r="CG45" s="166"/>
    </row>
    <row r="46" spans="1:85" ht="12" customHeight="1">
      <c r="A46" s="133"/>
      <c r="B46" s="133"/>
      <c r="C46" s="133">
        <v>4</v>
      </c>
      <c r="D46" s="160"/>
      <c r="E46" s="134"/>
      <c r="F46" s="134"/>
      <c r="G46" s="134"/>
      <c r="H46" s="134" t="s">
        <v>1644</v>
      </c>
      <c r="I46" s="134"/>
      <c r="J46" s="134"/>
      <c r="K46" s="134"/>
      <c r="L46" s="134"/>
      <c r="M46" s="134"/>
      <c r="N46" s="134"/>
      <c r="O46" s="134"/>
      <c r="P46" s="236">
        <v>45876</v>
      </c>
      <c r="Q46" s="236">
        <v>45876</v>
      </c>
      <c r="R46" s="134"/>
      <c r="S46" s="135">
        <v>1</v>
      </c>
      <c r="T46" s="135">
        <v>0</v>
      </c>
      <c r="U46" s="135">
        <v>1</v>
      </c>
      <c r="V46" s="135">
        <v>0</v>
      </c>
      <c r="W46" s="236"/>
      <c r="X46" s="236"/>
      <c r="Y46" s="136"/>
      <c r="Z46" s="137">
        <v>0</v>
      </c>
      <c r="AA46" s="135">
        <v>0.1</v>
      </c>
      <c r="AB46" s="134"/>
      <c r="AC46" s="138"/>
      <c r="AD46" s="159"/>
      <c r="AE46" s="240">
        <v>0</v>
      </c>
      <c r="AF46" s="165"/>
      <c r="AG46" s="166"/>
      <c r="AH46" s="166"/>
      <c r="AI46" s="166"/>
      <c r="AJ46" s="166"/>
      <c r="AK46" s="166"/>
      <c r="AL46" s="166"/>
      <c r="AM46" s="166"/>
      <c r="AN46" s="166"/>
      <c r="AO46" s="166"/>
      <c r="AP46" s="166"/>
      <c r="AQ46" s="166"/>
      <c r="AR46" s="166"/>
      <c r="AS46" s="166"/>
      <c r="AT46" s="166"/>
      <c r="AU46" s="166"/>
      <c r="AV46" s="166"/>
      <c r="AW46" s="166"/>
      <c r="AX46" s="166"/>
      <c r="AY46" s="166"/>
      <c r="AZ46" s="166"/>
      <c r="BA46" s="166"/>
      <c r="BB46" s="166"/>
      <c r="BC46" s="166"/>
      <c r="BD46" s="166"/>
      <c r="BE46" s="166"/>
      <c r="BF46" s="166"/>
      <c r="BG46" s="166"/>
      <c r="BH46" s="166"/>
      <c r="BI46" s="166"/>
      <c r="BJ46" s="166"/>
      <c r="BK46" s="166"/>
      <c r="BL46" s="166"/>
      <c r="BM46" s="166"/>
      <c r="BN46" s="166"/>
      <c r="BO46" s="166"/>
      <c r="BP46" s="166"/>
      <c r="BQ46" s="166"/>
      <c r="BR46" s="166"/>
      <c r="BS46" s="166"/>
      <c r="BT46" s="166"/>
      <c r="BU46" s="166"/>
      <c r="BV46" s="166"/>
      <c r="BW46" s="166"/>
      <c r="BX46" s="166"/>
      <c r="BY46" s="166"/>
      <c r="BZ46" s="166"/>
      <c r="CA46" s="166"/>
      <c r="CB46" s="166"/>
      <c r="CC46" s="166"/>
      <c r="CD46" s="166"/>
      <c r="CE46" s="166"/>
      <c r="CF46" s="166"/>
      <c r="CG46" s="166"/>
    </row>
    <row r="47" spans="1:85" ht="12" customHeight="1">
      <c r="A47" s="133"/>
      <c r="B47" s="133"/>
      <c r="C47" s="133">
        <v>4</v>
      </c>
      <c r="D47" s="160"/>
      <c r="E47" s="134"/>
      <c r="F47" s="134"/>
      <c r="G47" s="134"/>
      <c r="H47" s="134" t="s">
        <v>1645</v>
      </c>
      <c r="I47" s="134"/>
      <c r="J47" s="134"/>
      <c r="K47" s="134"/>
      <c r="L47" s="134"/>
      <c r="M47" s="134"/>
      <c r="N47" s="134"/>
      <c r="O47" s="134"/>
      <c r="P47" s="236">
        <v>45883</v>
      </c>
      <c r="Q47" s="236">
        <v>45883</v>
      </c>
      <c r="R47" s="134"/>
      <c r="S47" s="135">
        <v>1</v>
      </c>
      <c r="T47" s="135">
        <v>0</v>
      </c>
      <c r="U47" s="135">
        <v>1</v>
      </c>
      <c r="V47" s="135">
        <v>0</v>
      </c>
      <c r="W47" s="236"/>
      <c r="X47" s="236"/>
      <c r="Y47" s="136"/>
      <c r="Z47" s="137">
        <v>0</v>
      </c>
      <c r="AA47" s="135">
        <v>0.1</v>
      </c>
      <c r="AB47" s="134"/>
      <c r="AC47" s="138"/>
      <c r="AD47" s="159"/>
      <c r="AE47" s="240">
        <v>0</v>
      </c>
      <c r="AF47" s="165"/>
      <c r="AG47" s="166"/>
      <c r="AH47" s="166"/>
      <c r="AI47" s="166"/>
      <c r="AJ47" s="166"/>
      <c r="AK47" s="166"/>
      <c r="AL47" s="166"/>
      <c r="AM47" s="166"/>
      <c r="AN47" s="166"/>
      <c r="AO47" s="166"/>
      <c r="AP47" s="166"/>
      <c r="AQ47" s="166"/>
      <c r="AR47" s="166"/>
      <c r="AS47" s="166"/>
      <c r="AT47" s="166"/>
      <c r="AU47" s="166"/>
      <c r="AV47" s="166"/>
      <c r="AW47" s="166"/>
      <c r="AX47" s="166"/>
      <c r="AY47" s="166"/>
      <c r="AZ47" s="166"/>
      <c r="BA47" s="166"/>
      <c r="BB47" s="166"/>
      <c r="BC47" s="166"/>
      <c r="BD47" s="166"/>
      <c r="BE47" s="166"/>
      <c r="BF47" s="166"/>
      <c r="BG47" s="166"/>
      <c r="BH47" s="166"/>
      <c r="BI47" s="166"/>
      <c r="BJ47" s="166"/>
      <c r="BK47" s="166"/>
      <c r="BL47" s="166"/>
      <c r="BM47" s="166"/>
      <c r="BN47" s="166"/>
      <c r="BO47" s="166"/>
      <c r="BP47" s="166"/>
      <c r="BQ47" s="166"/>
      <c r="BR47" s="166"/>
      <c r="BS47" s="166"/>
      <c r="BT47" s="166"/>
      <c r="BU47" s="166"/>
      <c r="BV47" s="166"/>
      <c r="BW47" s="166"/>
      <c r="BX47" s="166"/>
      <c r="BY47" s="166"/>
      <c r="BZ47" s="166"/>
      <c r="CA47" s="166"/>
      <c r="CB47" s="166"/>
      <c r="CC47" s="166"/>
      <c r="CD47" s="166"/>
      <c r="CE47" s="166"/>
      <c r="CF47" s="166"/>
      <c r="CG47" s="166"/>
    </row>
    <row r="48" spans="1:85" ht="12" customHeight="1">
      <c r="A48" s="133"/>
      <c r="B48" s="133"/>
      <c r="C48" s="133">
        <v>4</v>
      </c>
      <c r="D48" s="160"/>
      <c r="E48" s="134"/>
      <c r="F48" s="134"/>
      <c r="G48" s="134"/>
      <c r="H48" s="134" t="s">
        <v>1646</v>
      </c>
      <c r="I48" s="134"/>
      <c r="J48" s="134"/>
      <c r="K48" s="134"/>
      <c r="L48" s="134"/>
      <c r="M48" s="134"/>
      <c r="N48" s="134"/>
      <c r="O48" s="134"/>
      <c r="P48" s="236">
        <v>45890</v>
      </c>
      <c r="Q48" s="236">
        <v>45890</v>
      </c>
      <c r="R48" s="134"/>
      <c r="S48" s="135">
        <v>1</v>
      </c>
      <c r="T48" s="135">
        <v>0</v>
      </c>
      <c r="U48" s="135">
        <v>1</v>
      </c>
      <c r="V48" s="135">
        <v>0</v>
      </c>
      <c r="W48" s="236"/>
      <c r="X48" s="236"/>
      <c r="Y48" s="136"/>
      <c r="Z48" s="137">
        <v>0</v>
      </c>
      <c r="AA48" s="135">
        <v>0.1</v>
      </c>
      <c r="AB48" s="134"/>
      <c r="AC48" s="138"/>
      <c r="AD48" s="159"/>
      <c r="AE48" s="240">
        <v>0</v>
      </c>
      <c r="AF48" s="165"/>
      <c r="AG48" s="166"/>
      <c r="AH48" s="166"/>
      <c r="AI48" s="166"/>
      <c r="AJ48" s="166"/>
      <c r="AK48" s="166"/>
      <c r="AL48" s="166"/>
      <c r="AM48" s="166"/>
      <c r="AN48" s="166"/>
      <c r="AO48" s="166"/>
      <c r="AP48" s="166"/>
      <c r="AQ48" s="166"/>
      <c r="AR48" s="166"/>
      <c r="AS48" s="166"/>
      <c r="AT48" s="166"/>
      <c r="AU48" s="166"/>
      <c r="AV48" s="166"/>
      <c r="AW48" s="166"/>
      <c r="AX48" s="166"/>
      <c r="AY48" s="166"/>
      <c r="AZ48" s="166"/>
      <c r="BA48" s="166"/>
      <c r="BB48" s="166"/>
      <c r="BC48" s="166"/>
      <c r="BD48" s="166"/>
      <c r="BE48" s="166"/>
      <c r="BF48" s="166"/>
      <c r="BG48" s="166"/>
      <c r="BH48" s="166"/>
      <c r="BI48" s="166"/>
      <c r="BJ48" s="166"/>
      <c r="BK48" s="166"/>
      <c r="BL48" s="166"/>
      <c r="BM48" s="166"/>
      <c r="BN48" s="166"/>
      <c r="BO48" s="166"/>
      <c r="BP48" s="166"/>
      <c r="BQ48" s="166"/>
      <c r="BR48" s="166"/>
      <c r="BS48" s="166"/>
      <c r="BT48" s="166"/>
      <c r="BU48" s="166"/>
      <c r="BV48" s="166"/>
      <c r="BW48" s="166"/>
      <c r="BX48" s="166"/>
      <c r="BY48" s="166"/>
      <c r="BZ48" s="166"/>
      <c r="CA48" s="166"/>
      <c r="CB48" s="166"/>
      <c r="CC48" s="166"/>
      <c r="CD48" s="166"/>
      <c r="CE48" s="166"/>
      <c r="CF48" s="166"/>
      <c r="CG48" s="166"/>
    </row>
    <row r="49" spans="1:85" ht="12" customHeight="1">
      <c r="A49" s="133"/>
      <c r="B49" s="133"/>
      <c r="C49" s="133">
        <v>4</v>
      </c>
      <c r="D49" s="160"/>
      <c r="E49" s="134"/>
      <c r="F49" s="134"/>
      <c r="G49" s="134"/>
      <c r="H49" s="134" t="s">
        <v>1647</v>
      </c>
      <c r="I49" s="134"/>
      <c r="J49" s="134"/>
      <c r="K49" s="134"/>
      <c r="L49" s="134"/>
      <c r="M49" s="134"/>
      <c r="N49" s="134"/>
      <c r="O49" s="134"/>
      <c r="P49" s="236">
        <v>45897</v>
      </c>
      <c r="Q49" s="236">
        <v>45897</v>
      </c>
      <c r="R49" s="134"/>
      <c r="S49" s="135">
        <v>1</v>
      </c>
      <c r="T49" s="135">
        <v>0</v>
      </c>
      <c r="U49" s="135">
        <v>1</v>
      </c>
      <c r="V49" s="135">
        <v>0</v>
      </c>
      <c r="W49" s="236"/>
      <c r="X49" s="236"/>
      <c r="Y49" s="136"/>
      <c r="Z49" s="137">
        <v>0</v>
      </c>
      <c r="AA49" s="135">
        <v>0.1</v>
      </c>
      <c r="AB49" s="134"/>
      <c r="AC49" s="138"/>
      <c r="AD49" s="159"/>
      <c r="AE49" s="240">
        <v>0</v>
      </c>
      <c r="AF49" s="165"/>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6"/>
      <c r="BG49" s="166"/>
      <c r="BH49" s="166"/>
      <c r="BI49" s="166"/>
      <c r="BJ49" s="166"/>
      <c r="BK49" s="166"/>
      <c r="BL49" s="166"/>
      <c r="BM49" s="166"/>
      <c r="BN49" s="166"/>
      <c r="BO49" s="166"/>
      <c r="BP49" s="166"/>
      <c r="BQ49" s="166"/>
      <c r="BR49" s="166"/>
      <c r="BS49" s="166"/>
      <c r="BT49" s="166"/>
      <c r="BU49" s="166"/>
      <c r="BV49" s="166"/>
      <c r="BW49" s="166"/>
      <c r="BX49" s="166"/>
      <c r="BY49" s="166"/>
      <c r="BZ49" s="166"/>
      <c r="CA49" s="166"/>
      <c r="CB49" s="166"/>
      <c r="CC49" s="166"/>
      <c r="CD49" s="166"/>
      <c r="CE49" s="166"/>
      <c r="CF49" s="166"/>
      <c r="CG49" s="166"/>
    </row>
    <row r="50" spans="1:85" ht="12" customHeight="1">
      <c r="A50" s="133"/>
      <c r="B50" s="133"/>
      <c r="C50" s="133">
        <v>4</v>
      </c>
      <c r="D50" s="160"/>
      <c r="E50" s="134"/>
      <c r="F50" s="134"/>
      <c r="G50" s="134"/>
      <c r="H50" s="134" t="s">
        <v>1648</v>
      </c>
      <c r="I50" s="134"/>
      <c r="J50" s="134"/>
      <c r="K50" s="134"/>
      <c r="L50" s="134"/>
      <c r="M50" s="134"/>
      <c r="N50" s="134"/>
      <c r="O50" s="134"/>
      <c r="P50" s="236">
        <v>45904</v>
      </c>
      <c r="Q50" s="236">
        <v>45904</v>
      </c>
      <c r="R50" s="134"/>
      <c r="S50" s="135">
        <v>1</v>
      </c>
      <c r="T50" s="135">
        <v>0</v>
      </c>
      <c r="U50" s="135">
        <v>1</v>
      </c>
      <c r="V50" s="135">
        <v>0</v>
      </c>
      <c r="W50" s="236"/>
      <c r="X50" s="236"/>
      <c r="Y50" s="136"/>
      <c r="Z50" s="137">
        <v>0</v>
      </c>
      <c r="AA50" s="135">
        <v>0.1</v>
      </c>
      <c r="AB50" s="134"/>
      <c r="AC50" s="138"/>
      <c r="AD50" s="159"/>
      <c r="AE50" s="240">
        <v>0</v>
      </c>
      <c r="AF50" s="165"/>
      <c r="AG50" s="166"/>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6"/>
      <c r="BG50" s="166"/>
      <c r="BH50" s="166"/>
      <c r="BI50" s="166"/>
      <c r="BJ50" s="166"/>
      <c r="BK50" s="166"/>
      <c r="BL50" s="166"/>
      <c r="BM50" s="166"/>
      <c r="BN50" s="166"/>
      <c r="BO50" s="166"/>
      <c r="BP50" s="166"/>
      <c r="BQ50" s="166"/>
      <c r="BR50" s="166"/>
      <c r="BS50" s="166"/>
      <c r="BT50" s="166"/>
      <c r="BU50" s="166"/>
      <c r="BV50" s="166"/>
      <c r="BW50" s="166"/>
      <c r="BX50" s="166"/>
      <c r="BY50" s="166"/>
      <c r="BZ50" s="166"/>
      <c r="CA50" s="166"/>
      <c r="CB50" s="166"/>
      <c r="CC50" s="166"/>
      <c r="CD50" s="166"/>
      <c r="CE50" s="166"/>
      <c r="CF50" s="166"/>
      <c r="CG50" s="166"/>
    </row>
    <row r="51" spans="1:85" ht="12" customHeight="1">
      <c r="A51" s="133"/>
      <c r="B51" s="133"/>
      <c r="C51" s="133">
        <v>4</v>
      </c>
      <c r="D51" s="160"/>
      <c r="E51" s="134"/>
      <c r="F51" s="134"/>
      <c r="G51" s="134"/>
      <c r="H51" s="134" t="s">
        <v>1649</v>
      </c>
      <c r="I51" s="134"/>
      <c r="J51" s="134"/>
      <c r="K51" s="134"/>
      <c r="L51" s="134"/>
      <c r="M51" s="134"/>
      <c r="N51" s="134"/>
      <c r="O51" s="134"/>
      <c r="P51" s="236">
        <v>45911</v>
      </c>
      <c r="Q51" s="236">
        <v>45911</v>
      </c>
      <c r="R51" s="134"/>
      <c r="S51" s="135">
        <v>1</v>
      </c>
      <c r="T51" s="135">
        <v>0</v>
      </c>
      <c r="U51" s="135">
        <v>1</v>
      </c>
      <c r="V51" s="135">
        <v>0</v>
      </c>
      <c r="W51" s="236"/>
      <c r="X51" s="236"/>
      <c r="Y51" s="136"/>
      <c r="Z51" s="137">
        <v>0</v>
      </c>
      <c r="AA51" s="135">
        <v>0.1</v>
      </c>
      <c r="AB51" s="134"/>
      <c r="AC51" s="138"/>
      <c r="AD51" s="159"/>
      <c r="AE51" s="240">
        <v>0</v>
      </c>
      <c r="AF51" s="165"/>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6"/>
      <c r="BG51" s="166"/>
      <c r="BH51" s="166"/>
      <c r="BI51" s="166"/>
      <c r="BJ51" s="166"/>
      <c r="BK51" s="166"/>
      <c r="BL51" s="166"/>
      <c r="BM51" s="166"/>
      <c r="BN51" s="166"/>
      <c r="BO51" s="166"/>
      <c r="BP51" s="166"/>
      <c r="BQ51" s="166"/>
      <c r="BR51" s="166"/>
      <c r="BS51" s="166"/>
      <c r="BT51" s="166"/>
      <c r="BU51" s="166"/>
      <c r="BV51" s="166"/>
      <c r="BW51" s="166"/>
      <c r="BX51" s="166"/>
      <c r="BY51" s="166"/>
      <c r="BZ51" s="166"/>
      <c r="CA51" s="166"/>
      <c r="CB51" s="166"/>
      <c r="CC51" s="166"/>
      <c r="CD51" s="166"/>
      <c r="CE51" s="166"/>
      <c r="CF51" s="166"/>
      <c r="CG51" s="166"/>
    </row>
    <row r="52" spans="1:85" ht="12" customHeight="1">
      <c r="A52" s="133"/>
      <c r="B52" s="133"/>
      <c r="C52" s="133">
        <v>4</v>
      </c>
      <c r="D52" s="160"/>
      <c r="E52" s="134"/>
      <c r="F52" s="134"/>
      <c r="G52" s="134"/>
      <c r="H52" s="134" t="s">
        <v>1650</v>
      </c>
      <c r="I52" s="134"/>
      <c r="J52" s="134"/>
      <c r="K52" s="134"/>
      <c r="L52" s="134"/>
      <c r="M52" s="134"/>
      <c r="N52" s="134"/>
      <c r="O52" s="134"/>
      <c r="P52" s="236">
        <v>45918</v>
      </c>
      <c r="Q52" s="236">
        <v>45918</v>
      </c>
      <c r="R52" s="134"/>
      <c r="S52" s="135">
        <v>1</v>
      </c>
      <c r="T52" s="135">
        <v>0</v>
      </c>
      <c r="U52" s="135">
        <v>1</v>
      </c>
      <c r="V52" s="135">
        <v>0</v>
      </c>
      <c r="W52" s="236"/>
      <c r="X52" s="236"/>
      <c r="Y52" s="136"/>
      <c r="Z52" s="137">
        <v>0</v>
      </c>
      <c r="AA52" s="135">
        <v>0.1</v>
      </c>
      <c r="AB52" s="134"/>
      <c r="AC52" s="138"/>
      <c r="AD52" s="159"/>
      <c r="AE52" s="240">
        <v>0</v>
      </c>
      <c r="AF52" s="165"/>
      <c r="AG52" s="166"/>
      <c r="AH52" s="166"/>
      <c r="AI52" s="166"/>
      <c r="AJ52" s="166"/>
      <c r="AK52" s="166"/>
      <c r="AL52" s="166"/>
      <c r="AM52" s="166"/>
      <c r="AN52" s="166"/>
      <c r="AO52" s="166"/>
      <c r="AP52" s="166"/>
      <c r="AQ52" s="166"/>
      <c r="AR52" s="166"/>
      <c r="AS52" s="166"/>
      <c r="AT52" s="166"/>
      <c r="AU52" s="166"/>
      <c r="AV52" s="166"/>
      <c r="AW52" s="166"/>
      <c r="AX52" s="166"/>
      <c r="AY52" s="166"/>
      <c r="AZ52" s="166"/>
      <c r="BA52" s="166"/>
      <c r="BB52" s="166"/>
      <c r="BC52" s="166"/>
      <c r="BD52" s="166"/>
      <c r="BE52" s="166"/>
      <c r="BF52" s="166"/>
      <c r="BG52" s="166"/>
      <c r="BH52" s="166"/>
      <c r="BI52" s="166"/>
      <c r="BJ52" s="166"/>
      <c r="BK52" s="166"/>
      <c r="BL52" s="166"/>
      <c r="BM52" s="166"/>
      <c r="BN52" s="166"/>
      <c r="BO52" s="166"/>
      <c r="BP52" s="166"/>
      <c r="BQ52" s="166"/>
      <c r="BR52" s="166"/>
      <c r="BS52" s="166"/>
      <c r="BT52" s="166"/>
      <c r="BU52" s="166"/>
      <c r="BV52" s="166"/>
      <c r="BW52" s="166"/>
      <c r="BX52" s="166"/>
      <c r="BY52" s="166"/>
      <c r="BZ52" s="166"/>
      <c r="CA52" s="166"/>
      <c r="CB52" s="166"/>
      <c r="CC52" s="166"/>
      <c r="CD52" s="166"/>
      <c r="CE52" s="166"/>
      <c r="CF52" s="166"/>
      <c r="CG52" s="166"/>
    </row>
    <row r="53" spans="1:85" ht="12" customHeight="1">
      <c r="A53" s="133"/>
      <c r="B53" s="133"/>
      <c r="C53" s="133">
        <v>4</v>
      </c>
      <c r="D53" s="160"/>
      <c r="E53" s="134"/>
      <c r="F53" s="134"/>
      <c r="G53" s="134"/>
      <c r="H53" s="134" t="s">
        <v>1651</v>
      </c>
      <c r="I53" s="134"/>
      <c r="J53" s="134"/>
      <c r="K53" s="134"/>
      <c r="L53" s="134"/>
      <c r="M53" s="134"/>
      <c r="N53" s="134"/>
      <c r="O53" s="134"/>
      <c r="P53" s="236">
        <v>45925</v>
      </c>
      <c r="Q53" s="236">
        <v>45925</v>
      </c>
      <c r="R53" s="134"/>
      <c r="S53" s="135">
        <v>1</v>
      </c>
      <c r="T53" s="135">
        <v>0</v>
      </c>
      <c r="U53" s="135">
        <v>1</v>
      </c>
      <c r="V53" s="135">
        <v>0</v>
      </c>
      <c r="W53" s="236"/>
      <c r="X53" s="236"/>
      <c r="Y53" s="136"/>
      <c r="Z53" s="137">
        <v>0</v>
      </c>
      <c r="AA53" s="135">
        <v>0.1</v>
      </c>
      <c r="AB53" s="134"/>
      <c r="AC53" s="138"/>
      <c r="AD53" s="159"/>
      <c r="AE53" s="240">
        <v>0</v>
      </c>
      <c r="AF53" s="165"/>
      <c r="AG53" s="166"/>
      <c r="AH53" s="166"/>
      <c r="AI53" s="166"/>
      <c r="AJ53" s="166"/>
      <c r="AK53" s="166"/>
      <c r="AL53" s="166"/>
      <c r="AM53" s="166"/>
      <c r="AN53" s="166"/>
      <c r="AO53" s="166"/>
      <c r="AP53" s="166"/>
      <c r="AQ53" s="166"/>
      <c r="AR53" s="166"/>
      <c r="AS53" s="166"/>
      <c r="AT53" s="166"/>
      <c r="AU53" s="166"/>
      <c r="AV53" s="166"/>
      <c r="AW53" s="166"/>
      <c r="AX53" s="166"/>
      <c r="AY53" s="166"/>
      <c r="AZ53" s="166"/>
      <c r="BA53" s="166"/>
      <c r="BB53" s="166"/>
      <c r="BC53" s="166"/>
      <c r="BD53" s="166"/>
      <c r="BE53" s="166"/>
      <c r="BF53" s="166"/>
      <c r="BG53" s="166"/>
      <c r="BH53" s="166"/>
      <c r="BI53" s="166"/>
      <c r="BJ53" s="166"/>
      <c r="BK53" s="166"/>
      <c r="BL53" s="166"/>
      <c r="BM53" s="166"/>
      <c r="BN53" s="166"/>
      <c r="BO53" s="166"/>
      <c r="BP53" s="166"/>
      <c r="BQ53" s="166"/>
      <c r="BR53" s="166"/>
      <c r="BS53" s="166"/>
      <c r="BT53" s="166"/>
      <c r="BU53" s="166"/>
      <c r="BV53" s="166"/>
      <c r="BW53" s="166"/>
      <c r="BX53" s="166"/>
      <c r="BY53" s="166"/>
      <c r="BZ53" s="166"/>
      <c r="CA53" s="166"/>
      <c r="CB53" s="166"/>
      <c r="CC53" s="166"/>
      <c r="CD53" s="166"/>
      <c r="CE53" s="166"/>
      <c r="CF53" s="166"/>
      <c r="CG53" s="166"/>
    </row>
    <row r="54" spans="1:85" ht="12" customHeight="1">
      <c r="A54" s="133"/>
      <c r="B54" s="133"/>
      <c r="C54" s="133">
        <v>4</v>
      </c>
      <c r="D54" s="160"/>
      <c r="E54" s="134"/>
      <c r="F54" s="134"/>
      <c r="G54" s="134"/>
      <c r="H54" s="134" t="s">
        <v>1652</v>
      </c>
      <c r="I54" s="134"/>
      <c r="J54" s="134"/>
      <c r="K54" s="134"/>
      <c r="L54" s="134"/>
      <c r="M54" s="134"/>
      <c r="N54" s="134"/>
      <c r="O54" s="134"/>
      <c r="P54" s="236">
        <v>45932</v>
      </c>
      <c r="Q54" s="236">
        <v>45932</v>
      </c>
      <c r="R54" s="134"/>
      <c r="S54" s="135">
        <v>1</v>
      </c>
      <c r="T54" s="135">
        <v>0</v>
      </c>
      <c r="U54" s="135">
        <v>1</v>
      </c>
      <c r="V54" s="135">
        <v>0</v>
      </c>
      <c r="W54" s="236"/>
      <c r="X54" s="236"/>
      <c r="Y54" s="136"/>
      <c r="Z54" s="137">
        <v>0</v>
      </c>
      <c r="AA54" s="135">
        <v>0.1</v>
      </c>
      <c r="AB54" s="134"/>
      <c r="AC54" s="138"/>
      <c r="AD54" s="159"/>
      <c r="AE54" s="240">
        <v>0</v>
      </c>
      <c r="AF54" s="165"/>
      <c r="AG54" s="166"/>
      <c r="AH54" s="166"/>
      <c r="AI54" s="166"/>
      <c r="AJ54" s="166"/>
      <c r="AK54" s="166"/>
      <c r="AL54" s="166"/>
      <c r="AM54" s="166"/>
      <c r="AN54" s="166"/>
      <c r="AO54" s="166"/>
      <c r="AP54" s="166"/>
      <c r="AQ54" s="166"/>
      <c r="AR54" s="166"/>
      <c r="AS54" s="166"/>
      <c r="AT54" s="166"/>
      <c r="AU54" s="166"/>
      <c r="AV54" s="166"/>
      <c r="AW54" s="166"/>
      <c r="AX54" s="166"/>
      <c r="AY54" s="166"/>
      <c r="AZ54" s="166"/>
      <c r="BA54" s="166"/>
      <c r="BB54" s="166"/>
      <c r="BC54" s="166"/>
      <c r="BD54" s="166"/>
      <c r="BE54" s="166"/>
      <c r="BF54" s="166"/>
      <c r="BG54" s="166"/>
      <c r="BH54" s="166"/>
      <c r="BI54" s="166"/>
      <c r="BJ54" s="166"/>
      <c r="BK54" s="166"/>
      <c r="BL54" s="166"/>
      <c r="BM54" s="166"/>
      <c r="BN54" s="166"/>
      <c r="BO54" s="166"/>
      <c r="BP54" s="166"/>
      <c r="BQ54" s="166"/>
      <c r="BR54" s="166"/>
      <c r="BS54" s="166"/>
      <c r="BT54" s="166"/>
      <c r="BU54" s="166"/>
      <c r="BV54" s="166"/>
      <c r="BW54" s="166"/>
      <c r="BX54" s="166"/>
      <c r="BY54" s="166"/>
      <c r="BZ54" s="166"/>
      <c r="CA54" s="166"/>
      <c r="CB54" s="166"/>
      <c r="CC54" s="166"/>
      <c r="CD54" s="166"/>
      <c r="CE54" s="166"/>
      <c r="CF54" s="166"/>
      <c r="CG54" s="166"/>
    </row>
    <row r="55" spans="1:85" ht="12" customHeight="1">
      <c r="A55" s="133">
        <v>1</v>
      </c>
      <c r="B55" s="133"/>
      <c r="C55" s="133">
        <v>4</v>
      </c>
      <c r="D55" s="160"/>
      <c r="E55" s="134"/>
      <c r="F55" s="134"/>
      <c r="G55" s="134"/>
      <c r="H55" s="134" t="s">
        <v>1653</v>
      </c>
      <c r="I55" s="134"/>
      <c r="J55" s="134"/>
      <c r="K55" s="134"/>
      <c r="L55" s="134"/>
      <c r="M55" s="134"/>
      <c r="N55" s="134"/>
      <c r="O55" s="134"/>
      <c r="P55" s="236">
        <v>45940</v>
      </c>
      <c r="Q55" s="236">
        <v>45940</v>
      </c>
      <c r="R55" s="134"/>
      <c r="S55" s="135">
        <v>1</v>
      </c>
      <c r="T55" s="135">
        <v>0</v>
      </c>
      <c r="U55" s="135">
        <v>1</v>
      </c>
      <c r="V55" s="135">
        <v>0</v>
      </c>
      <c r="W55" s="236"/>
      <c r="X55" s="236"/>
      <c r="Y55" s="136"/>
      <c r="Z55" s="137">
        <v>0</v>
      </c>
      <c r="AA55" s="135">
        <v>0.1</v>
      </c>
      <c r="AB55" s="134"/>
      <c r="AC55" s="138"/>
      <c r="AD55" s="159"/>
      <c r="AE55" s="240">
        <v>0</v>
      </c>
      <c r="AF55" s="165"/>
      <c r="AG55" s="166"/>
      <c r="AH55" s="166"/>
      <c r="AI55" s="166"/>
      <c r="AJ55" s="166"/>
      <c r="AK55" s="166"/>
      <c r="AL55" s="166"/>
      <c r="AM55" s="166"/>
      <c r="AN55" s="166"/>
      <c r="AO55" s="166"/>
      <c r="AP55" s="166"/>
      <c r="AQ55" s="166"/>
      <c r="AR55" s="166"/>
      <c r="AS55" s="166"/>
      <c r="AT55" s="166"/>
      <c r="AU55" s="166"/>
      <c r="AV55" s="166"/>
      <c r="AW55" s="166"/>
      <c r="AX55" s="166"/>
      <c r="AY55" s="166"/>
      <c r="AZ55" s="166"/>
      <c r="BA55" s="166"/>
      <c r="BB55" s="166"/>
      <c r="BC55" s="166"/>
      <c r="BD55" s="166"/>
      <c r="BE55" s="166"/>
      <c r="BF55" s="166"/>
      <c r="BG55" s="166"/>
      <c r="BH55" s="166"/>
      <c r="BI55" s="166"/>
      <c r="BJ55" s="166"/>
      <c r="BK55" s="166"/>
      <c r="BL55" s="166"/>
      <c r="BM55" s="166"/>
      <c r="BN55" s="166"/>
      <c r="BO55" s="166"/>
      <c r="BP55" s="166"/>
      <c r="BQ55" s="166"/>
      <c r="BR55" s="166"/>
      <c r="BS55" s="166"/>
      <c r="BT55" s="166"/>
      <c r="BU55" s="166"/>
      <c r="BV55" s="166"/>
      <c r="BW55" s="166"/>
      <c r="BX55" s="166"/>
      <c r="BY55" s="166"/>
      <c r="BZ55" s="166"/>
      <c r="CA55" s="166"/>
      <c r="CB55" s="166"/>
      <c r="CC55" s="166"/>
      <c r="CD55" s="166"/>
      <c r="CE55" s="166"/>
      <c r="CF55" s="166"/>
      <c r="CG55" s="166"/>
    </row>
    <row r="56" spans="1:85" ht="12" customHeight="1">
      <c r="A56" s="133"/>
      <c r="B56" s="133"/>
      <c r="C56" s="133">
        <v>4</v>
      </c>
      <c r="D56" s="160"/>
      <c r="E56" s="134"/>
      <c r="F56" s="134"/>
      <c r="G56" s="134"/>
      <c r="H56" s="134" t="s">
        <v>1654</v>
      </c>
      <c r="I56" s="134"/>
      <c r="J56" s="134"/>
      <c r="K56" s="134"/>
      <c r="L56" s="134"/>
      <c r="M56" s="134"/>
      <c r="N56" s="134"/>
      <c r="O56" s="134"/>
      <c r="P56" s="236">
        <v>45946</v>
      </c>
      <c r="Q56" s="236">
        <v>45946</v>
      </c>
      <c r="R56" s="134"/>
      <c r="S56" s="135">
        <v>1</v>
      </c>
      <c r="T56" s="135">
        <v>0</v>
      </c>
      <c r="U56" s="135">
        <v>1</v>
      </c>
      <c r="V56" s="135">
        <v>0</v>
      </c>
      <c r="W56" s="236"/>
      <c r="X56" s="236"/>
      <c r="Y56" s="136"/>
      <c r="Z56" s="137">
        <v>0</v>
      </c>
      <c r="AA56" s="135">
        <v>0.1</v>
      </c>
      <c r="AB56" s="134"/>
      <c r="AC56" s="138"/>
      <c r="AD56" s="159"/>
      <c r="AE56" s="240">
        <v>0</v>
      </c>
      <c r="AF56" s="165"/>
      <c r="AG56" s="166"/>
      <c r="AH56" s="166"/>
      <c r="AI56" s="166"/>
      <c r="AJ56" s="166"/>
      <c r="AK56" s="166"/>
      <c r="AL56" s="166"/>
      <c r="AM56" s="166"/>
      <c r="AN56" s="166"/>
      <c r="AO56" s="166"/>
      <c r="AP56" s="166"/>
      <c r="AQ56" s="166"/>
      <c r="AR56" s="166"/>
      <c r="AS56" s="166"/>
      <c r="AT56" s="166"/>
      <c r="AU56" s="166"/>
      <c r="AV56" s="166"/>
      <c r="AW56" s="166"/>
      <c r="AX56" s="166"/>
      <c r="AY56" s="166"/>
      <c r="AZ56" s="166"/>
      <c r="BA56" s="166"/>
      <c r="BB56" s="166"/>
      <c r="BC56" s="166"/>
      <c r="BD56" s="166"/>
      <c r="BE56" s="166"/>
      <c r="BF56" s="166"/>
      <c r="BG56" s="166"/>
      <c r="BH56" s="166"/>
      <c r="BI56" s="166"/>
      <c r="BJ56" s="166"/>
      <c r="BK56" s="166"/>
      <c r="BL56" s="166"/>
      <c r="BM56" s="166"/>
      <c r="BN56" s="166"/>
      <c r="BO56" s="166"/>
      <c r="BP56" s="166"/>
      <c r="BQ56" s="166"/>
      <c r="BR56" s="166"/>
      <c r="BS56" s="166"/>
      <c r="BT56" s="166"/>
      <c r="BU56" s="166"/>
      <c r="BV56" s="166"/>
      <c r="BW56" s="166"/>
      <c r="BX56" s="166"/>
      <c r="BY56" s="166"/>
      <c r="BZ56" s="166"/>
      <c r="CA56" s="166"/>
      <c r="CB56" s="166"/>
      <c r="CC56" s="166"/>
      <c r="CD56" s="166"/>
      <c r="CE56" s="166"/>
      <c r="CF56" s="166"/>
      <c r="CG56" s="166"/>
    </row>
    <row r="57" spans="1:85" ht="12" customHeight="1">
      <c r="A57" s="133"/>
      <c r="B57" s="133"/>
      <c r="C57" s="133">
        <v>4</v>
      </c>
      <c r="D57" s="160"/>
      <c r="E57" s="134"/>
      <c r="F57" s="134"/>
      <c r="G57" s="134"/>
      <c r="H57" s="134" t="s">
        <v>1655</v>
      </c>
      <c r="I57" s="134"/>
      <c r="J57" s="134"/>
      <c r="K57" s="134"/>
      <c r="L57" s="134"/>
      <c r="M57" s="134"/>
      <c r="N57" s="134"/>
      <c r="O57" s="134"/>
      <c r="P57" s="236">
        <v>45953</v>
      </c>
      <c r="Q57" s="236">
        <v>45953</v>
      </c>
      <c r="R57" s="134"/>
      <c r="S57" s="135">
        <v>1</v>
      </c>
      <c r="T57" s="135">
        <v>0</v>
      </c>
      <c r="U57" s="135">
        <v>1</v>
      </c>
      <c r="V57" s="135">
        <v>0</v>
      </c>
      <c r="W57" s="236"/>
      <c r="X57" s="236"/>
      <c r="Y57" s="136"/>
      <c r="Z57" s="137">
        <v>0</v>
      </c>
      <c r="AA57" s="135">
        <v>0.1</v>
      </c>
      <c r="AB57" s="134"/>
      <c r="AC57" s="138"/>
      <c r="AD57" s="159"/>
      <c r="AE57" s="240">
        <v>0</v>
      </c>
      <c r="AF57" s="165"/>
      <c r="AG57" s="166"/>
      <c r="AH57" s="166"/>
      <c r="AI57" s="166"/>
      <c r="AJ57" s="166"/>
      <c r="AK57" s="166"/>
      <c r="AL57" s="166"/>
      <c r="AM57" s="166"/>
      <c r="AN57" s="166"/>
      <c r="AO57" s="166"/>
      <c r="AP57" s="166"/>
      <c r="AQ57" s="166"/>
      <c r="AR57" s="166"/>
      <c r="AS57" s="166"/>
      <c r="AT57" s="166"/>
      <c r="AU57" s="166"/>
      <c r="AV57" s="166"/>
      <c r="AW57" s="166"/>
      <c r="AX57" s="166"/>
      <c r="AY57" s="166"/>
      <c r="AZ57" s="166"/>
      <c r="BA57" s="166"/>
      <c r="BB57" s="166"/>
      <c r="BC57" s="166"/>
      <c r="BD57" s="166"/>
      <c r="BE57" s="166"/>
      <c r="BF57" s="166"/>
      <c r="BG57" s="166"/>
      <c r="BH57" s="166"/>
      <c r="BI57" s="166"/>
      <c r="BJ57" s="166"/>
      <c r="BK57" s="166"/>
      <c r="BL57" s="166"/>
      <c r="BM57" s="166"/>
      <c r="BN57" s="166"/>
      <c r="BO57" s="166"/>
      <c r="BP57" s="166"/>
      <c r="BQ57" s="166"/>
      <c r="BR57" s="166"/>
      <c r="BS57" s="166"/>
      <c r="BT57" s="166"/>
      <c r="BU57" s="166"/>
      <c r="BV57" s="166"/>
      <c r="BW57" s="166"/>
      <c r="BX57" s="166"/>
      <c r="BY57" s="166"/>
      <c r="BZ57" s="166"/>
      <c r="CA57" s="166"/>
      <c r="CB57" s="166"/>
      <c r="CC57" s="166"/>
      <c r="CD57" s="166"/>
      <c r="CE57" s="166"/>
      <c r="CF57" s="166"/>
      <c r="CG57" s="166"/>
    </row>
    <row r="58" spans="1:85" ht="12" customHeight="1">
      <c r="A58" s="133"/>
      <c r="B58" s="133"/>
      <c r="C58" s="133">
        <v>4</v>
      </c>
      <c r="D58" s="160"/>
      <c r="E58" s="134"/>
      <c r="F58" s="134"/>
      <c r="G58" s="134"/>
      <c r="H58" s="134" t="s">
        <v>1656</v>
      </c>
      <c r="I58" s="134"/>
      <c r="J58" s="134"/>
      <c r="K58" s="134"/>
      <c r="L58" s="134"/>
      <c r="M58" s="134"/>
      <c r="N58" s="134"/>
      <c r="O58" s="134"/>
      <c r="P58" s="236">
        <v>45960</v>
      </c>
      <c r="Q58" s="236">
        <v>45960</v>
      </c>
      <c r="R58" s="134"/>
      <c r="S58" s="135">
        <v>1</v>
      </c>
      <c r="T58" s="135">
        <v>0</v>
      </c>
      <c r="U58" s="135">
        <v>1</v>
      </c>
      <c r="V58" s="135">
        <v>0</v>
      </c>
      <c r="W58" s="236"/>
      <c r="X58" s="236"/>
      <c r="Y58" s="136"/>
      <c r="Z58" s="137">
        <v>0</v>
      </c>
      <c r="AA58" s="135">
        <v>0.1</v>
      </c>
      <c r="AB58" s="134"/>
      <c r="AC58" s="138"/>
      <c r="AD58" s="159"/>
      <c r="AE58" s="240">
        <v>0</v>
      </c>
      <c r="AF58" s="165"/>
      <c r="AG58" s="166"/>
      <c r="AH58" s="166"/>
      <c r="AI58" s="166"/>
      <c r="AJ58" s="166"/>
      <c r="AK58" s="166"/>
      <c r="AL58" s="166"/>
      <c r="AM58" s="166"/>
      <c r="AN58" s="166"/>
      <c r="AO58" s="166"/>
      <c r="AP58" s="166"/>
      <c r="AQ58" s="166"/>
      <c r="AR58" s="166"/>
      <c r="AS58" s="166"/>
      <c r="AT58" s="166"/>
      <c r="AU58" s="166"/>
      <c r="AV58" s="166"/>
      <c r="AW58" s="166"/>
      <c r="AX58" s="166"/>
      <c r="AY58" s="166"/>
      <c r="AZ58" s="166"/>
      <c r="BA58" s="166"/>
      <c r="BB58" s="166"/>
      <c r="BC58" s="166"/>
      <c r="BD58" s="166"/>
      <c r="BE58" s="166"/>
      <c r="BF58" s="166"/>
      <c r="BG58" s="166"/>
      <c r="BH58" s="166"/>
      <c r="BI58" s="166"/>
      <c r="BJ58" s="166"/>
      <c r="BK58" s="166"/>
      <c r="BL58" s="166"/>
      <c r="BM58" s="166"/>
      <c r="BN58" s="166"/>
      <c r="BO58" s="166"/>
      <c r="BP58" s="166"/>
      <c r="BQ58" s="166"/>
      <c r="BR58" s="166"/>
      <c r="BS58" s="166"/>
      <c r="BT58" s="166"/>
      <c r="BU58" s="166"/>
      <c r="BV58" s="166"/>
      <c r="BW58" s="166"/>
      <c r="BX58" s="166"/>
      <c r="BY58" s="166"/>
      <c r="BZ58" s="166"/>
      <c r="CA58" s="166"/>
      <c r="CB58" s="166"/>
      <c r="CC58" s="166"/>
      <c r="CD58" s="166"/>
      <c r="CE58" s="166"/>
      <c r="CF58" s="166"/>
      <c r="CG58" s="166"/>
    </row>
    <row r="59" spans="1:85" ht="12" customHeight="1">
      <c r="A59" s="133" t="s">
        <v>1763</v>
      </c>
      <c r="B59" s="133"/>
      <c r="C59" s="133">
        <v>4</v>
      </c>
      <c r="D59" s="160"/>
      <c r="E59" s="134"/>
      <c r="F59" s="134"/>
      <c r="G59" s="134"/>
      <c r="H59" s="134" t="s">
        <v>1657</v>
      </c>
      <c r="I59" s="134"/>
      <c r="J59" s="134"/>
      <c r="K59" s="134"/>
      <c r="L59" s="134"/>
      <c r="M59" s="134"/>
      <c r="N59" s="134"/>
      <c r="O59" s="134"/>
      <c r="P59" s="236">
        <v>45967</v>
      </c>
      <c r="Q59" s="236">
        <v>45967</v>
      </c>
      <c r="R59" s="134"/>
      <c r="S59" s="135">
        <v>1</v>
      </c>
      <c r="T59" s="135">
        <v>0</v>
      </c>
      <c r="U59" s="135">
        <v>1</v>
      </c>
      <c r="V59" s="135">
        <v>0</v>
      </c>
      <c r="W59" s="236"/>
      <c r="X59" s="236"/>
      <c r="Y59" s="136"/>
      <c r="Z59" s="137">
        <v>0</v>
      </c>
      <c r="AA59" s="135">
        <v>0.1</v>
      </c>
      <c r="AB59" s="134"/>
      <c r="AC59" s="138"/>
      <c r="AD59" s="159"/>
      <c r="AE59" s="240">
        <v>0</v>
      </c>
      <c r="AF59" s="165"/>
      <c r="AG59" s="166"/>
      <c r="AH59" s="166"/>
      <c r="AI59" s="166"/>
      <c r="AJ59" s="166"/>
      <c r="AK59" s="166"/>
      <c r="AL59" s="166"/>
      <c r="AM59" s="166"/>
      <c r="AN59" s="166"/>
      <c r="AO59" s="166"/>
      <c r="AP59" s="166"/>
      <c r="AQ59" s="166"/>
      <c r="AR59" s="166"/>
      <c r="AS59" s="166"/>
      <c r="AT59" s="166"/>
      <c r="AU59" s="166"/>
      <c r="AV59" s="166"/>
      <c r="AW59" s="166"/>
      <c r="AX59" s="166"/>
      <c r="AY59" s="166"/>
      <c r="AZ59" s="166"/>
      <c r="BA59" s="166"/>
      <c r="BB59" s="166"/>
      <c r="BC59" s="166"/>
      <c r="BD59" s="166"/>
      <c r="BE59" s="166"/>
      <c r="BF59" s="166"/>
      <c r="BG59" s="166"/>
      <c r="BH59" s="166"/>
      <c r="BI59" s="166"/>
      <c r="BJ59" s="166"/>
      <c r="BK59" s="166"/>
      <c r="BL59" s="166"/>
      <c r="BM59" s="166"/>
      <c r="BN59" s="166"/>
      <c r="BO59" s="166"/>
      <c r="BP59" s="166"/>
      <c r="BQ59" s="166"/>
      <c r="BR59" s="166"/>
      <c r="BS59" s="166"/>
      <c r="BT59" s="166"/>
      <c r="BU59" s="166"/>
      <c r="BV59" s="166"/>
      <c r="BW59" s="166"/>
      <c r="BX59" s="166"/>
      <c r="BY59" s="166"/>
      <c r="BZ59" s="166"/>
      <c r="CA59" s="166"/>
      <c r="CB59" s="166"/>
      <c r="CC59" s="166"/>
      <c r="CD59" s="166"/>
      <c r="CE59" s="166"/>
      <c r="CF59" s="166"/>
      <c r="CG59" s="166"/>
    </row>
    <row r="60" spans="1:85" ht="12" customHeight="1">
      <c r="A60" s="133"/>
      <c r="B60" s="133"/>
      <c r="C60" s="133">
        <v>4</v>
      </c>
      <c r="D60" s="160"/>
      <c r="E60" s="134"/>
      <c r="F60" s="134"/>
      <c r="G60" s="134"/>
      <c r="H60" s="134" t="s">
        <v>1658</v>
      </c>
      <c r="I60" s="134"/>
      <c r="J60" s="134"/>
      <c r="K60" s="134"/>
      <c r="L60" s="134"/>
      <c r="M60" s="134"/>
      <c r="N60" s="134"/>
      <c r="O60" s="134"/>
      <c r="P60" s="236">
        <v>45974</v>
      </c>
      <c r="Q60" s="236">
        <v>45974</v>
      </c>
      <c r="R60" s="134"/>
      <c r="S60" s="135">
        <v>1</v>
      </c>
      <c r="T60" s="135">
        <v>0</v>
      </c>
      <c r="U60" s="135">
        <v>1</v>
      </c>
      <c r="V60" s="135">
        <v>0</v>
      </c>
      <c r="W60" s="236"/>
      <c r="X60" s="236"/>
      <c r="Y60" s="136"/>
      <c r="Z60" s="137">
        <v>0</v>
      </c>
      <c r="AA60" s="135">
        <v>0.1</v>
      </c>
      <c r="AB60" s="134"/>
      <c r="AC60" s="138"/>
      <c r="AD60" s="159"/>
      <c r="AE60" s="240">
        <v>0</v>
      </c>
      <c r="AF60" s="165"/>
      <c r="AG60" s="166"/>
      <c r="AH60" s="166"/>
      <c r="AI60" s="166"/>
      <c r="AJ60" s="166"/>
      <c r="AK60" s="166"/>
      <c r="AL60" s="166"/>
      <c r="AM60" s="166"/>
      <c r="AN60" s="166"/>
      <c r="AO60" s="166"/>
      <c r="AP60" s="166"/>
      <c r="AQ60" s="166"/>
      <c r="AR60" s="166"/>
      <c r="AS60" s="166"/>
      <c r="AT60" s="166"/>
      <c r="AU60" s="166"/>
      <c r="AV60" s="166"/>
      <c r="AW60" s="166"/>
      <c r="AX60" s="166"/>
      <c r="AY60" s="166"/>
      <c r="AZ60" s="166"/>
      <c r="BA60" s="166"/>
      <c r="BB60" s="166"/>
      <c r="BC60" s="166"/>
      <c r="BD60" s="166"/>
      <c r="BE60" s="166"/>
      <c r="BF60" s="166"/>
      <c r="BG60" s="166"/>
      <c r="BH60" s="166"/>
      <c r="BI60" s="166"/>
      <c r="BJ60" s="166"/>
      <c r="BK60" s="166"/>
      <c r="BL60" s="166"/>
      <c r="BM60" s="166"/>
      <c r="BN60" s="166"/>
      <c r="BO60" s="166"/>
      <c r="BP60" s="166"/>
      <c r="BQ60" s="166"/>
      <c r="BR60" s="166"/>
      <c r="BS60" s="166"/>
      <c r="BT60" s="166"/>
      <c r="BU60" s="166"/>
      <c r="BV60" s="166"/>
      <c r="BW60" s="166"/>
      <c r="BX60" s="166"/>
      <c r="BY60" s="166"/>
      <c r="BZ60" s="166"/>
      <c r="CA60" s="166"/>
      <c r="CB60" s="166"/>
      <c r="CC60" s="166"/>
      <c r="CD60" s="166"/>
      <c r="CE60" s="166"/>
      <c r="CF60" s="166"/>
      <c r="CG60" s="166"/>
    </row>
    <row r="61" spans="1:85" ht="12" customHeight="1">
      <c r="A61" s="133"/>
      <c r="B61" s="133"/>
      <c r="C61" s="133">
        <v>4</v>
      </c>
      <c r="D61" s="160"/>
      <c r="E61" s="134"/>
      <c r="F61" s="134"/>
      <c r="G61" s="134"/>
      <c r="H61" s="134" t="s">
        <v>1764</v>
      </c>
      <c r="I61" s="134"/>
      <c r="J61" s="134"/>
      <c r="K61" s="134"/>
      <c r="L61" s="134"/>
      <c r="M61" s="134"/>
      <c r="N61" s="134"/>
      <c r="O61" s="134"/>
      <c r="P61" s="236">
        <v>45981</v>
      </c>
      <c r="Q61" s="236">
        <v>45981</v>
      </c>
      <c r="R61" s="134"/>
      <c r="S61" s="135">
        <v>1</v>
      </c>
      <c r="T61" s="135">
        <v>0</v>
      </c>
      <c r="U61" s="135">
        <v>1</v>
      </c>
      <c r="V61" s="135">
        <v>0</v>
      </c>
      <c r="W61" s="236"/>
      <c r="X61" s="236"/>
      <c r="Y61" s="136"/>
      <c r="Z61" s="137">
        <v>0</v>
      </c>
      <c r="AA61" s="135">
        <v>0.1</v>
      </c>
      <c r="AB61" s="134"/>
      <c r="AC61" s="138"/>
      <c r="AD61" s="159"/>
      <c r="AE61" s="240">
        <v>0</v>
      </c>
      <c r="AF61" s="165"/>
      <c r="AG61" s="166"/>
      <c r="AH61" s="166"/>
      <c r="AI61" s="166"/>
      <c r="AJ61" s="166"/>
      <c r="AK61" s="166"/>
      <c r="AL61" s="166"/>
      <c r="AM61" s="166"/>
      <c r="AN61" s="166"/>
      <c r="AO61" s="166"/>
      <c r="AP61" s="166"/>
      <c r="AQ61" s="166"/>
      <c r="AR61" s="166"/>
      <c r="AS61" s="166"/>
      <c r="AT61" s="166"/>
      <c r="AU61" s="166"/>
      <c r="AV61" s="166"/>
      <c r="AW61" s="166"/>
      <c r="AX61" s="166"/>
      <c r="AY61" s="166"/>
      <c r="AZ61" s="166"/>
      <c r="BA61" s="166"/>
      <c r="BB61" s="166"/>
      <c r="BC61" s="166"/>
      <c r="BD61" s="166"/>
      <c r="BE61" s="166"/>
      <c r="BF61" s="166"/>
      <c r="BG61" s="166"/>
      <c r="BH61" s="166"/>
      <c r="BI61" s="166"/>
      <c r="BJ61" s="166"/>
      <c r="BK61" s="166"/>
      <c r="BL61" s="166"/>
      <c r="BM61" s="166"/>
      <c r="BN61" s="166"/>
      <c r="BO61" s="166"/>
      <c r="BP61" s="166"/>
      <c r="BQ61" s="166"/>
      <c r="BR61" s="166"/>
      <c r="BS61" s="166"/>
      <c r="BT61" s="166"/>
      <c r="BU61" s="166"/>
      <c r="BV61" s="166"/>
      <c r="BW61" s="166"/>
      <c r="BX61" s="166"/>
      <c r="BY61" s="166"/>
      <c r="BZ61" s="166"/>
      <c r="CA61" s="166"/>
      <c r="CB61" s="166"/>
      <c r="CC61" s="166"/>
      <c r="CD61" s="166"/>
      <c r="CE61" s="166"/>
      <c r="CF61" s="166"/>
      <c r="CG61" s="166"/>
    </row>
    <row r="62" spans="1:85" ht="12" customHeight="1">
      <c r="A62" s="133"/>
      <c r="B62" s="133"/>
      <c r="C62" s="133">
        <v>4</v>
      </c>
      <c r="D62" s="160"/>
      <c r="E62" s="134"/>
      <c r="F62" s="134"/>
      <c r="G62" s="134"/>
      <c r="H62" s="134" t="s">
        <v>1765</v>
      </c>
      <c r="I62" s="134"/>
      <c r="J62" s="134"/>
      <c r="K62" s="134"/>
      <c r="L62" s="134"/>
      <c r="M62" s="134"/>
      <c r="N62" s="134"/>
      <c r="O62" s="134"/>
      <c r="P62" s="236">
        <v>45988</v>
      </c>
      <c r="Q62" s="236">
        <v>45988</v>
      </c>
      <c r="R62" s="134"/>
      <c r="S62" s="135">
        <v>1</v>
      </c>
      <c r="T62" s="135">
        <v>0</v>
      </c>
      <c r="U62" s="135">
        <v>1</v>
      </c>
      <c r="V62" s="135">
        <v>0</v>
      </c>
      <c r="W62" s="236"/>
      <c r="X62" s="236"/>
      <c r="Y62" s="136"/>
      <c r="Z62" s="137">
        <v>0</v>
      </c>
      <c r="AA62" s="135">
        <v>0.1</v>
      </c>
      <c r="AB62" s="134"/>
      <c r="AC62" s="138"/>
      <c r="AD62" s="159"/>
      <c r="AE62" s="240">
        <v>0</v>
      </c>
      <c r="AF62" s="165"/>
      <c r="AG62" s="166"/>
      <c r="AH62" s="166"/>
      <c r="AI62" s="166"/>
      <c r="AJ62" s="166"/>
      <c r="AK62" s="166"/>
      <c r="AL62" s="166"/>
      <c r="AM62" s="166"/>
      <c r="AN62" s="166"/>
      <c r="AO62" s="166"/>
      <c r="AP62" s="166"/>
      <c r="AQ62" s="166"/>
      <c r="AR62" s="166"/>
      <c r="AS62" s="166"/>
      <c r="AT62" s="166"/>
      <c r="AU62" s="166"/>
      <c r="AV62" s="166"/>
      <c r="AW62" s="166"/>
      <c r="AX62" s="166"/>
      <c r="AY62" s="166"/>
      <c r="AZ62" s="166"/>
      <c r="BA62" s="166"/>
      <c r="BB62" s="166"/>
      <c r="BC62" s="166"/>
      <c r="BD62" s="166"/>
      <c r="BE62" s="166"/>
      <c r="BF62" s="166"/>
      <c r="BG62" s="166"/>
      <c r="BH62" s="166"/>
      <c r="BI62" s="166"/>
      <c r="BJ62" s="166"/>
      <c r="BK62" s="166"/>
      <c r="BL62" s="166"/>
      <c r="BM62" s="166"/>
      <c r="BN62" s="166"/>
      <c r="BO62" s="166"/>
      <c r="BP62" s="166"/>
      <c r="BQ62" s="166"/>
      <c r="BR62" s="166"/>
      <c r="BS62" s="166"/>
      <c r="BT62" s="166"/>
      <c r="BU62" s="166"/>
      <c r="BV62" s="166"/>
      <c r="BW62" s="166"/>
      <c r="BX62" s="166"/>
      <c r="BY62" s="166"/>
      <c r="BZ62" s="166"/>
      <c r="CA62" s="166"/>
      <c r="CB62" s="166"/>
      <c r="CC62" s="166"/>
      <c r="CD62" s="166"/>
      <c r="CE62" s="166"/>
      <c r="CF62" s="166"/>
      <c r="CG62" s="166"/>
    </row>
    <row r="63" spans="1:85" ht="12" customHeight="1">
      <c r="A63" s="133"/>
      <c r="B63" s="133"/>
      <c r="C63" s="133">
        <v>4</v>
      </c>
      <c r="D63" s="160"/>
      <c r="E63" s="134"/>
      <c r="F63" s="134"/>
      <c r="G63" s="134"/>
      <c r="H63" s="134" t="s">
        <v>1766</v>
      </c>
      <c r="I63" s="134"/>
      <c r="J63" s="134"/>
      <c r="K63" s="134"/>
      <c r="L63" s="134"/>
      <c r="M63" s="134"/>
      <c r="N63" s="134"/>
      <c r="O63" s="134"/>
      <c r="P63" s="236">
        <v>45995</v>
      </c>
      <c r="Q63" s="236">
        <v>45995</v>
      </c>
      <c r="R63" s="134"/>
      <c r="S63" s="135">
        <v>1</v>
      </c>
      <c r="T63" s="135">
        <v>0</v>
      </c>
      <c r="U63" s="135">
        <v>1</v>
      </c>
      <c r="V63" s="135">
        <v>0</v>
      </c>
      <c r="W63" s="236"/>
      <c r="X63" s="236"/>
      <c r="Y63" s="136"/>
      <c r="Z63" s="137">
        <v>0</v>
      </c>
      <c r="AA63" s="135">
        <v>0.1</v>
      </c>
      <c r="AB63" s="134"/>
      <c r="AC63" s="138"/>
      <c r="AD63" s="159"/>
      <c r="AE63" s="240">
        <v>0</v>
      </c>
      <c r="AF63" s="165"/>
      <c r="AG63" s="166"/>
      <c r="AH63" s="166"/>
      <c r="AI63" s="166"/>
      <c r="AJ63" s="166"/>
      <c r="AK63" s="166"/>
      <c r="AL63" s="166"/>
      <c r="AM63" s="166"/>
      <c r="AN63" s="166"/>
      <c r="AO63" s="166"/>
      <c r="AP63" s="166"/>
      <c r="AQ63" s="166"/>
      <c r="AR63" s="166"/>
      <c r="AS63" s="166"/>
      <c r="AT63" s="166"/>
      <c r="AU63" s="166"/>
      <c r="AV63" s="166"/>
      <c r="AW63" s="166"/>
      <c r="AX63" s="166"/>
      <c r="AY63" s="166"/>
      <c r="AZ63" s="166"/>
      <c r="BA63" s="166"/>
      <c r="BB63" s="166"/>
      <c r="BC63" s="166"/>
      <c r="BD63" s="166"/>
      <c r="BE63" s="166"/>
      <c r="BF63" s="166"/>
      <c r="BG63" s="166"/>
      <c r="BH63" s="166"/>
      <c r="BI63" s="166"/>
      <c r="BJ63" s="166"/>
      <c r="BK63" s="166"/>
      <c r="BL63" s="166"/>
      <c r="BM63" s="166"/>
      <c r="BN63" s="166"/>
      <c r="BO63" s="166"/>
      <c r="BP63" s="166"/>
      <c r="BQ63" s="166"/>
      <c r="BR63" s="166"/>
      <c r="BS63" s="166"/>
      <c r="BT63" s="166"/>
      <c r="BU63" s="166"/>
      <c r="BV63" s="166"/>
      <c r="BW63" s="166"/>
      <c r="BX63" s="166"/>
      <c r="BY63" s="166"/>
      <c r="BZ63" s="166"/>
      <c r="CA63" s="166"/>
      <c r="CB63" s="166"/>
      <c r="CC63" s="166"/>
      <c r="CD63" s="166"/>
      <c r="CE63" s="166"/>
      <c r="CF63" s="166"/>
      <c r="CG63" s="166"/>
    </row>
    <row r="64" spans="1:85" ht="12" customHeight="1">
      <c r="A64" s="133"/>
      <c r="B64" s="133"/>
      <c r="C64" s="133">
        <v>4</v>
      </c>
      <c r="D64" s="160"/>
      <c r="E64" s="134"/>
      <c r="F64" s="134"/>
      <c r="G64" s="134"/>
      <c r="H64" s="134" t="s">
        <v>1767</v>
      </c>
      <c r="I64" s="134"/>
      <c r="J64" s="134"/>
      <c r="K64" s="134"/>
      <c r="L64" s="134"/>
      <c r="M64" s="134"/>
      <c r="N64" s="134"/>
      <c r="O64" s="134"/>
      <c r="P64" s="236">
        <v>46002</v>
      </c>
      <c r="Q64" s="236">
        <v>46002</v>
      </c>
      <c r="R64" s="134"/>
      <c r="S64" s="135">
        <v>1</v>
      </c>
      <c r="T64" s="135">
        <v>0</v>
      </c>
      <c r="U64" s="135">
        <v>1</v>
      </c>
      <c r="V64" s="135">
        <v>0</v>
      </c>
      <c r="W64" s="236"/>
      <c r="X64" s="236"/>
      <c r="Y64" s="136"/>
      <c r="Z64" s="137">
        <v>0</v>
      </c>
      <c r="AA64" s="135">
        <v>0.1</v>
      </c>
      <c r="AB64" s="134"/>
      <c r="AC64" s="138"/>
      <c r="AD64" s="159"/>
      <c r="AE64" s="240">
        <v>0</v>
      </c>
      <c r="AF64" s="165"/>
      <c r="AG64" s="166"/>
      <c r="AH64" s="166"/>
      <c r="AI64" s="166"/>
      <c r="AJ64" s="166"/>
      <c r="AK64" s="166"/>
      <c r="AL64" s="166"/>
      <c r="AM64" s="166"/>
      <c r="AN64" s="166"/>
      <c r="AO64" s="166"/>
      <c r="AP64" s="166"/>
      <c r="AQ64" s="166"/>
      <c r="AR64" s="166"/>
      <c r="AS64" s="166"/>
      <c r="AT64" s="166"/>
      <c r="AU64" s="166"/>
      <c r="AV64" s="166"/>
      <c r="AW64" s="166"/>
      <c r="AX64" s="166"/>
      <c r="AY64" s="166"/>
      <c r="AZ64" s="166"/>
      <c r="BA64" s="166"/>
      <c r="BB64" s="166"/>
      <c r="BC64" s="166"/>
      <c r="BD64" s="166"/>
      <c r="BE64" s="166"/>
      <c r="BF64" s="166"/>
      <c r="BG64" s="166"/>
      <c r="BH64" s="166"/>
      <c r="BI64" s="166"/>
      <c r="BJ64" s="166"/>
      <c r="BK64" s="166"/>
      <c r="BL64" s="166"/>
      <c r="BM64" s="166"/>
      <c r="BN64" s="166"/>
      <c r="BO64" s="166"/>
      <c r="BP64" s="166"/>
      <c r="BQ64" s="166"/>
      <c r="BR64" s="166"/>
      <c r="BS64" s="166"/>
      <c r="BT64" s="166"/>
      <c r="BU64" s="166"/>
      <c r="BV64" s="166"/>
      <c r="BW64" s="166"/>
      <c r="BX64" s="166"/>
      <c r="BY64" s="166"/>
      <c r="BZ64" s="166"/>
      <c r="CA64" s="166"/>
      <c r="CB64" s="166"/>
      <c r="CC64" s="166"/>
      <c r="CD64" s="166"/>
      <c r="CE64" s="166"/>
      <c r="CF64" s="166"/>
      <c r="CG64" s="166"/>
    </row>
    <row r="65" spans="1:85" ht="12" customHeight="1">
      <c r="A65" s="133"/>
      <c r="B65" s="133"/>
      <c r="C65" s="133">
        <v>4</v>
      </c>
      <c r="D65" s="160"/>
      <c r="E65" s="134"/>
      <c r="F65" s="134"/>
      <c r="G65" s="134"/>
      <c r="H65" s="134" t="s">
        <v>1768</v>
      </c>
      <c r="I65" s="134"/>
      <c r="J65" s="134"/>
      <c r="K65" s="134"/>
      <c r="L65" s="134"/>
      <c r="M65" s="134"/>
      <c r="N65" s="134"/>
      <c r="O65" s="134"/>
      <c r="P65" s="236">
        <v>46009</v>
      </c>
      <c r="Q65" s="236">
        <v>46009</v>
      </c>
      <c r="R65" s="134"/>
      <c r="S65" s="135">
        <v>1</v>
      </c>
      <c r="T65" s="135">
        <v>0</v>
      </c>
      <c r="U65" s="135">
        <v>1</v>
      </c>
      <c r="V65" s="135">
        <v>0</v>
      </c>
      <c r="W65" s="236"/>
      <c r="X65" s="236"/>
      <c r="Y65" s="136"/>
      <c r="Z65" s="137">
        <v>0</v>
      </c>
      <c r="AA65" s="135">
        <v>0.1</v>
      </c>
      <c r="AB65" s="134"/>
      <c r="AC65" s="138"/>
      <c r="AD65" s="159"/>
      <c r="AE65" s="240">
        <v>0</v>
      </c>
      <c r="AF65" s="165"/>
      <c r="AG65" s="166"/>
      <c r="AH65" s="166"/>
      <c r="AI65" s="166"/>
      <c r="AJ65" s="166"/>
      <c r="AK65" s="166"/>
      <c r="AL65" s="166"/>
      <c r="AM65" s="166"/>
      <c r="AN65" s="166"/>
      <c r="AO65" s="166"/>
      <c r="AP65" s="166"/>
      <c r="AQ65" s="166"/>
      <c r="AR65" s="166"/>
      <c r="AS65" s="166"/>
      <c r="AT65" s="166"/>
      <c r="AU65" s="166"/>
      <c r="AV65" s="166"/>
      <c r="AW65" s="166"/>
      <c r="AX65" s="166"/>
      <c r="AY65" s="166"/>
      <c r="AZ65" s="166"/>
      <c r="BA65" s="166"/>
      <c r="BB65" s="166"/>
      <c r="BC65" s="166"/>
      <c r="BD65" s="166"/>
      <c r="BE65" s="166"/>
      <c r="BF65" s="166"/>
      <c r="BG65" s="166"/>
      <c r="BH65" s="166"/>
      <c r="BI65" s="166"/>
      <c r="BJ65" s="166"/>
      <c r="BK65" s="166"/>
      <c r="BL65" s="166"/>
      <c r="BM65" s="166"/>
      <c r="BN65" s="166"/>
      <c r="BO65" s="166"/>
      <c r="BP65" s="166"/>
      <c r="BQ65" s="166"/>
      <c r="BR65" s="166"/>
      <c r="BS65" s="166"/>
      <c r="BT65" s="166"/>
      <c r="BU65" s="166"/>
      <c r="BV65" s="166"/>
      <c r="BW65" s="166"/>
      <c r="BX65" s="166"/>
      <c r="BY65" s="166"/>
      <c r="BZ65" s="166"/>
      <c r="CA65" s="166"/>
      <c r="CB65" s="166"/>
      <c r="CC65" s="166"/>
      <c r="CD65" s="166"/>
      <c r="CE65" s="166"/>
      <c r="CF65" s="166"/>
      <c r="CG65" s="166"/>
    </row>
    <row r="66" spans="1:85" ht="12" customHeight="1">
      <c r="A66" s="133"/>
      <c r="B66" s="133"/>
      <c r="C66" s="133">
        <v>4</v>
      </c>
      <c r="D66" s="160"/>
      <c r="E66" s="134"/>
      <c r="F66" s="134"/>
      <c r="G66" s="134"/>
      <c r="H66" s="134" t="s">
        <v>1769</v>
      </c>
      <c r="I66" s="134"/>
      <c r="J66" s="134"/>
      <c r="K66" s="134"/>
      <c r="L66" s="134"/>
      <c r="M66" s="134"/>
      <c r="N66" s="134"/>
      <c r="O66" s="134"/>
      <c r="P66" s="236">
        <v>46017</v>
      </c>
      <c r="Q66" s="236">
        <v>46017</v>
      </c>
      <c r="R66" s="134"/>
      <c r="S66" s="135">
        <v>1</v>
      </c>
      <c r="T66" s="135">
        <v>0</v>
      </c>
      <c r="U66" s="135">
        <v>1</v>
      </c>
      <c r="V66" s="135">
        <v>0</v>
      </c>
      <c r="W66" s="236"/>
      <c r="X66" s="236"/>
      <c r="Y66" s="136"/>
      <c r="Z66" s="137">
        <v>0</v>
      </c>
      <c r="AA66" s="135">
        <v>0.1</v>
      </c>
      <c r="AB66" s="134"/>
      <c r="AC66" s="138"/>
      <c r="AD66" s="159"/>
      <c r="AE66" s="240">
        <v>0</v>
      </c>
      <c r="AF66" s="165"/>
      <c r="AG66" s="166"/>
      <c r="AH66" s="166"/>
      <c r="AI66" s="166"/>
      <c r="AJ66" s="166"/>
      <c r="AK66" s="166"/>
      <c r="AL66" s="166"/>
      <c r="AM66" s="166"/>
      <c r="AN66" s="166"/>
      <c r="AO66" s="166"/>
      <c r="AP66" s="166"/>
      <c r="AQ66" s="166"/>
      <c r="AR66" s="166"/>
      <c r="AS66" s="166"/>
      <c r="AT66" s="166"/>
      <c r="AU66" s="166"/>
      <c r="AV66" s="166"/>
      <c r="AW66" s="166"/>
      <c r="AX66" s="166"/>
      <c r="AY66" s="166"/>
      <c r="AZ66" s="166"/>
      <c r="BA66" s="166"/>
      <c r="BB66" s="166"/>
      <c r="BC66" s="166"/>
      <c r="BD66" s="166"/>
      <c r="BE66" s="166"/>
      <c r="BF66" s="166"/>
      <c r="BG66" s="166"/>
      <c r="BH66" s="166"/>
      <c r="BI66" s="166"/>
      <c r="BJ66" s="166"/>
      <c r="BK66" s="166"/>
      <c r="BL66" s="166"/>
      <c r="BM66" s="166"/>
      <c r="BN66" s="166"/>
      <c r="BO66" s="166"/>
      <c r="BP66" s="166"/>
      <c r="BQ66" s="166"/>
      <c r="BR66" s="166"/>
      <c r="BS66" s="166"/>
      <c r="BT66" s="166"/>
      <c r="BU66" s="166"/>
      <c r="BV66" s="166"/>
      <c r="BW66" s="166"/>
      <c r="BX66" s="166"/>
      <c r="BY66" s="166"/>
      <c r="BZ66" s="166"/>
      <c r="CA66" s="166"/>
      <c r="CB66" s="166"/>
      <c r="CC66" s="166"/>
      <c r="CD66" s="166"/>
      <c r="CE66" s="166"/>
      <c r="CF66" s="166"/>
      <c r="CG66" s="166"/>
    </row>
    <row r="67" spans="1:85" ht="12" customHeight="1">
      <c r="A67" s="133"/>
      <c r="B67" s="133"/>
      <c r="C67" s="133">
        <v>4</v>
      </c>
      <c r="D67" s="160"/>
      <c r="E67" s="134"/>
      <c r="F67" s="134"/>
      <c r="G67" s="134"/>
      <c r="H67" s="134" t="s">
        <v>1770</v>
      </c>
      <c r="I67" s="134"/>
      <c r="J67" s="134"/>
      <c r="K67" s="134"/>
      <c r="L67" s="134"/>
      <c r="M67" s="134"/>
      <c r="N67" s="134"/>
      <c r="O67" s="134"/>
      <c r="P67" s="236">
        <v>46024</v>
      </c>
      <c r="Q67" s="236">
        <v>46024</v>
      </c>
      <c r="R67" s="134"/>
      <c r="S67" s="135">
        <v>1</v>
      </c>
      <c r="T67" s="135">
        <v>0</v>
      </c>
      <c r="U67" s="135">
        <v>1</v>
      </c>
      <c r="V67" s="135">
        <v>0</v>
      </c>
      <c r="W67" s="236"/>
      <c r="X67" s="236"/>
      <c r="Y67" s="136"/>
      <c r="Z67" s="137">
        <v>0</v>
      </c>
      <c r="AA67" s="135">
        <v>0.1</v>
      </c>
      <c r="AB67" s="134"/>
      <c r="AC67" s="138"/>
      <c r="AD67" s="159"/>
      <c r="AE67" s="240">
        <v>0</v>
      </c>
      <c r="AF67" s="165"/>
      <c r="AG67" s="166"/>
      <c r="AH67" s="166"/>
      <c r="AI67" s="166"/>
      <c r="AJ67" s="166"/>
      <c r="AK67" s="166"/>
      <c r="AL67" s="166"/>
      <c r="AM67" s="166"/>
      <c r="AN67" s="166"/>
      <c r="AO67" s="166"/>
      <c r="AP67" s="166"/>
      <c r="AQ67" s="166"/>
      <c r="AR67" s="166"/>
      <c r="AS67" s="166"/>
      <c r="AT67" s="166"/>
      <c r="AU67" s="166"/>
      <c r="AV67" s="166"/>
      <c r="AW67" s="166"/>
      <c r="AX67" s="166"/>
      <c r="AY67" s="166"/>
      <c r="AZ67" s="166"/>
      <c r="BA67" s="166"/>
      <c r="BB67" s="166"/>
      <c r="BC67" s="166"/>
      <c r="BD67" s="166"/>
      <c r="BE67" s="166"/>
      <c r="BF67" s="166"/>
      <c r="BG67" s="166"/>
      <c r="BH67" s="166"/>
      <c r="BI67" s="166"/>
      <c r="BJ67" s="166"/>
      <c r="BK67" s="166"/>
      <c r="BL67" s="166"/>
      <c r="BM67" s="166"/>
      <c r="BN67" s="166"/>
      <c r="BO67" s="166"/>
      <c r="BP67" s="166"/>
      <c r="BQ67" s="166"/>
      <c r="BR67" s="166"/>
      <c r="BS67" s="166"/>
      <c r="BT67" s="166"/>
      <c r="BU67" s="166"/>
      <c r="BV67" s="166"/>
      <c r="BW67" s="166"/>
      <c r="BX67" s="166"/>
      <c r="BY67" s="166"/>
      <c r="BZ67" s="166"/>
      <c r="CA67" s="166"/>
      <c r="CB67" s="166"/>
      <c r="CC67" s="166"/>
      <c r="CD67" s="166"/>
      <c r="CE67" s="166"/>
      <c r="CF67" s="166"/>
      <c r="CG67" s="166"/>
    </row>
    <row r="68" spans="1:85" ht="12" customHeight="1">
      <c r="A68" s="133"/>
      <c r="B68" s="133"/>
      <c r="C68" s="133">
        <v>4</v>
      </c>
      <c r="D68" s="160"/>
      <c r="E68" s="134"/>
      <c r="F68" s="134"/>
      <c r="G68" s="134"/>
      <c r="H68" s="134" t="s">
        <v>1771</v>
      </c>
      <c r="I68" s="134"/>
      <c r="J68" s="134"/>
      <c r="K68" s="134"/>
      <c r="L68" s="134"/>
      <c r="M68" s="134"/>
      <c r="N68" s="134"/>
      <c r="O68" s="134"/>
      <c r="P68" s="236">
        <v>46030</v>
      </c>
      <c r="Q68" s="236">
        <v>46030</v>
      </c>
      <c r="R68" s="134"/>
      <c r="S68" s="135">
        <v>1</v>
      </c>
      <c r="T68" s="135">
        <v>0</v>
      </c>
      <c r="U68" s="135">
        <v>1</v>
      </c>
      <c r="V68" s="135">
        <v>0</v>
      </c>
      <c r="W68" s="236"/>
      <c r="X68" s="236"/>
      <c r="Y68" s="136"/>
      <c r="Z68" s="137">
        <v>0</v>
      </c>
      <c r="AA68" s="135">
        <v>0.1</v>
      </c>
      <c r="AB68" s="134"/>
      <c r="AC68" s="138"/>
      <c r="AD68" s="159"/>
      <c r="AE68" s="240">
        <v>0</v>
      </c>
      <c r="AF68" s="165"/>
      <c r="AG68" s="166"/>
      <c r="AH68" s="166"/>
      <c r="AI68" s="166"/>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c r="BF68" s="166"/>
      <c r="BG68" s="166"/>
      <c r="BH68" s="166"/>
      <c r="BI68" s="166"/>
      <c r="BJ68" s="166"/>
      <c r="BK68" s="166"/>
      <c r="BL68" s="166"/>
      <c r="BM68" s="166"/>
      <c r="BN68" s="166"/>
      <c r="BO68" s="166"/>
      <c r="BP68" s="166"/>
      <c r="BQ68" s="166"/>
      <c r="BR68" s="166"/>
      <c r="BS68" s="166"/>
      <c r="BT68" s="166"/>
      <c r="BU68" s="166"/>
      <c r="BV68" s="166"/>
      <c r="BW68" s="166"/>
      <c r="BX68" s="166"/>
      <c r="BY68" s="166"/>
      <c r="BZ68" s="166"/>
      <c r="CA68" s="166"/>
      <c r="CB68" s="166"/>
      <c r="CC68" s="166"/>
      <c r="CD68" s="166"/>
      <c r="CE68" s="166"/>
      <c r="CF68" s="166"/>
      <c r="CG68" s="166"/>
    </row>
    <row r="69" spans="1:85" ht="12" customHeight="1">
      <c r="A69" s="133"/>
      <c r="B69" s="133"/>
      <c r="C69" s="133">
        <v>4</v>
      </c>
      <c r="D69" s="160"/>
      <c r="E69" s="134"/>
      <c r="F69" s="134"/>
      <c r="G69" s="134"/>
      <c r="H69" s="134" t="s">
        <v>1772</v>
      </c>
      <c r="I69" s="134"/>
      <c r="J69" s="134"/>
      <c r="K69" s="134"/>
      <c r="L69" s="134"/>
      <c r="M69" s="134"/>
      <c r="N69" s="134"/>
      <c r="O69" s="134"/>
      <c r="P69" s="236">
        <v>46037</v>
      </c>
      <c r="Q69" s="236">
        <v>46037</v>
      </c>
      <c r="R69" s="134"/>
      <c r="S69" s="135">
        <v>1</v>
      </c>
      <c r="T69" s="135">
        <v>0</v>
      </c>
      <c r="U69" s="135">
        <v>1</v>
      </c>
      <c r="V69" s="135">
        <v>0</v>
      </c>
      <c r="W69" s="236"/>
      <c r="X69" s="236"/>
      <c r="Y69" s="136"/>
      <c r="Z69" s="137">
        <v>0</v>
      </c>
      <c r="AA69" s="135">
        <v>0.1</v>
      </c>
      <c r="AB69" s="134"/>
      <c r="AC69" s="138"/>
      <c r="AD69" s="159"/>
      <c r="AE69" s="240">
        <v>0</v>
      </c>
      <c r="AF69" s="165"/>
      <c r="AG69" s="166"/>
      <c r="AH69" s="166"/>
      <c r="AI69" s="166"/>
      <c r="AJ69" s="166"/>
      <c r="AK69" s="166"/>
      <c r="AL69" s="166"/>
      <c r="AM69" s="166"/>
      <c r="AN69" s="166"/>
      <c r="AO69" s="166"/>
      <c r="AP69" s="166"/>
      <c r="AQ69" s="166"/>
      <c r="AR69" s="166"/>
      <c r="AS69" s="166"/>
      <c r="AT69" s="166"/>
      <c r="AU69" s="166"/>
      <c r="AV69" s="166"/>
      <c r="AW69" s="166"/>
      <c r="AX69" s="166"/>
      <c r="AY69" s="166"/>
      <c r="AZ69" s="166"/>
      <c r="BA69" s="166"/>
      <c r="BB69" s="166"/>
      <c r="BC69" s="166"/>
      <c r="BD69" s="166"/>
      <c r="BE69" s="166"/>
      <c r="BF69" s="166"/>
      <c r="BG69" s="166"/>
      <c r="BH69" s="166"/>
      <c r="BI69" s="166"/>
      <c r="BJ69" s="166"/>
      <c r="BK69" s="166"/>
      <c r="BL69" s="166"/>
      <c r="BM69" s="166"/>
      <c r="BN69" s="166"/>
      <c r="BO69" s="166"/>
      <c r="BP69" s="166"/>
      <c r="BQ69" s="166"/>
      <c r="BR69" s="166"/>
      <c r="BS69" s="166"/>
      <c r="BT69" s="166"/>
      <c r="BU69" s="166"/>
      <c r="BV69" s="166"/>
      <c r="BW69" s="166"/>
      <c r="BX69" s="166"/>
      <c r="BY69" s="166"/>
      <c r="BZ69" s="166"/>
      <c r="CA69" s="166"/>
      <c r="CB69" s="166"/>
      <c r="CC69" s="166"/>
      <c r="CD69" s="166"/>
      <c r="CE69" s="166"/>
      <c r="CF69" s="166"/>
      <c r="CG69" s="166"/>
    </row>
    <row r="70" spans="1:85" ht="12" customHeight="1">
      <c r="A70" s="133"/>
      <c r="B70" s="133"/>
      <c r="C70" s="133">
        <v>4</v>
      </c>
      <c r="D70" s="160"/>
      <c r="E70" s="134"/>
      <c r="F70" s="134"/>
      <c r="G70" s="134"/>
      <c r="H70" s="134" t="s">
        <v>1773</v>
      </c>
      <c r="I70" s="134"/>
      <c r="J70" s="134"/>
      <c r="K70" s="134"/>
      <c r="L70" s="134"/>
      <c r="M70" s="134"/>
      <c r="N70" s="134"/>
      <c r="O70" s="134"/>
      <c r="P70" s="236">
        <v>46044</v>
      </c>
      <c r="Q70" s="236">
        <v>46044</v>
      </c>
      <c r="R70" s="134"/>
      <c r="S70" s="135">
        <v>1</v>
      </c>
      <c r="T70" s="135">
        <v>0</v>
      </c>
      <c r="U70" s="135">
        <v>1</v>
      </c>
      <c r="V70" s="135">
        <v>0</v>
      </c>
      <c r="W70" s="236"/>
      <c r="X70" s="236"/>
      <c r="Y70" s="136"/>
      <c r="Z70" s="137">
        <v>0</v>
      </c>
      <c r="AA70" s="135">
        <v>0.1</v>
      </c>
      <c r="AB70" s="134"/>
      <c r="AC70" s="138"/>
      <c r="AD70" s="159"/>
      <c r="AE70" s="240">
        <v>0</v>
      </c>
      <c r="AF70" s="165"/>
      <c r="AG70" s="166"/>
      <c r="AH70" s="166"/>
      <c r="AI70" s="166"/>
      <c r="AJ70" s="166"/>
      <c r="AK70" s="166"/>
      <c r="AL70" s="166"/>
      <c r="AM70" s="166"/>
      <c r="AN70" s="166"/>
      <c r="AO70" s="166"/>
      <c r="AP70" s="166"/>
      <c r="AQ70" s="166"/>
      <c r="AR70" s="166"/>
      <c r="AS70" s="166"/>
      <c r="AT70" s="166"/>
      <c r="AU70" s="166"/>
      <c r="AV70" s="166"/>
      <c r="AW70" s="166"/>
      <c r="AX70" s="166"/>
      <c r="AY70" s="166"/>
      <c r="AZ70" s="166"/>
      <c r="BA70" s="166"/>
      <c r="BB70" s="166"/>
      <c r="BC70" s="166"/>
      <c r="BD70" s="166"/>
      <c r="BE70" s="166"/>
      <c r="BF70" s="166"/>
      <c r="BG70" s="166"/>
      <c r="BH70" s="166"/>
      <c r="BI70" s="166"/>
      <c r="BJ70" s="166"/>
      <c r="BK70" s="166"/>
      <c r="BL70" s="166"/>
      <c r="BM70" s="166"/>
      <c r="BN70" s="166"/>
      <c r="BO70" s="166"/>
      <c r="BP70" s="166"/>
      <c r="BQ70" s="166"/>
      <c r="BR70" s="166"/>
      <c r="BS70" s="166"/>
      <c r="BT70" s="166"/>
      <c r="BU70" s="166"/>
      <c r="BV70" s="166"/>
      <c r="BW70" s="166"/>
      <c r="BX70" s="166"/>
      <c r="BY70" s="166"/>
      <c r="BZ70" s="166"/>
      <c r="CA70" s="166"/>
      <c r="CB70" s="166"/>
      <c r="CC70" s="166"/>
      <c r="CD70" s="166"/>
      <c r="CE70" s="166"/>
      <c r="CF70" s="166"/>
      <c r="CG70" s="166"/>
    </row>
    <row r="71" spans="1:85" ht="12" customHeight="1">
      <c r="A71" s="133"/>
      <c r="B71" s="133"/>
      <c r="C71" s="133">
        <v>4</v>
      </c>
      <c r="D71" s="160"/>
      <c r="E71" s="134"/>
      <c r="F71" s="134"/>
      <c r="G71" s="134"/>
      <c r="H71" s="134" t="s">
        <v>1774</v>
      </c>
      <c r="I71" s="134"/>
      <c r="J71" s="134"/>
      <c r="K71" s="134"/>
      <c r="L71" s="134"/>
      <c r="M71" s="134"/>
      <c r="N71" s="134"/>
      <c r="O71" s="134"/>
      <c r="P71" s="236">
        <v>46051</v>
      </c>
      <c r="Q71" s="236">
        <v>46051</v>
      </c>
      <c r="R71" s="134"/>
      <c r="S71" s="135">
        <v>1</v>
      </c>
      <c r="T71" s="135">
        <v>0</v>
      </c>
      <c r="U71" s="135">
        <v>1</v>
      </c>
      <c r="V71" s="135">
        <v>0</v>
      </c>
      <c r="W71" s="236"/>
      <c r="X71" s="236"/>
      <c r="Y71" s="136"/>
      <c r="Z71" s="137">
        <v>0</v>
      </c>
      <c r="AA71" s="135">
        <v>0.1</v>
      </c>
      <c r="AB71" s="134"/>
      <c r="AC71" s="138"/>
      <c r="AD71" s="159"/>
      <c r="AE71" s="240">
        <v>0</v>
      </c>
      <c r="AF71" s="165"/>
      <c r="AG71" s="166"/>
      <c r="AH71" s="166"/>
      <c r="AI71" s="166"/>
      <c r="AJ71" s="166"/>
      <c r="AK71" s="166"/>
      <c r="AL71" s="166"/>
      <c r="AM71" s="166"/>
      <c r="AN71" s="166"/>
      <c r="AO71" s="166"/>
      <c r="AP71" s="166"/>
      <c r="AQ71" s="166"/>
      <c r="AR71" s="166"/>
      <c r="AS71" s="166"/>
      <c r="AT71" s="166"/>
      <c r="AU71" s="166"/>
      <c r="AV71" s="166"/>
      <c r="AW71" s="166"/>
      <c r="AX71" s="166"/>
      <c r="AY71" s="166"/>
      <c r="AZ71" s="166"/>
      <c r="BA71" s="166"/>
      <c r="BB71" s="166"/>
      <c r="BC71" s="166"/>
      <c r="BD71" s="166"/>
      <c r="BE71" s="166"/>
      <c r="BF71" s="166"/>
      <c r="BG71" s="166"/>
      <c r="BH71" s="166"/>
      <c r="BI71" s="166"/>
      <c r="BJ71" s="166"/>
      <c r="BK71" s="166"/>
      <c r="BL71" s="166"/>
      <c r="BM71" s="166"/>
      <c r="BN71" s="166"/>
      <c r="BO71" s="166"/>
      <c r="BP71" s="166"/>
      <c r="BQ71" s="166"/>
      <c r="BR71" s="166"/>
      <c r="BS71" s="166"/>
      <c r="BT71" s="166"/>
      <c r="BU71" s="166"/>
      <c r="BV71" s="166"/>
      <c r="BW71" s="166"/>
      <c r="BX71" s="166"/>
      <c r="BY71" s="166"/>
      <c r="BZ71" s="166"/>
      <c r="CA71" s="166"/>
      <c r="CB71" s="166"/>
      <c r="CC71" s="166"/>
      <c r="CD71" s="166"/>
      <c r="CE71" s="166"/>
      <c r="CF71" s="166"/>
      <c r="CG71" s="166"/>
    </row>
    <row r="72" spans="1:85" ht="12" customHeight="1">
      <c r="A72" s="133"/>
      <c r="B72" s="133"/>
      <c r="C72" s="133">
        <v>4</v>
      </c>
      <c r="D72" s="160"/>
      <c r="E72" s="134"/>
      <c r="F72" s="134"/>
      <c r="G72" s="134"/>
      <c r="H72" s="134" t="s">
        <v>1775</v>
      </c>
      <c r="I72" s="134"/>
      <c r="J72" s="134"/>
      <c r="K72" s="134"/>
      <c r="L72" s="134"/>
      <c r="M72" s="134"/>
      <c r="N72" s="134"/>
      <c r="O72" s="134"/>
      <c r="P72" s="236">
        <v>46058</v>
      </c>
      <c r="Q72" s="236">
        <v>46058</v>
      </c>
      <c r="R72" s="134"/>
      <c r="S72" s="135">
        <v>1</v>
      </c>
      <c r="T72" s="135">
        <v>0</v>
      </c>
      <c r="U72" s="135">
        <v>1</v>
      </c>
      <c r="V72" s="135">
        <v>0</v>
      </c>
      <c r="W72" s="236"/>
      <c r="X72" s="236"/>
      <c r="Y72" s="136"/>
      <c r="Z72" s="137">
        <v>0</v>
      </c>
      <c r="AA72" s="135">
        <v>0.1</v>
      </c>
      <c r="AB72" s="134"/>
      <c r="AC72" s="138"/>
      <c r="AD72" s="159"/>
      <c r="AE72" s="240">
        <v>0</v>
      </c>
      <c r="AF72" s="165"/>
      <c r="AG72" s="166"/>
      <c r="AH72" s="166"/>
      <c r="AI72" s="166"/>
      <c r="AJ72" s="166"/>
      <c r="AK72" s="166"/>
      <c r="AL72" s="166"/>
      <c r="AM72" s="166"/>
      <c r="AN72" s="166"/>
      <c r="AO72" s="166"/>
      <c r="AP72" s="166"/>
      <c r="AQ72" s="166"/>
      <c r="AR72" s="166"/>
      <c r="AS72" s="166"/>
      <c r="AT72" s="166"/>
      <c r="AU72" s="166"/>
      <c r="AV72" s="166"/>
      <c r="AW72" s="166"/>
      <c r="AX72" s="166"/>
      <c r="AY72" s="166"/>
      <c r="AZ72" s="166"/>
      <c r="BA72" s="166"/>
      <c r="BB72" s="166"/>
      <c r="BC72" s="166"/>
      <c r="BD72" s="166"/>
      <c r="BE72" s="166"/>
      <c r="BF72" s="166"/>
      <c r="BG72" s="166"/>
      <c r="BH72" s="166"/>
      <c r="BI72" s="166"/>
      <c r="BJ72" s="166"/>
      <c r="BK72" s="166"/>
      <c r="BL72" s="166"/>
      <c r="BM72" s="166"/>
      <c r="BN72" s="166"/>
      <c r="BO72" s="166"/>
      <c r="BP72" s="166"/>
      <c r="BQ72" s="166"/>
      <c r="BR72" s="166"/>
      <c r="BS72" s="166"/>
      <c r="BT72" s="166"/>
      <c r="BU72" s="166"/>
      <c r="BV72" s="166"/>
      <c r="BW72" s="166"/>
      <c r="BX72" s="166"/>
      <c r="BY72" s="166"/>
      <c r="BZ72" s="166"/>
      <c r="CA72" s="166"/>
      <c r="CB72" s="166"/>
      <c r="CC72" s="166"/>
      <c r="CD72" s="166"/>
      <c r="CE72" s="166"/>
      <c r="CF72" s="166"/>
      <c r="CG72" s="166"/>
    </row>
    <row r="73" spans="1:85" ht="12" customHeight="1">
      <c r="A73" s="133"/>
      <c r="B73" s="133"/>
      <c r="C73" s="133">
        <v>3</v>
      </c>
      <c r="D73" s="160"/>
      <c r="E73" s="134"/>
      <c r="F73" s="134"/>
      <c r="G73" s="134" t="s">
        <v>1659</v>
      </c>
      <c r="H73" s="134"/>
      <c r="I73" s="134"/>
      <c r="J73" s="134"/>
      <c r="K73" s="134"/>
      <c r="L73" s="134"/>
      <c r="M73" s="134"/>
      <c r="N73" s="134"/>
      <c r="O73" s="134"/>
      <c r="P73" s="236">
        <v>45762</v>
      </c>
      <c r="Q73" s="236">
        <v>46007</v>
      </c>
      <c r="R73" s="134"/>
      <c r="S73" s="135">
        <v>176</v>
      </c>
      <c r="T73" s="135">
        <v>0</v>
      </c>
      <c r="U73" s="135">
        <v>176</v>
      </c>
      <c r="V73" s="135">
        <v>0</v>
      </c>
      <c r="W73" s="236"/>
      <c r="X73" s="236"/>
      <c r="Y73" s="136"/>
      <c r="Z73" s="137">
        <v>0</v>
      </c>
      <c r="AA73" s="135"/>
      <c r="AB73" s="134"/>
      <c r="AC73" s="138"/>
      <c r="AD73" s="159"/>
      <c r="AE73" s="240">
        <v>0</v>
      </c>
      <c r="AF73" s="165"/>
      <c r="AG73" s="166"/>
      <c r="AH73" s="166"/>
      <c r="AI73" s="166"/>
      <c r="AJ73" s="166"/>
      <c r="AK73" s="166"/>
      <c r="AL73" s="166"/>
      <c r="AM73" s="166"/>
      <c r="AN73" s="166"/>
      <c r="AO73" s="166"/>
      <c r="AP73" s="166"/>
      <c r="AQ73" s="166"/>
      <c r="AR73" s="166"/>
      <c r="AS73" s="166"/>
      <c r="AT73" s="166"/>
      <c r="AU73" s="166"/>
      <c r="AV73" s="166"/>
      <c r="AW73" s="166"/>
      <c r="AX73" s="166"/>
      <c r="AY73" s="166"/>
      <c r="AZ73" s="166"/>
      <c r="BA73" s="166"/>
      <c r="BB73" s="166"/>
      <c r="BC73" s="166"/>
      <c r="BD73" s="166"/>
      <c r="BE73" s="166"/>
      <c r="BF73" s="166"/>
      <c r="BG73" s="166"/>
      <c r="BH73" s="166"/>
      <c r="BI73" s="166"/>
      <c r="BJ73" s="166"/>
      <c r="BK73" s="166"/>
      <c r="BL73" s="166"/>
      <c r="BM73" s="166"/>
      <c r="BN73" s="166"/>
      <c r="BO73" s="166"/>
      <c r="BP73" s="166"/>
      <c r="BQ73" s="166"/>
      <c r="BR73" s="166"/>
      <c r="BS73" s="166"/>
      <c r="BT73" s="166"/>
      <c r="BU73" s="166"/>
      <c r="BV73" s="166"/>
      <c r="BW73" s="166"/>
      <c r="BX73" s="166"/>
      <c r="BY73" s="166"/>
      <c r="BZ73" s="166"/>
      <c r="CA73" s="166"/>
      <c r="CB73" s="166"/>
      <c r="CC73" s="166"/>
      <c r="CD73" s="166"/>
      <c r="CE73" s="166"/>
      <c r="CF73" s="166"/>
      <c r="CG73" s="166"/>
    </row>
    <row r="74" spans="1:85" ht="12" customHeight="1">
      <c r="A74" s="133"/>
      <c r="B74" s="133"/>
      <c r="C74" s="133">
        <v>4</v>
      </c>
      <c r="D74" s="160"/>
      <c r="E74" s="134"/>
      <c r="F74" s="134"/>
      <c r="G74" s="134"/>
      <c r="H74" s="134" t="s">
        <v>1660</v>
      </c>
      <c r="I74" s="134"/>
      <c r="J74" s="134"/>
      <c r="K74" s="134"/>
      <c r="L74" s="134"/>
      <c r="M74" s="134"/>
      <c r="N74" s="134"/>
      <c r="O74" s="134"/>
      <c r="P74" s="236">
        <v>45762</v>
      </c>
      <c r="Q74" s="236">
        <v>45762</v>
      </c>
      <c r="R74" s="134"/>
      <c r="S74" s="135">
        <v>1</v>
      </c>
      <c r="T74" s="135">
        <v>0</v>
      </c>
      <c r="U74" s="135">
        <v>1</v>
      </c>
      <c r="V74" s="135">
        <v>0</v>
      </c>
      <c r="W74" s="236"/>
      <c r="X74" s="236"/>
      <c r="Y74" s="136"/>
      <c r="Z74" s="137">
        <v>0</v>
      </c>
      <c r="AA74" s="135">
        <v>1</v>
      </c>
      <c r="AB74" s="134"/>
      <c r="AC74" s="138"/>
      <c r="AD74" s="159"/>
      <c r="AE74" s="240">
        <v>0</v>
      </c>
      <c r="AF74" s="165"/>
      <c r="AG74" s="166"/>
      <c r="AH74" s="166"/>
      <c r="AI74" s="166"/>
      <c r="AJ74" s="166"/>
      <c r="AK74" s="166"/>
      <c r="AL74" s="166"/>
      <c r="AM74" s="166"/>
      <c r="AN74" s="166"/>
      <c r="AO74" s="166"/>
      <c r="AP74" s="166"/>
      <c r="AQ74" s="166"/>
      <c r="AR74" s="166"/>
      <c r="AS74" s="166"/>
      <c r="AT74" s="166"/>
      <c r="AU74" s="166"/>
      <c r="AV74" s="166"/>
      <c r="AW74" s="166"/>
      <c r="AX74" s="166"/>
      <c r="AY74" s="166"/>
      <c r="AZ74" s="166"/>
      <c r="BA74" s="166"/>
      <c r="BB74" s="166"/>
      <c r="BC74" s="166"/>
      <c r="BD74" s="166"/>
      <c r="BE74" s="166"/>
      <c r="BF74" s="166"/>
      <c r="BG74" s="166"/>
      <c r="BH74" s="166"/>
      <c r="BI74" s="166"/>
      <c r="BJ74" s="166"/>
      <c r="BK74" s="166"/>
      <c r="BL74" s="166"/>
      <c r="BM74" s="166"/>
      <c r="BN74" s="166"/>
      <c r="BO74" s="166"/>
      <c r="BP74" s="166"/>
      <c r="BQ74" s="166"/>
      <c r="BR74" s="166"/>
      <c r="BS74" s="166"/>
      <c r="BT74" s="166"/>
      <c r="BU74" s="166"/>
      <c r="BV74" s="166"/>
      <c r="BW74" s="166"/>
      <c r="BX74" s="166"/>
      <c r="BY74" s="166"/>
      <c r="BZ74" s="166"/>
      <c r="CA74" s="166"/>
      <c r="CB74" s="166"/>
      <c r="CC74" s="166"/>
      <c r="CD74" s="166"/>
      <c r="CE74" s="166"/>
      <c r="CF74" s="166"/>
      <c r="CG74" s="166"/>
    </row>
    <row r="75" spans="1:85" ht="12" customHeight="1">
      <c r="A75" s="133"/>
      <c r="B75" s="133"/>
      <c r="C75" s="133">
        <v>4</v>
      </c>
      <c r="D75" s="160"/>
      <c r="E75" s="134"/>
      <c r="F75" s="134"/>
      <c r="G75" s="134"/>
      <c r="H75" s="134" t="s">
        <v>1776</v>
      </c>
      <c r="I75" s="134"/>
      <c r="J75" s="134"/>
      <c r="K75" s="134"/>
      <c r="L75" s="134"/>
      <c r="M75" s="134"/>
      <c r="N75" s="134"/>
      <c r="O75" s="134"/>
      <c r="P75" s="236">
        <v>45888</v>
      </c>
      <c r="Q75" s="236">
        <v>45888</v>
      </c>
      <c r="R75" s="134"/>
      <c r="S75" s="135">
        <v>1</v>
      </c>
      <c r="T75" s="135">
        <v>0</v>
      </c>
      <c r="U75" s="135">
        <v>1</v>
      </c>
      <c r="V75" s="135">
        <v>0</v>
      </c>
      <c r="W75" s="236"/>
      <c r="X75" s="236"/>
      <c r="Y75" s="136"/>
      <c r="Z75" s="137">
        <v>0</v>
      </c>
      <c r="AA75" s="135">
        <v>1</v>
      </c>
      <c r="AB75" s="134"/>
      <c r="AC75" s="138"/>
      <c r="AD75" s="159"/>
      <c r="AE75" s="240">
        <v>0</v>
      </c>
      <c r="AF75" s="165"/>
      <c r="AG75" s="166"/>
      <c r="AH75" s="166"/>
      <c r="AI75" s="166"/>
      <c r="AJ75" s="166"/>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6"/>
      <c r="BG75" s="166"/>
      <c r="BH75" s="166"/>
      <c r="BI75" s="166"/>
      <c r="BJ75" s="166"/>
      <c r="BK75" s="166"/>
      <c r="BL75" s="166"/>
      <c r="BM75" s="166"/>
      <c r="BN75" s="166"/>
      <c r="BO75" s="166"/>
      <c r="BP75" s="166"/>
      <c r="BQ75" s="166"/>
      <c r="BR75" s="166"/>
      <c r="BS75" s="166"/>
      <c r="BT75" s="166"/>
      <c r="BU75" s="166"/>
      <c r="BV75" s="166"/>
      <c r="BW75" s="166"/>
      <c r="BX75" s="166"/>
      <c r="BY75" s="166"/>
      <c r="BZ75" s="166"/>
      <c r="CA75" s="166"/>
      <c r="CB75" s="166"/>
      <c r="CC75" s="166"/>
      <c r="CD75" s="166"/>
      <c r="CE75" s="166"/>
      <c r="CF75" s="166"/>
      <c r="CG75" s="166"/>
    </row>
    <row r="76" spans="1:85" ht="12" customHeight="1">
      <c r="A76" s="133"/>
      <c r="B76" s="133"/>
      <c r="C76" s="133">
        <v>4</v>
      </c>
      <c r="D76" s="160"/>
      <c r="E76" s="134"/>
      <c r="F76" s="134"/>
      <c r="G76" s="134"/>
      <c r="H76" s="134" t="s">
        <v>1777</v>
      </c>
      <c r="I76" s="134"/>
      <c r="J76" s="134"/>
      <c r="K76" s="134"/>
      <c r="L76" s="134"/>
      <c r="M76" s="134"/>
      <c r="N76" s="134"/>
      <c r="O76" s="134"/>
      <c r="P76" s="236">
        <v>45944</v>
      </c>
      <c r="Q76" s="236">
        <v>45944</v>
      </c>
      <c r="R76" s="134"/>
      <c r="S76" s="135">
        <v>1</v>
      </c>
      <c r="T76" s="135">
        <v>0</v>
      </c>
      <c r="U76" s="135">
        <v>1</v>
      </c>
      <c r="V76" s="135">
        <v>0</v>
      </c>
      <c r="W76" s="236"/>
      <c r="X76" s="236"/>
      <c r="Y76" s="136"/>
      <c r="Z76" s="137">
        <v>0</v>
      </c>
      <c r="AA76" s="135">
        <v>1</v>
      </c>
      <c r="AB76" s="134"/>
      <c r="AC76" s="138"/>
      <c r="AD76" s="159"/>
      <c r="AE76" s="240">
        <v>0</v>
      </c>
      <c r="AF76" s="165"/>
      <c r="AG76" s="166"/>
      <c r="AH76" s="166"/>
      <c r="AI76" s="166"/>
      <c r="AJ76" s="166"/>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6"/>
      <c r="BG76" s="166"/>
      <c r="BH76" s="166"/>
      <c r="BI76" s="166"/>
      <c r="BJ76" s="166"/>
      <c r="BK76" s="166"/>
      <c r="BL76" s="166"/>
      <c r="BM76" s="166"/>
      <c r="BN76" s="166"/>
      <c r="BO76" s="166"/>
      <c r="BP76" s="166"/>
      <c r="BQ76" s="166"/>
      <c r="BR76" s="166"/>
      <c r="BS76" s="166"/>
      <c r="BT76" s="166"/>
      <c r="BU76" s="166"/>
      <c r="BV76" s="166"/>
      <c r="BW76" s="166"/>
      <c r="BX76" s="166"/>
      <c r="BY76" s="166"/>
      <c r="BZ76" s="166"/>
      <c r="CA76" s="166"/>
      <c r="CB76" s="166"/>
      <c r="CC76" s="166"/>
      <c r="CD76" s="166"/>
      <c r="CE76" s="166"/>
      <c r="CF76" s="166"/>
      <c r="CG76" s="166"/>
    </row>
    <row r="77" spans="1:85" ht="12" customHeight="1">
      <c r="A77" s="133"/>
      <c r="B77" s="133"/>
      <c r="C77" s="133">
        <v>4</v>
      </c>
      <c r="D77" s="160"/>
      <c r="E77" s="134"/>
      <c r="F77" s="134"/>
      <c r="G77" s="134"/>
      <c r="H77" s="134" t="s">
        <v>1778</v>
      </c>
      <c r="I77" s="134"/>
      <c r="J77" s="134"/>
      <c r="K77" s="134"/>
      <c r="L77" s="134"/>
      <c r="M77" s="134"/>
      <c r="N77" s="134"/>
      <c r="O77" s="134"/>
      <c r="P77" s="236">
        <v>46007</v>
      </c>
      <c r="Q77" s="236">
        <v>46007</v>
      </c>
      <c r="R77" s="134"/>
      <c r="S77" s="135">
        <v>1</v>
      </c>
      <c r="T77" s="135">
        <v>0</v>
      </c>
      <c r="U77" s="135">
        <v>1</v>
      </c>
      <c r="V77" s="135">
        <v>0</v>
      </c>
      <c r="W77" s="236"/>
      <c r="X77" s="236"/>
      <c r="Y77" s="136"/>
      <c r="Z77" s="137">
        <v>0</v>
      </c>
      <c r="AA77" s="135">
        <v>1</v>
      </c>
      <c r="AB77" s="134"/>
      <c r="AC77" s="138"/>
      <c r="AD77" s="159"/>
      <c r="AE77" s="240">
        <v>0</v>
      </c>
      <c r="AF77" s="165"/>
      <c r="AG77" s="166"/>
      <c r="AH77" s="166"/>
      <c r="AI77" s="166"/>
      <c r="AJ77" s="166"/>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6"/>
      <c r="BG77" s="166"/>
      <c r="BH77" s="166"/>
      <c r="BI77" s="166"/>
      <c r="BJ77" s="166"/>
      <c r="BK77" s="166"/>
      <c r="BL77" s="166"/>
      <c r="BM77" s="166"/>
      <c r="BN77" s="166"/>
      <c r="BO77" s="166"/>
      <c r="BP77" s="166"/>
      <c r="BQ77" s="166"/>
      <c r="BR77" s="166"/>
      <c r="BS77" s="166"/>
      <c r="BT77" s="166"/>
      <c r="BU77" s="166"/>
      <c r="BV77" s="166"/>
      <c r="BW77" s="166"/>
      <c r="BX77" s="166"/>
      <c r="BY77" s="166"/>
      <c r="BZ77" s="166"/>
      <c r="CA77" s="166"/>
      <c r="CB77" s="166"/>
      <c r="CC77" s="166"/>
      <c r="CD77" s="166"/>
      <c r="CE77" s="166"/>
      <c r="CF77" s="166"/>
      <c r="CG77" s="166"/>
    </row>
    <row r="78" spans="1:85" ht="12" customHeight="1">
      <c r="A78" s="133"/>
      <c r="B78" s="133"/>
      <c r="C78" s="133">
        <v>3</v>
      </c>
      <c r="D78" s="160"/>
      <c r="E78" s="134"/>
      <c r="F78" s="134"/>
      <c r="G78" s="134" t="s">
        <v>1661</v>
      </c>
      <c r="H78" s="134"/>
      <c r="I78" s="134"/>
      <c r="J78" s="134"/>
      <c r="K78" s="134"/>
      <c r="L78" s="134"/>
      <c r="M78" s="134"/>
      <c r="N78" s="134"/>
      <c r="O78" s="134"/>
      <c r="P78" s="236">
        <v>45735</v>
      </c>
      <c r="Q78" s="236">
        <v>45954</v>
      </c>
      <c r="R78" s="134"/>
      <c r="S78" s="135">
        <v>158</v>
      </c>
      <c r="T78" s="135">
        <v>0</v>
      </c>
      <c r="U78" s="135">
        <v>158</v>
      </c>
      <c r="V78" s="135">
        <v>0</v>
      </c>
      <c r="W78" s="236"/>
      <c r="X78" s="236"/>
      <c r="Y78" s="136"/>
      <c r="Z78" s="137">
        <v>0</v>
      </c>
      <c r="AA78" s="135"/>
      <c r="AB78" s="134"/>
      <c r="AC78" s="138"/>
      <c r="AD78" s="159"/>
      <c r="AE78" s="240">
        <v>0</v>
      </c>
      <c r="AF78" s="165"/>
      <c r="AG78" s="166"/>
      <c r="AH78" s="166"/>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6"/>
      <c r="BG78" s="166"/>
      <c r="BH78" s="166"/>
      <c r="BI78" s="166"/>
      <c r="BJ78" s="166"/>
      <c r="BK78" s="166"/>
      <c r="BL78" s="166"/>
      <c r="BM78" s="166"/>
      <c r="BN78" s="166"/>
      <c r="BO78" s="166"/>
      <c r="BP78" s="166"/>
      <c r="BQ78" s="166"/>
      <c r="BR78" s="166"/>
      <c r="BS78" s="166"/>
      <c r="BT78" s="166"/>
      <c r="BU78" s="166"/>
      <c r="BV78" s="166"/>
      <c r="BW78" s="166"/>
      <c r="BX78" s="166"/>
      <c r="BY78" s="166"/>
      <c r="BZ78" s="166"/>
      <c r="CA78" s="166"/>
      <c r="CB78" s="166"/>
      <c r="CC78" s="166"/>
      <c r="CD78" s="166"/>
      <c r="CE78" s="166"/>
      <c r="CF78" s="166"/>
      <c r="CG78" s="166"/>
    </row>
    <row r="79" spans="1:85" ht="12" customHeight="1">
      <c r="A79" s="133"/>
      <c r="B79" s="133"/>
      <c r="C79" s="133">
        <v>4</v>
      </c>
      <c r="D79" s="160"/>
      <c r="E79" s="134"/>
      <c r="F79" s="134"/>
      <c r="G79" s="134"/>
      <c r="H79" s="134" t="s">
        <v>1662</v>
      </c>
      <c r="I79" s="134"/>
      <c r="J79" s="134"/>
      <c r="K79" s="134"/>
      <c r="L79" s="134"/>
      <c r="M79" s="134"/>
      <c r="N79" s="134"/>
      <c r="O79" s="134"/>
      <c r="P79" s="236">
        <v>45735</v>
      </c>
      <c r="Q79" s="236">
        <v>45735</v>
      </c>
      <c r="R79" s="134"/>
      <c r="S79" s="135">
        <v>1</v>
      </c>
      <c r="T79" s="135">
        <v>0</v>
      </c>
      <c r="U79" s="135">
        <v>1</v>
      </c>
      <c r="V79" s="135">
        <v>0</v>
      </c>
      <c r="W79" s="236"/>
      <c r="X79" s="236"/>
      <c r="Y79" s="136"/>
      <c r="Z79" s="137">
        <v>0</v>
      </c>
      <c r="AA79" s="135"/>
      <c r="AB79" s="134"/>
      <c r="AC79" s="138"/>
      <c r="AD79" s="159"/>
      <c r="AE79" s="240">
        <v>0</v>
      </c>
      <c r="AF79" s="165"/>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6"/>
      <c r="BG79" s="166"/>
      <c r="BH79" s="166"/>
      <c r="BI79" s="166"/>
      <c r="BJ79" s="166"/>
      <c r="BK79" s="166"/>
      <c r="BL79" s="166"/>
      <c r="BM79" s="166"/>
      <c r="BN79" s="166"/>
      <c r="BO79" s="166"/>
      <c r="BP79" s="166"/>
      <c r="BQ79" s="166"/>
      <c r="BR79" s="166"/>
      <c r="BS79" s="166"/>
      <c r="BT79" s="166"/>
      <c r="BU79" s="166"/>
      <c r="BV79" s="166"/>
      <c r="BW79" s="166"/>
      <c r="BX79" s="166"/>
      <c r="BY79" s="166"/>
      <c r="BZ79" s="166"/>
      <c r="CA79" s="166"/>
      <c r="CB79" s="166"/>
      <c r="CC79" s="166"/>
      <c r="CD79" s="166"/>
      <c r="CE79" s="166"/>
      <c r="CF79" s="166"/>
      <c r="CG79" s="166"/>
    </row>
    <row r="80" spans="1:85" ht="12" customHeight="1">
      <c r="A80" s="133"/>
      <c r="B80" s="133"/>
      <c r="C80" s="133">
        <v>5</v>
      </c>
      <c r="D80" s="160"/>
      <c r="E80" s="134"/>
      <c r="F80" s="134"/>
      <c r="G80" s="134"/>
      <c r="H80" s="134"/>
      <c r="I80" s="134" t="s">
        <v>1663</v>
      </c>
      <c r="J80" s="134"/>
      <c r="K80" s="134"/>
      <c r="L80" s="134"/>
      <c r="M80" s="134"/>
      <c r="N80" s="134"/>
      <c r="O80" s="134"/>
      <c r="P80" s="236">
        <v>45735</v>
      </c>
      <c r="Q80" s="236">
        <v>45735</v>
      </c>
      <c r="R80" s="134"/>
      <c r="S80" s="135">
        <v>1</v>
      </c>
      <c r="T80" s="135">
        <v>0</v>
      </c>
      <c r="U80" s="135">
        <v>1</v>
      </c>
      <c r="V80" s="135">
        <v>0</v>
      </c>
      <c r="W80" s="236"/>
      <c r="X80" s="236"/>
      <c r="Y80" s="136"/>
      <c r="Z80" s="137">
        <v>0</v>
      </c>
      <c r="AA80" s="135">
        <v>0.1</v>
      </c>
      <c r="AB80" s="134"/>
      <c r="AC80" s="138"/>
      <c r="AD80" s="159"/>
      <c r="AE80" s="240">
        <v>0</v>
      </c>
      <c r="AF80" s="165"/>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6"/>
      <c r="BG80" s="166"/>
      <c r="BH80" s="166"/>
      <c r="BI80" s="166"/>
      <c r="BJ80" s="166"/>
      <c r="BK80" s="166"/>
      <c r="BL80" s="166"/>
      <c r="BM80" s="166"/>
      <c r="BN80" s="166"/>
      <c r="BO80" s="166"/>
      <c r="BP80" s="166"/>
      <c r="BQ80" s="166"/>
      <c r="BR80" s="166"/>
      <c r="BS80" s="166"/>
      <c r="BT80" s="166"/>
      <c r="BU80" s="166"/>
      <c r="BV80" s="166"/>
      <c r="BW80" s="166"/>
      <c r="BX80" s="166"/>
      <c r="BY80" s="166"/>
      <c r="BZ80" s="166"/>
      <c r="CA80" s="166"/>
      <c r="CB80" s="166"/>
      <c r="CC80" s="166"/>
      <c r="CD80" s="166"/>
      <c r="CE80" s="166"/>
      <c r="CF80" s="166"/>
      <c r="CG80" s="166"/>
    </row>
    <row r="81" spans="1:85" ht="12" customHeight="1">
      <c r="A81" s="133"/>
      <c r="B81" s="133"/>
      <c r="C81" s="133">
        <v>4</v>
      </c>
      <c r="D81" s="160"/>
      <c r="E81" s="134"/>
      <c r="F81" s="134"/>
      <c r="G81" s="134"/>
      <c r="H81" s="134" t="s">
        <v>1664</v>
      </c>
      <c r="I81" s="134"/>
      <c r="J81" s="134"/>
      <c r="K81" s="134"/>
      <c r="L81" s="134"/>
      <c r="M81" s="134"/>
      <c r="N81" s="134"/>
      <c r="O81" s="134"/>
      <c r="P81" s="236">
        <v>45838</v>
      </c>
      <c r="Q81" s="236">
        <v>45856</v>
      </c>
      <c r="R81" s="134"/>
      <c r="S81" s="135">
        <v>15</v>
      </c>
      <c r="T81" s="135">
        <v>0</v>
      </c>
      <c r="U81" s="135">
        <v>15</v>
      </c>
      <c r="V81" s="135">
        <v>0</v>
      </c>
      <c r="W81" s="236"/>
      <c r="X81" s="236"/>
      <c r="Y81" s="136"/>
      <c r="Z81" s="137">
        <v>0</v>
      </c>
      <c r="AA81" s="135"/>
      <c r="AB81" s="134"/>
      <c r="AC81" s="138"/>
      <c r="AD81" s="159"/>
      <c r="AE81" s="240">
        <v>0</v>
      </c>
      <c r="AF81" s="165"/>
      <c r="AG81" s="166"/>
      <c r="AH81" s="166"/>
      <c r="AI81" s="166"/>
      <c r="AJ81" s="166"/>
      <c r="AK81" s="166"/>
      <c r="AL81" s="166"/>
      <c r="AM81" s="166"/>
      <c r="AN81" s="166"/>
      <c r="AO81" s="166"/>
      <c r="AP81" s="166"/>
      <c r="AQ81" s="166"/>
      <c r="AR81" s="166"/>
      <c r="AS81" s="166"/>
      <c r="AT81" s="166"/>
      <c r="AU81" s="166"/>
      <c r="AV81" s="166"/>
      <c r="AW81" s="166"/>
      <c r="AX81" s="166"/>
      <c r="AY81" s="166"/>
      <c r="AZ81" s="166"/>
      <c r="BA81" s="166"/>
      <c r="BB81" s="166"/>
      <c r="BC81" s="166"/>
      <c r="BD81" s="166"/>
      <c r="BE81" s="166"/>
      <c r="BF81" s="166"/>
      <c r="BG81" s="166"/>
      <c r="BH81" s="166"/>
      <c r="BI81" s="166"/>
      <c r="BJ81" s="166"/>
      <c r="BK81" s="166"/>
      <c r="BL81" s="166"/>
      <c r="BM81" s="166"/>
      <c r="BN81" s="166"/>
      <c r="BO81" s="166"/>
      <c r="BP81" s="166"/>
      <c r="BQ81" s="166"/>
      <c r="BR81" s="166"/>
      <c r="BS81" s="166"/>
      <c r="BT81" s="166"/>
      <c r="BU81" s="166"/>
      <c r="BV81" s="166"/>
      <c r="BW81" s="166"/>
      <c r="BX81" s="166"/>
      <c r="BY81" s="166"/>
      <c r="BZ81" s="166"/>
      <c r="CA81" s="166"/>
      <c r="CB81" s="166"/>
      <c r="CC81" s="166"/>
      <c r="CD81" s="166"/>
      <c r="CE81" s="166"/>
      <c r="CF81" s="166"/>
      <c r="CG81" s="166"/>
    </row>
    <row r="82" spans="1:85" ht="12" customHeight="1">
      <c r="A82" s="133"/>
      <c r="B82" s="133"/>
      <c r="C82" s="133">
        <v>5</v>
      </c>
      <c r="D82" s="160"/>
      <c r="E82" s="134"/>
      <c r="F82" s="134"/>
      <c r="G82" s="134"/>
      <c r="H82" s="134"/>
      <c r="I82" s="134" t="s">
        <v>1665</v>
      </c>
      <c r="J82" s="134"/>
      <c r="K82" s="134"/>
      <c r="L82" s="134"/>
      <c r="M82" s="134"/>
      <c r="N82" s="134"/>
      <c r="O82" s="134"/>
      <c r="P82" s="236">
        <v>45838</v>
      </c>
      <c r="Q82" s="236">
        <v>45842</v>
      </c>
      <c r="R82" s="134"/>
      <c r="S82" s="135">
        <v>5</v>
      </c>
      <c r="T82" s="135">
        <v>0</v>
      </c>
      <c r="U82" s="135">
        <v>5</v>
      </c>
      <c r="V82" s="135">
        <v>0</v>
      </c>
      <c r="W82" s="236"/>
      <c r="X82" s="236"/>
      <c r="Y82" s="136"/>
      <c r="Z82" s="137">
        <v>0</v>
      </c>
      <c r="AA82" s="135">
        <v>0.1</v>
      </c>
      <c r="AB82" s="134"/>
      <c r="AC82" s="138"/>
      <c r="AD82" s="159"/>
      <c r="AE82" s="240">
        <v>0</v>
      </c>
      <c r="AF82" s="165"/>
      <c r="AG82" s="166"/>
      <c r="AH82" s="166"/>
      <c r="AI82" s="166"/>
      <c r="AJ82" s="166"/>
      <c r="AK82" s="166"/>
      <c r="AL82" s="166"/>
      <c r="AM82" s="166"/>
      <c r="AN82" s="166"/>
      <c r="AO82" s="166"/>
      <c r="AP82" s="166"/>
      <c r="AQ82" s="166"/>
      <c r="AR82" s="166"/>
      <c r="AS82" s="166"/>
      <c r="AT82" s="166"/>
      <c r="AU82" s="166"/>
      <c r="AV82" s="166"/>
      <c r="AW82" s="166"/>
      <c r="AX82" s="166"/>
      <c r="AY82" s="166"/>
      <c r="AZ82" s="166"/>
      <c r="BA82" s="166"/>
      <c r="BB82" s="166"/>
      <c r="BC82" s="166"/>
      <c r="BD82" s="166"/>
      <c r="BE82" s="166"/>
      <c r="BF82" s="166"/>
      <c r="BG82" s="166"/>
      <c r="BH82" s="166"/>
      <c r="BI82" s="166"/>
      <c r="BJ82" s="166"/>
      <c r="BK82" s="166"/>
      <c r="BL82" s="166"/>
      <c r="BM82" s="166"/>
      <c r="BN82" s="166"/>
      <c r="BO82" s="166"/>
      <c r="BP82" s="166"/>
      <c r="BQ82" s="166"/>
      <c r="BR82" s="166"/>
      <c r="BS82" s="166"/>
      <c r="BT82" s="166"/>
      <c r="BU82" s="166"/>
      <c r="BV82" s="166"/>
      <c r="BW82" s="166"/>
      <c r="BX82" s="166"/>
      <c r="BY82" s="166"/>
      <c r="BZ82" s="166"/>
      <c r="CA82" s="166"/>
      <c r="CB82" s="166"/>
      <c r="CC82" s="166"/>
      <c r="CD82" s="166"/>
      <c r="CE82" s="166"/>
      <c r="CF82" s="166"/>
      <c r="CG82" s="166"/>
    </row>
    <row r="83" spans="1:85" ht="12" customHeight="1">
      <c r="A83" s="133"/>
      <c r="B83" s="133"/>
      <c r="C83" s="133">
        <v>5</v>
      </c>
      <c r="D83" s="160"/>
      <c r="E83" s="134"/>
      <c r="F83" s="134"/>
      <c r="G83" s="134"/>
      <c r="H83" s="134"/>
      <c r="I83" s="134" t="s">
        <v>1666</v>
      </c>
      <c r="J83" s="134"/>
      <c r="K83" s="134"/>
      <c r="L83" s="134"/>
      <c r="M83" s="134"/>
      <c r="N83" s="134"/>
      <c r="O83" s="134"/>
      <c r="P83" s="236">
        <v>45845</v>
      </c>
      <c r="Q83" s="236">
        <v>45849</v>
      </c>
      <c r="R83" s="134"/>
      <c r="S83" s="135">
        <v>5</v>
      </c>
      <c r="T83" s="135">
        <v>0</v>
      </c>
      <c r="U83" s="135">
        <v>5</v>
      </c>
      <c r="V83" s="135">
        <v>0</v>
      </c>
      <c r="W83" s="236"/>
      <c r="X83" s="236"/>
      <c r="Y83" s="136"/>
      <c r="Z83" s="137">
        <v>0</v>
      </c>
      <c r="AA83" s="135">
        <v>1</v>
      </c>
      <c r="AB83" s="134"/>
      <c r="AC83" s="138"/>
      <c r="AD83" s="159"/>
      <c r="AE83" s="240">
        <v>0</v>
      </c>
      <c r="AF83" s="165"/>
      <c r="AG83" s="166"/>
      <c r="AH83" s="166"/>
      <c r="AI83" s="166"/>
      <c r="AJ83" s="166"/>
      <c r="AK83" s="166"/>
      <c r="AL83" s="166"/>
      <c r="AM83" s="166"/>
      <c r="AN83" s="166"/>
      <c r="AO83" s="166"/>
      <c r="AP83" s="166"/>
      <c r="AQ83" s="166"/>
      <c r="AR83" s="166"/>
      <c r="AS83" s="166"/>
      <c r="AT83" s="166"/>
      <c r="AU83" s="166"/>
      <c r="AV83" s="166"/>
      <c r="AW83" s="166"/>
      <c r="AX83" s="166"/>
      <c r="AY83" s="166"/>
      <c r="AZ83" s="166"/>
      <c r="BA83" s="166"/>
      <c r="BB83" s="166"/>
      <c r="BC83" s="166"/>
      <c r="BD83" s="166"/>
      <c r="BE83" s="166"/>
      <c r="BF83" s="166"/>
      <c r="BG83" s="166"/>
      <c r="BH83" s="166"/>
      <c r="BI83" s="166"/>
      <c r="BJ83" s="166"/>
      <c r="BK83" s="166"/>
      <c r="BL83" s="166"/>
      <c r="BM83" s="166"/>
      <c r="BN83" s="166"/>
      <c r="BO83" s="166"/>
      <c r="BP83" s="166"/>
      <c r="BQ83" s="166"/>
      <c r="BR83" s="166"/>
      <c r="BS83" s="166"/>
      <c r="BT83" s="166"/>
      <c r="BU83" s="166"/>
      <c r="BV83" s="166"/>
      <c r="BW83" s="166"/>
      <c r="BX83" s="166"/>
      <c r="BY83" s="166"/>
      <c r="BZ83" s="166"/>
      <c r="CA83" s="166"/>
      <c r="CB83" s="166"/>
      <c r="CC83" s="166"/>
      <c r="CD83" s="166"/>
      <c r="CE83" s="166"/>
      <c r="CF83" s="166"/>
      <c r="CG83" s="166"/>
    </row>
    <row r="84" spans="1:85" ht="12" customHeight="1">
      <c r="A84" s="133"/>
      <c r="B84" s="133"/>
      <c r="C84" s="133">
        <v>5</v>
      </c>
      <c r="D84" s="160"/>
      <c r="E84" s="134"/>
      <c r="F84" s="134"/>
      <c r="G84" s="134"/>
      <c r="H84" s="134"/>
      <c r="I84" s="134" t="s">
        <v>1667</v>
      </c>
      <c r="J84" s="134"/>
      <c r="K84" s="134"/>
      <c r="L84" s="134"/>
      <c r="M84" s="134"/>
      <c r="N84" s="134"/>
      <c r="O84" s="134"/>
      <c r="P84" s="236">
        <v>45852</v>
      </c>
      <c r="Q84" s="236">
        <v>45856</v>
      </c>
      <c r="R84" s="134"/>
      <c r="S84" s="135">
        <v>5</v>
      </c>
      <c r="T84" s="135">
        <v>0</v>
      </c>
      <c r="U84" s="135">
        <v>5</v>
      </c>
      <c r="V84" s="135">
        <v>0</v>
      </c>
      <c r="W84" s="236"/>
      <c r="X84" s="236"/>
      <c r="Y84" s="136"/>
      <c r="Z84" s="137">
        <v>0</v>
      </c>
      <c r="AA84" s="135">
        <v>0.5</v>
      </c>
      <c r="AB84" s="134"/>
      <c r="AC84" s="138"/>
      <c r="AD84" s="159"/>
      <c r="AE84" s="240">
        <v>0</v>
      </c>
      <c r="AF84" s="165"/>
      <c r="AG84" s="166"/>
      <c r="AH84" s="166"/>
      <c r="AI84" s="166"/>
      <c r="AJ84" s="166"/>
      <c r="AK84" s="166"/>
      <c r="AL84" s="166"/>
      <c r="AM84" s="166"/>
      <c r="AN84" s="166"/>
      <c r="AO84" s="166"/>
      <c r="AP84" s="166"/>
      <c r="AQ84" s="166"/>
      <c r="AR84" s="166"/>
      <c r="AS84" s="166"/>
      <c r="AT84" s="166"/>
      <c r="AU84" s="166"/>
      <c r="AV84" s="166"/>
      <c r="AW84" s="166"/>
      <c r="AX84" s="166"/>
      <c r="AY84" s="166"/>
      <c r="AZ84" s="166"/>
      <c r="BA84" s="166"/>
      <c r="BB84" s="166"/>
      <c r="BC84" s="166"/>
      <c r="BD84" s="166"/>
      <c r="BE84" s="166"/>
      <c r="BF84" s="166"/>
      <c r="BG84" s="166"/>
      <c r="BH84" s="166"/>
      <c r="BI84" s="166"/>
      <c r="BJ84" s="166"/>
      <c r="BK84" s="166"/>
      <c r="BL84" s="166"/>
      <c r="BM84" s="166"/>
      <c r="BN84" s="166"/>
      <c r="BO84" s="166"/>
      <c r="BP84" s="166"/>
      <c r="BQ84" s="166"/>
      <c r="BR84" s="166"/>
      <c r="BS84" s="166"/>
      <c r="BT84" s="166"/>
      <c r="BU84" s="166"/>
      <c r="BV84" s="166"/>
      <c r="BW84" s="166"/>
      <c r="BX84" s="166"/>
      <c r="BY84" s="166"/>
      <c r="BZ84" s="166"/>
      <c r="CA84" s="166"/>
      <c r="CB84" s="166"/>
      <c r="CC84" s="166"/>
      <c r="CD84" s="166"/>
      <c r="CE84" s="166"/>
      <c r="CF84" s="166"/>
      <c r="CG84" s="166"/>
    </row>
    <row r="85" spans="1:85" ht="12" customHeight="1">
      <c r="A85" s="133"/>
      <c r="B85" s="133"/>
      <c r="C85" s="133">
        <v>4</v>
      </c>
      <c r="D85" s="160"/>
      <c r="E85" s="134"/>
      <c r="F85" s="134"/>
      <c r="G85" s="134"/>
      <c r="H85" s="134" t="s">
        <v>1668</v>
      </c>
      <c r="I85" s="134"/>
      <c r="J85" s="134"/>
      <c r="K85" s="134"/>
      <c r="L85" s="134"/>
      <c r="M85" s="134"/>
      <c r="N85" s="134"/>
      <c r="O85" s="134"/>
      <c r="P85" s="236">
        <v>45929</v>
      </c>
      <c r="Q85" s="236">
        <v>45954</v>
      </c>
      <c r="R85" s="134"/>
      <c r="S85" s="135">
        <v>20</v>
      </c>
      <c r="T85" s="135">
        <v>0</v>
      </c>
      <c r="U85" s="135">
        <v>20</v>
      </c>
      <c r="V85" s="135">
        <v>0</v>
      </c>
      <c r="W85" s="236"/>
      <c r="X85" s="236"/>
      <c r="Y85" s="136"/>
      <c r="Z85" s="137">
        <v>0</v>
      </c>
      <c r="AA85" s="135"/>
      <c r="AB85" s="134"/>
      <c r="AC85" s="138"/>
      <c r="AD85" s="159"/>
      <c r="AE85" s="240">
        <v>0</v>
      </c>
      <c r="AF85" s="165"/>
      <c r="AG85" s="166"/>
      <c r="AH85" s="166"/>
      <c r="AI85" s="166"/>
      <c r="AJ85" s="166"/>
      <c r="AK85" s="166"/>
      <c r="AL85" s="166"/>
      <c r="AM85" s="166"/>
      <c r="AN85" s="166"/>
      <c r="AO85" s="166"/>
      <c r="AP85" s="166"/>
      <c r="AQ85" s="166"/>
      <c r="AR85" s="166"/>
      <c r="AS85" s="166"/>
      <c r="AT85" s="166"/>
      <c r="AU85" s="166"/>
      <c r="AV85" s="166"/>
      <c r="AW85" s="166"/>
      <c r="AX85" s="166"/>
      <c r="AY85" s="166"/>
      <c r="AZ85" s="166"/>
      <c r="BA85" s="166"/>
      <c r="BB85" s="166"/>
      <c r="BC85" s="166"/>
      <c r="BD85" s="166"/>
      <c r="BE85" s="166"/>
      <c r="BF85" s="166"/>
      <c r="BG85" s="166"/>
      <c r="BH85" s="166"/>
      <c r="BI85" s="166"/>
      <c r="BJ85" s="166"/>
      <c r="BK85" s="166"/>
      <c r="BL85" s="166"/>
      <c r="BM85" s="166"/>
      <c r="BN85" s="166"/>
      <c r="BO85" s="166"/>
      <c r="BP85" s="166"/>
      <c r="BQ85" s="166"/>
      <c r="BR85" s="166"/>
      <c r="BS85" s="166"/>
      <c r="BT85" s="166"/>
      <c r="BU85" s="166"/>
      <c r="BV85" s="166"/>
      <c r="BW85" s="166"/>
      <c r="BX85" s="166"/>
      <c r="BY85" s="166"/>
      <c r="BZ85" s="166"/>
      <c r="CA85" s="166"/>
      <c r="CB85" s="166"/>
      <c r="CC85" s="166"/>
      <c r="CD85" s="166"/>
      <c r="CE85" s="166"/>
      <c r="CF85" s="166"/>
      <c r="CG85" s="166"/>
    </row>
    <row r="86" spans="1:85" ht="12" customHeight="1">
      <c r="A86" s="133"/>
      <c r="B86" s="133"/>
      <c r="C86" s="133">
        <v>5</v>
      </c>
      <c r="D86" s="160"/>
      <c r="E86" s="134"/>
      <c r="F86" s="134"/>
      <c r="G86" s="134"/>
      <c r="H86" s="134"/>
      <c r="I86" s="134" t="s">
        <v>1669</v>
      </c>
      <c r="J86" s="134"/>
      <c r="K86" s="134"/>
      <c r="L86" s="134"/>
      <c r="M86" s="134"/>
      <c r="N86" s="134"/>
      <c r="O86" s="134"/>
      <c r="P86" s="236">
        <v>45929</v>
      </c>
      <c r="Q86" s="236">
        <v>45933</v>
      </c>
      <c r="R86" s="134"/>
      <c r="S86" s="135">
        <v>5</v>
      </c>
      <c r="T86" s="135">
        <v>0</v>
      </c>
      <c r="U86" s="135">
        <v>5</v>
      </c>
      <c r="V86" s="135">
        <v>0</v>
      </c>
      <c r="W86" s="236"/>
      <c r="X86" s="236"/>
      <c r="Y86" s="136"/>
      <c r="Z86" s="137">
        <v>0</v>
      </c>
      <c r="AA86" s="135">
        <v>0.1</v>
      </c>
      <c r="AB86" s="134"/>
      <c r="AC86" s="138"/>
      <c r="AD86" s="159"/>
      <c r="AE86" s="240">
        <v>0</v>
      </c>
      <c r="AF86" s="165"/>
      <c r="AG86" s="166"/>
      <c r="AH86" s="166"/>
      <c r="AI86" s="166"/>
      <c r="AJ86" s="166"/>
      <c r="AK86" s="166"/>
      <c r="AL86" s="166"/>
      <c r="AM86" s="166"/>
      <c r="AN86" s="166"/>
      <c r="AO86" s="166"/>
      <c r="AP86" s="166"/>
      <c r="AQ86" s="166"/>
      <c r="AR86" s="166"/>
      <c r="AS86" s="166"/>
      <c r="AT86" s="166"/>
      <c r="AU86" s="166"/>
      <c r="AV86" s="166"/>
      <c r="AW86" s="166"/>
      <c r="AX86" s="166"/>
      <c r="AY86" s="166"/>
      <c r="AZ86" s="166"/>
      <c r="BA86" s="166"/>
      <c r="BB86" s="166"/>
      <c r="BC86" s="166"/>
      <c r="BD86" s="166"/>
      <c r="BE86" s="166"/>
      <c r="BF86" s="166"/>
      <c r="BG86" s="166"/>
      <c r="BH86" s="166"/>
      <c r="BI86" s="166"/>
      <c r="BJ86" s="166"/>
      <c r="BK86" s="166"/>
      <c r="BL86" s="166"/>
      <c r="BM86" s="166"/>
      <c r="BN86" s="166"/>
      <c r="BO86" s="166"/>
      <c r="BP86" s="166"/>
      <c r="BQ86" s="166"/>
      <c r="BR86" s="166"/>
      <c r="BS86" s="166"/>
      <c r="BT86" s="166"/>
      <c r="BU86" s="166"/>
      <c r="BV86" s="166"/>
      <c r="BW86" s="166"/>
      <c r="BX86" s="166"/>
      <c r="BY86" s="166"/>
      <c r="BZ86" s="166"/>
      <c r="CA86" s="166"/>
      <c r="CB86" s="166"/>
      <c r="CC86" s="166"/>
      <c r="CD86" s="166"/>
      <c r="CE86" s="166"/>
      <c r="CF86" s="166"/>
      <c r="CG86" s="166"/>
    </row>
    <row r="87" spans="1:85" ht="12" customHeight="1">
      <c r="A87" s="133"/>
      <c r="B87" s="133"/>
      <c r="C87" s="133">
        <v>5</v>
      </c>
      <c r="D87" s="160"/>
      <c r="E87" s="134"/>
      <c r="F87" s="134"/>
      <c r="G87" s="134"/>
      <c r="H87" s="134"/>
      <c r="I87" s="134" t="s">
        <v>1670</v>
      </c>
      <c r="J87" s="134"/>
      <c r="K87" s="134"/>
      <c r="L87" s="134"/>
      <c r="M87" s="134"/>
      <c r="N87" s="134"/>
      <c r="O87" s="134"/>
      <c r="P87" s="236">
        <v>45929</v>
      </c>
      <c r="Q87" s="236">
        <v>45933</v>
      </c>
      <c r="R87" s="134"/>
      <c r="S87" s="135">
        <v>5</v>
      </c>
      <c r="T87" s="135">
        <v>0</v>
      </c>
      <c r="U87" s="135">
        <v>5</v>
      </c>
      <c r="V87" s="135">
        <v>0</v>
      </c>
      <c r="W87" s="236"/>
      <c r="X87" s="236"/>
      <c r="Y87" s="136"/>
      <c r="Z87" s="137">
        <v>0</v>
      </c>
      <c r="AA87" s="135">
        <v>0.3</v>
      </c>
      <c r="AB87" s="134"/>
      <c r="AC87" s="138"/>
      <c r="AD87" s="159"/>
      <c r="AE87" s="240">
        <v>0</v>
      </c>
      <c r="AF87" s="165"/>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166"/>
      <c r="BH87" s="166"/>
      <c r="BI87" s="166"/>
      <c r="BJ87" s="166"/>
      <c r="BK87" s="166"/>
      <c r="BL87" s="166"/>
      <c r="BM87" s="166"/>
      <c r="BN87" s="166"/>
      <c r="BO87" s="166"/>
      <c r="BP87" s="166"/>
      <c r="BQ87" s="166"/>
      <c r="BR87" s="166"/>
      <c r="BS87" s="166"/>
      <c r="BT87" s="166"/>
      <c r="BU87" s="166"/>
      <c r="BV87" s="166"/>
      <c r="BW87" s="166"/>
      <c r="BX87" s="166"/>
      <c r="BY87" s="166"/>
      <c r="BZ87" s="166"/>
      <c r="CA87" s="166"/>
      <c r="CB87" s="166"/>
      <c r="CC87" s="166"/>
      <c r="CD87" s="166"/>
      <c r="CE87" s="166"/>
      <c r="CF87" s="166"/>
      <c r="CG87" s="166"/>
    </row>
    <row r="88" spans="1:85" ht="12" customHeight="1">
      <c r="A88" s="133"/>
      <c r="B88" s="133"/>
      <c r="C88" s="133">
        <v>5</v>
      </c>
      <c r="D88" s="160"/>
      <c r="E88" s="134"/>
      <c r="F88" s="134"/>
      <c r="G88" s="134"/>
      <c r="H88" s="134"/>
      <c r="I88" s="134" t="s">
        <v>1671</v>
      </c>
      <c r="J88" s="134"/>
      <c r="K88" s="134"/>
      <c r="L88" s="134"/>
      <c r="M88" s="134"/>
      <c r="N88" s="134"/>
      <c r="O88" s="134"/>
      <c r="P88" s="236">
        <v>45943</v>
      </c>
      <c r="Q88" s="236">
        <v>45947</v>
      </c>
      <c r="R88" s="134"/>
      <c r="S88" s="135">
        <v>5</v>
      </c>
      <c r="T88" s="135">
        <v>0</v>
      </c>
      <c r="U88" s="135">
        <v>5</v>
      </c>
      <c r="V88" s="135">
        <v>0</v>
      </c>
      <c r="W88" s="236"/>
      <c r="X88" s="236"/>
      <c r="Y88" s="136"/>
      <c r="Z88" s="137">
        <v>0</v>
      </c>
      <c r="AA88" s="135">
        <v>1</v>
      </c>
      <c r="AB88" s="134"/>
      <c r="AC88" s="138"/>
      <c r="AD88" s="159"/>
      <c r="AE88" s="240">
        <v>0</v>
      </c>
      <c r="AF88" s="165"/>
      <c r="AG88" s="166"/>
      <c r="AH88" s="166"/>
      <c r="AI88" s="166"/>
      <c r="AJ88" s="166"/>
      <c r="AK88" s="166"/>
      <c r="AL88" s="166"/>
      <c r="AM88" s="166"/>
      <c r="AN88" s="166"/>
      <c r="AO88" s="166"/>
      <c r="AP88" s="166"/>
      <c r="AQ88" s="166"/>
      <c r="AR88" s="166"/>
      <c r="AS88" s="166"/>
      <c r="AT88" s="166"/>
      <c r="AU88" s="166"/>
      <c r="AV88" s="166"/>
      <c r="AW88" s="166"/>
      <c r="AX88" s="166"/>
      <c r="AY88" s="166"/>
      <c r="AZ88" s="166"/>
      <c r="BA88" s="166"/>
      <c r="BB88" s="166"/>
      <c r="BC88" s="166"/>
      <c r="BD88" s="166"/>
      <c r="BE88" s="166"/>
      <c r="BF88" s="166"/>
      <c r="BG88" s="166"/>
      <c r="BH88" s="166"/>
      <c r="BI88" s="166"/>
      <c r="BJ88" s="166"/>
      <c r="BK88" s="166"/>
      <c r="BL88" s="166"/>
      <c r="BM88" s="166"/>
      <c r="BN88" s="166"/>
      <c r="BO88" s="166"/>
      <c r="BP88" s="166"/>
      <c r="BQ88" s="166"/>
      <c r="BR88" s="166"/>
      <c r="BS88" s="166"/>
      <c r="BT88" s="166"/>
      <c r="BU88" s="166"/>
      <c r="BV88" s="166"/>
      <c r="BW88" s="166"/>
      <c r="BX88" s="166"/>
      <c r="BY88" s="166"/>
      <c r="BZ88" s="166"/>
      <c r="CA88" s="166"/>
      <c r="CB88" s="166"/>
      <c r="CC88" s="166"/>
      <c r="CD88" s="166"/>
      <c r="CE88" s="166"/>
      <c r="CF88" s="166"/>
      <c r="CG88" s="166"/>
    </row>
    <row r="89" spans="1:85" ht="12" customHeight="1">
      <c r="A89" s="133"/>
      <c r="B89" s="133"/>
      <c r="C89" s="133">
        <v>5</v>
      </c>
      <c r="D89" s="160"/>
      <c r="E89" s="134"/>
      <c r="F89" s="134"/>
      <c r="G89" s="134"/>
      <c r="H89" s="134"/>
      <c r="I89" s="134" t="s">
        <v>1667</v>
      </c>
      <c r="J89" s="134"/>
      <c r="K89" s="134"/>
      <c r="L89" s="134"/>
      <c r="M89" s="134"/>
      <c r="N89" s="134"/>
      <c r="O89" s="134"/>
      <c r="P89" s="236">
        <v>45950</v>
      </c>
      <c r="Q89" s="236">
        <v>45954</v>
      </c>
      <c r="R89" s="134"/>
      <c r="S89" s="135">
        <v>5</v>
      </c>
      <c r="T89" s="135">
        <v>0</v>
      </c>
      <c r="U89" s="135">
        <v>5</v>
      </c>
      <c r="V89" s="135">
        <v>0</v>
      </c>
      <c r="W89" s="236"/>
      <c r="X89" s="236"/>
      <c r="Y89" s="136"/>
      <c r="Z89" s="137">
        <v>0</v>
      </c>
      <c r="AA89" s="135">
        <v>0.5</v>
      </c>
      <c r="AB89" s="134"/>
      <c r="AC89" s="138"/>
      <c r="AD89" s="159"/>
      <c r="AE89" s="240">
        <v>0</v>
      </c>
      <c r="AF89" s="165"/>
      <c r="AG89" s="166"/>
      <c r="AH89" s="166"/>
      <c r="AI89" s="166"/>
      <c r="AJ89" s="166"/>
      <c r="AK89" s="166"/>
      <c r="AL89" s="166"/>
      <c r="AM89" s="166"/>
      <c r="AN89" s="166"/>
      <c r="AO89" s="166"/>
      <c r="AP89" s="166"/>
      <c r="AQ89" s="166"/>
      <c r="AR89" s="166"/>
      <c r="AS89" s="166"/>
      <c r="AT89" s="166"/>
      <c r="AU89" s="166"/>
      <c r="AV89" s="166"/>
      <c r="AW89" s="166"/>
      <c r="AX89" s="166"/>
      <c r="AY89" s="166"/>
      <c r="AZ89" s="166"/>
      <c r="BA89" s="166"/>
      <c r="BB89" s="166"/>
      <c r="BC89" s="166"/>
      <c r="BD89" s="166"/>
      <c r="BE89" s="166"/>
      <c r="BF89" s="166"/>
      <c r="BG89" s="166"/>
      <c r="BH89" s="166"/>
      <c r="BI89" s="166"/>
      <c r="BJ89" s="166"/>
      <c r="BK89" s="166"/>
      <c r="BL89" s="166"/>
      <c r="BM89" s="166"/>
      <c r="BN89" s="166"/>
      <c r="BO89" s="166"/>
      <c r="BP89" s="166"/>
      <c r="BQ89" s="166"/>
      <c r="BR89" s="166"/>
      <c r="BS89" s="166"/>
      <c r="BT89" s="166"/>
      <c r="BU89" s="166"/>
      <c r="BV89" s="166"/>
      <c r="BW89" s="166"/>
      <c r="BX89" s="166"/>
      <c r="BY89" s="166"/>
      <c r="BZ89" s="166"/>
      <c r="CA89" s="166"/>
      <c r="CB89" s="166"/>
      <c r="CC89" s="166"/>
      <c r="CD89" s="166"/>
      <c r="CE89" s="166"/>
      <c r="CF89" s="166"/>
      <c r="CG89" s="166"/>
    </row>
    <row r="90" spans="1:85" ht="12" customHeight="1">
      <c r="A90" s="133"/>
      <c r="B90" s="133"/>
      <c r="C90" s="133">
        <v>3</v>
      </c>
      <c r="D90" s="160"/>
      <c r="E90" s="134"/>
      <c r="F90" s="134"/>
      <c r="G90" s="134" t="s">
        <v>1672</v>
      </c>
      <c r="H90" s="134"/>
      <c r="I90" s="134"/>
      <c r="J90" s="134"/>
      <c r="K90" s="134"/>
      <c r="L90" s="134"/>
      <c r="M90" s="134"/>
      <c r="N90" s="134"/>
      <c r="O90" s="134"/>
      <c r="P90" s="236">
        <v>45705</v>
      </c>
      <c r="Q90" s="236">
        <v>45709</v>
      </c>
      <c r="R90" s="134"/>
      <c r="S90" s="135">
        <v>5</v>
      </c>
      <c r="T90" s="135">
        <v>5</v>
      </c>
      <c r="U90" s="135">
        <v>5</v>
      </c>
      <c r="V90" s="135">
        <v>5</v>
      </c>
      <c r="W90" s="236"/>
      <c r="X90" s="236"/>
      <c r="Y90" s="136"/>
      <c r="Z90" s="137">
        <v>0</v>
      </c>
      <c r="AA90" s="135"/>
      <c r="AB90" s="134"/>
      <c r="AC90" s="138"/>
      <c r="AD90" s="159"/>
      <c r="AE90" s="240">
        <v>0</v>
      </c>
      <c r="AF90" s="165"/>
      <c r="AG90" s="166"/>
      <c r="AH90" s="166"/>
      <c r="AI90" s="166"/>
      <c r="AJ90" s="166"/>
      <c r="AK90" s="166"/>
      <c r="AL90" s="166"/>
      <c r="AM90" s="166"/>
      <c r="AN90" s="166"/>
      <c r="AO90" s="166"/>
      <c r="AP90" s="166"/>
      <c r="AQ90" s="166"/>
      <c r="AR90" s="166"/>
      <c r="AS90" s="166"/>
      <c r="AT90" s="166"/>
      <c r="AU90" s="166"/>
      <c r="AV90" s="166"/>
      <c r="AW90" s="166"/>
      <c r="AX90" s="166"/>
      <c r="AY90" s="166"/>
      <c r="AZ90" s="166"/>
      <c r="BA90" s="166"/>
      <c r="BB90" s="166"/>
      <c r="BC90" s="166"/>
      <c r="BD90" s="166"/>
      <c r="BE90" s="166"/>
      <c r="BF90" s="166"/>
      <c r="BG90" s="166"/>
      <c r="BH90" s="166"/>
      <c r="BI90" s="166"/>
      <c r="BJ90" s="166"/>
      <c r="BK90" s="166"/>
      <c r="BL90" s="166"/>
      <c r="BM90" s="166"/>
      <c r="BN90" s="166"/>
      <c r="BO90" s="166"/>
      <c r="BP90" s="166"/>
      <c r="BQ90" s="166"/>
      <c r="BR90" s="166"/>
      <c r="BS90" s="166"/>
      <c r="BT90" s="166"/>
      <c r="BU90" s="166"/>
      <c r="BV90" s="166"/>
      <c r="BW90" s="166"/>
      <c r="BX90" s="166"/>
      <c r="BY90" s="166"/>
      <c r="BZ90" s="166"/>
      <c r="CA90" s="166"/>
      <c r="CB90" s="166"/>
      <c r="CC90" s="166"/>
      <c r="CD90" s="166"/>
      <c r="CE90" s="166"/>
      <c r="CF90" s="166"/>
      <c r="CG90" s="166"/>
    </row>
    <row r="91" spans="1:85" ht="12" customHeight="1">
      <c r="A91" s="133"/>
      <c r="B91" s="133"/>
      <c r="C91" s="133">
        <v>4</v>
      </c>
      <c r="D91" s="160"/>
      <c r="E91" s="134"/>
      <c r="F91" s="134"/>
      <c r="G91" s="134"/>
      <c r="H91" s="134" t="s">
        <v>1673</v>
      </c>
      <c r="I91" s="134"/>
      <c r="J91" s="134"/>
      <c r="K91" s="134"/>
      <c r="L91" s="134"/>
      <c r="M91" s="134"/>
      <c r="N91" s="134"/>
      <c r="O91" s="134"/>
      <c r="P91" s="236">
        <v>45705</v>
      </c>
      <c r="Q91" s="236">
        <v>45709</v>
      </c>
      <c r="R91" s="134"/>
      <c r="S91" s="135">
        <v>5</v>
      </c>
      <c r="T91" s="135">
        <v>5</v>
      </c>
      <c r="U91" s="135">
        <v>5</v>
      </c>
      <c r="V91" s="135">
        <v>5</v>
      </c>
      <c r="W91" s="236"/>
      <c r="X91" s="236"/>
      <c r="Y91" s="136"/>
      <c r="Z91" s="137">
        <v>0</v>
      </c>
      <c r="AA91" s="135"/>
      <c r="AB91" s="134"/>
      <c r="AC91" s="138"/>
      <c r="AD91" s="159"/>
      <c r="AE91" s="240">
        <v>0</v>
      </c>
      <c r="AF91" s="165"/>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6"/>
      <c r="BG91" s="166"/>
      <c r="BH91" s="166"/>
      <c r="BI91" s="166"/>
      <c r="BJ91" s="166"/>
      <c r="BK91" s="166"/>
      <c r="BL91" s="166"/>
      <c r="BM91" s="166"/>
      <c r="BN91" s="166"/>
      <c r="BO91" s="166"/>
      <c r="BP91" s="166"/>
      <c r="BQ91" s="166"/>
      <c r="BR91" s="166"/>
      <c r="BS91" s="166"/>
      <c r="BT91" s="166"/>
      <c r="BU91" s="166"/>
      <c r="BV91" s="166"/>
      <c r="BW91" s="166"/>
      <c r="BX91" s="166"/>
      <c r="BY91" s="166"/>
      <c r="BZ91" s="166"/>
      <c r="CA91" s="166"/>
      <c r="CB91" s="166"/>
      <c r="CC91" s="166"/>
      <c r="CD91" s="166"/>
      <c r="CE91" s="166"/>
      <c r="CF91" s="166"/>
      <c r="CG91" s="166"/>
    </row>
    <row r="92" spans="1:85" ht="12" customHeight="1">
      <c r="A92" s="133"/>
      <c r="B92" s="133"/>
      <c r="C92" s="133">
        <v>5</v>
      </c>
      <c r="D92" s="160"/>
      <c r="E92" s="134"/>
      <c r="F92" s="134"/>
      <c r="G92" s="134"/>
      <c r="H92" s="134"/>
      <c r="I92" s="134" t="s">
        <v>1674</v>
      </c>
      <c r="J92" s="134"/>
      <c r="K92" s="134"/>
      <c r="L92" s="134"/>
      <c r="M92" s="134"/>
      <c r="N92" s="134"/>
      <c r="O92" s="134"/>
      <c r="P92" s="236">
        <v>45705</v>
      </c>
      <c r="Q92" s="236">
        <v>45709</v>
      </c>
      <c r="R92" s="134"/>
      <c r="S92" s="135">
        <v>5</v>
      </c>
      <c r="T92" s="135">
        <v>5</v>
      </c>
      <c r="U92" s="135">
        <v>5</v>
      </c>
      <c r="V92" s="135">
        <v>5</v>
      </c>
      <c r="W92" s="236"/>
      <c r="X92" s="236"/>
      <c r="Y92" s="136"/>
      <c r="Z92" s="137">
        <v>0</v>
      </c>
      <c r="AA92" s="135">
        <v>1</v>
      </c>
      <c r="AB92" s="134"/>
      <c r="AC92" s="138"/>
      <c r="AD92" s="159"/>
      <c r="AE92" s="240">
        <v>0</v>
      </c>
      <c r="AF92" s="165"/>
      <c r="AG92" s="166"/>
      <c r="AH92" s="166"/>
      <c r="AI92" s="166"/>
      <c r="AJ92" s="166"/>
      <c r="AK92" s="166"/>
      <c r="AL92" s="166"/>
      <c r="AM92" s="166"/>
      <c r="AN92" s="166"/>
      <c r="AO92" s="166"/>
      <c r="AP92" s="166"/>
      <c r="AQ92" s="166"/>
      <c r="AR92" s="166"/>
      <c r="AS92" s="166"/>
      <c r="AT92" s="166"/>
      <c r="AU92" s="166"/>
      <c r="AV92" s="166"/>
      <c r="AW92" s="166"/>
      <c r="AX92" s="166"/>
      <c r="AY92" s="166"/>
      <c r="AZ92" s="166"/>
      <c r="BA92" s="166"/>
      <c r="BB92" s="166"/>
      <c r="BC92" s="166"/>
      <c r="BD92" s="166"/>
      <c r="BE92" s="166"/>
      <c r="BF92" s="166"/>
      <c r="BG92" s="166"/>
      <c r="BH92" s="166"/>
      <c r="BI92" s="166"/>
      <c r="BJ92" s="166"/>
      <c r="BK92" s="166"/>
      <c r="BL92" s="166"/>
      <c r="BM92" s="166"/>
      <c r="BN92" s="166"/>
      <c r="BO92" s="166"/>
      <c r="BP92" s="166"/>
      <c r="BQ92" s="166"/>
      <c r="BR92" s="166"/>
      <c r="BS92" s="166"/>
      <c r="BT92" s="166"/>
      <c r="BU92" s="166"/>
      <c r="BV92" s="166"/>
      <c r="BW92" s="166"/>
      <c r="BX92" s="166"/>
      <c r="BY92" s="166"/>
      <c r="BZ92" s="166"/>
      <c r="CA92" s="166"/>
      <c r="CB92" s="166"/>
      <c r="CC92" s="166"/>
      <c r="CD92" s="166"/>
      <c r="CE92" s="166"/>
      <c r="CF92" s="166"/>
      <c r="CG92" s="166"/>
    </row>
    <row r="93" spans="1:85" ht="12" customHeight="1">
      <c r="A93" s="133"/>
      <c r="B93" s="133"/>
      <c r="C93" s="133">
        <v>5</v>
      </c>
      <c r="D93" s="160"/>
      <c r="E93" s="134"/>
      <c r="F93" s="134"/>
      <c r="G93" s="134"/>
      <c r="H93" s="134"/>
      <c r="I93" s="134" t="s">
        <v>1667</v>
      </c>
      <c r="J93" s="134"/>
      <c r="K93" s="134"/>
      <c r="L93" s="134"/>
      <c r="M93" s="134"/>
      <c r="N93" s="134"/>
      <c r="O93" s="134"/>
      <c r="P93" s="236">
        <v>45705</v>
      </c>
      <c r="Q93" s="236">
        <v>45709</v>
      </c>
      <c r="R93" s="134"/>
      <c r="S93" s="135">
        <v>5</v>
      </c>
      <c r="T93" s="135">
        <v>5</v>
      </c>
      <c r="U93" s="135">
        <v>5</v>
      </c>
      <c r="V93" s="135">
        <v>5</v>
      </c>
      <c r="W93" s="236"/>
      <c r="X93" s="236"/>
      <c r="Y93" s="136"/>
      <c r="Z93" s="137">
        <v>0</v>
      </c>
      <c r="AA93" s="135">
        <v>1</v>
      </c>
      <c r="AB93" s="134"/>
      <c r="AC93" s="138"/>
      <c r="AD93" s="159"/>
      <c r="AE93" s="240">
        <v>0</v>
      </c>
      <c r="AF93" s="165"/>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6"/>
      <c r="BG93" s="166"/>
      <c r="BH93" s="166"/>
      <c r="BI93" s="166"/>
      <c r="BJ93" s="166"/>
      <c r="BK93" s="166"/>
      <c r="BL93" s="166"/>
      <c r="BM93" s="166"/>
      <c r="BN93" s="166"/>
      <c r="BO93" s="166"/>
      <c r="BP93" s="166"/>
      <c r="BQ93" s="166"/>
      <c r="BR93" s="166"/>
      <c r="BS93" s="166"/>
      <c r="BT93" s="166"/>
      <c r="BU93" s="166"/>
      <c r="BV93" s="166"/>
      <c r="BW93" s="166"/>
      <c r="BX93" s="166"/>
      <c r="BY93" s="166"/>
      <c r="BZ93" s="166"/>
      <c r="CA93" s="166"/>
      <c r="CB93" s="166"/>
      <c r="CC93" s="166"/>
      <c r="CD93" s="166"/>
      <c r="CE93" s="166"/>
      <c r="CF93" s="166"/>
      <c r="CG93" s="166"/>
    </row>
    <row r="94" spans="1:85" ht="12" customHeight="1">
      <c r="A94" s="133"/>
      <c r="B94" s="133"/>
      <c r="C94" s="133">
        <v>4</v>
      </c>
      <c r="D94" s="160"/>
      <c r="E94" s="134"/>
      <c r="F94" s="134"/>
      <c r="G94" s="134"/>
      <c r="H94" s="134" t="s">
        <v>1675</v>
      </c>
      <c r="I94" s="134"/>
      <c r="J94" s="134"/>
      <c r="K94" s="134"/>
      <c r="L94" s="134"/>
      <c r="M94" s="134"/>
      <c r="N94" s="134"/>
      <c r="O94" s="134"/>
      <c r="P94" s="236">
        <v>45705</v>
      </c>
      <c r="Q94" s="236">
        <v>45709</v>
      </c>
      <c r="R94" s="134"/>
      <c r="S94" s="135">
        <v>5</v>
      </c>
      <c r="T94" s="135">
        <v>5</v>
      </c>
      <c r="U94" s="135">
        <v>5</v>
      </c>
      <c r="V94" s="135">
        <v>5</v>
      </c>
      <c r="W94" s="236"/>
      <c r="X94" s="236"/>
      <c r="Y94" s="136"/>
      <c r="Z94" s="137">
        <v>0</v>
      </c>
      <c r="AA94" s="135"/>
      <c r="AB94" s="134"/>
      <c r="AC94" s="138"/>
      <c r="AD94" s="159"/>
      <c r="AE94" s="240">
        <v>0</v>
      </c>
      <c r="AF94" s="165"/>
      <c r="AG94" s="166"/>
      <c r="AH94" s="166"/>
      <c r="AI94" s="166"/>
      <c r="AJ94" s="166"/>
      <c r="AK94" s="166"/>
      <c r="AL94" s="166"/>
      <c r="AM94" s="166"/>
      <c r="AN94" s="166"/>
      <c r="AO94" s="166"/>
      <c r="AP94" s="166"/>
      <c r="AQ94" s="166"/>
      <c r="AR94" s="166"/>
      <c r="AS94" s="166"/>
      <c r="AT94" s="166"/>
      <c r="AU94" s="166"/>
      <c r="AV94" s="166"/>
      <c r="AW94" s="166"/>
      <c r="AX94" s="166"/>
      <c r="AY94" s="166"/>
      <c r="AZ94" s="166"/>
      <c r="BA94" s="166"/>
      <c r="BB94" s="166"/>
      <c r="BC94" s="166"/>
      <c r="BD94" s="166"/>
      <c r="BE94" s="166"/>
      <c r="BF94" s="166"/>
      <c r="BG94" s="166"/>
      <c r="BH94" s="166"/>
      <c r="BI94" s="166"/>
      <c r="BJ94" s="166"/>
      <c r="BK94" s="166"/>
      <c r="BL94" s="166"/>
      <c r="BM94" s="166"/>
      <c r="BN94" s="166"/>
      <c r="BO94" s="166"/>
      <c r="BP94" s="166"/>
      <c r="BQ94" s="166"/>
      <c r="BR94" s="166"/>
      <c r="BS94" s="166"/>
      <c r="BT94" s="166"/>
      <c r="BU94" s="166"/>
      <c r="BV94" s="166"/>
      <c r="BW94" s="166"/>
      <c r="BX94" s="166"/>
      <c r="BY94" s="166"/>
      <c r="BZ94" s="166"/>
      <c r="CA94" s="166"/>
      <c r="CB94" s="166"/>
      <c r="CC94" s="166"/>
      <c r="CD94" s="166"/>
      <c r="CE94" s="166"/>
      <c r="CF94" s="166"/>
      <c r="CG94" s="166"/>
    </row>
    <row r="95" spans="1:85" ht="12" customHeight="1">
      <c r="A95" s="133"/>
      <c r="B95" s="133"/>
      <c r="C95" s="133">
        <v>5</v>
      </c>
      <c r="D95" s="160"/>
      <c r="E95" s="134"/>
      <c r="F95" s="134"/>
      <c r="G95" s="134"/>
      <c r="H95" s="134"/>
      <c r="I95" s="134" t="s">
        <v>1676</v>
      </c>
      <c r="J95" s="134"/>
      <c r="K95" s="134"/>
      <c r="L95" s="134"/>
      <c r="M95" s="134"/>
      <c r="N95" s="134"/>
      <c r="O95" s="134"/>
      <c r="P95" s="236">
        <v>45705</v>
      </c>
      <c r="Q95" s="236">
        <v>45709</v>
      </c>
      <c r="R95" s="134"/>
      <c r="S95" s="135">
        <v>5</v>
      </c>
      <c r="T95" s="135">
        <v>5</v>
      </c>
      <c r="U95" s="135">
        <v>5</v>
      </c>
      <c r="V95" s="135">
        <v>5</v>
      </c>
      <c r="W95" s="236"/>
      <c r="X95" s="236"/>
      <c r="Y95" s="136"/>
      <c r="Z95" s="137">
        <v>0</v>
      </c>
      <c r="AA95" s="135">
        <v>1</v>
      </c>
      <c r="AB95" s="134"/>
      <c r="AC95" s="138"/>
      <c r="AD95" s="159"/>
      <c r="AE95" s="240">
        <v>0</v>
      </c>
      <c r="AF95" s="165"/>
      <c r="AG95" s="166"/>
      <c r="AH95" s="166"/>
      <c r="AI95" s="166"/>
      <c r="AJ95" s="166"/>
      <c r="AK95" s="166"/>
      <c r="AL95" s="166"/>
      <c r="AM95" s="166"/>
      <c r="AN95" s="166"/>
      <c r="AO95" s="166"/>
      <c r="AP95" s="166"/>
      <c r="AQ95" s="166"/>
      <c r="AR95" s="166"/>
      <c r="AS95" s="166"/>
      <c r="AT95" s="166"/>
      <c r="AU95" s="166"/>
      <c r="AV95" s="166"/>
      <c r="AW95" s="166"/>
      <c r="AX95" s="166"/>
      <c r="AY95" s="166"/>
      <c r="AZ95" s="166"/>
      <c r="BA95" s="166"/>
      <c r="BB95" s="166"/>
      <c r="BC95" s="166"/>
      <c r="BD95" s="166"/>
      <c r="BE95" s="166"/>
      <c r="BF95" s="166"/>
      <c r="BG95" s="166"/>
      <c r="BH95" s="166"/>
      <c r="BI95" s="166"/>
      <c r="BJ95" s="166"/>
      <c r="BK95" s="166"/>
      <c r="BL95" s="166"/>
      <c r="BM95" s="166"/>
      <c r="BN95" s="166"/>
      <c r="BO95" s="166"/>
      <c r="BP95" s="166"/>
      <c r="BQ95" s="166"/>
      <c r="BR95" s="166"/>
      <c r="BS95" s="166"/>
      <c r="BT95" s="166"/>
      <c r="BU95" s="166"/>
      <c r="BV95" s="166"/>
      <c r="BW95" s="166"/>
      <c r="BX95" s="166"/>
      <c r="BY95" s="166"/>
      <c r="BZ95" s="166"/>
      <c r="CA95" s="166"/>
      <c r="CB95" s="166"/>
      <c r="CC95" s="166"/>
      <c r="CD95" s="166"/>
      <c r="CE95" s="166"/>
      <c r="CF95" s="166"/>
      <c r="CG95" s="166"/>
    </row>
    <row r="96" spans="1:85" ht="12" customHeight="1">
      <c r="A96" s="133"/>
      <c r="B96" s="133"/>
      <c r="C96" s="133">
        <v>5</v>
      </c>
      <c r="D96" s="160"/>
      <c r="E96" s="134"/>
      <c r="F96" s="134"/>
      <c r="G96" s="134"/>
      <c r="H96" s="134"/>
      <c r="I96" s="134" t="s">
        <v>1677</v>
      </c>
      <c r="J96" s="134"/>
      <c r="K96" s="134"/>
      <c r="L96" s="134"/>
      <c r="M96" s="134"/>
      <c r="N96" s="134"/>
      <c r="O96" s="134"/>
      <c r="P96" s="236">
        <v>45705</v>
      </c>
      <c r="Q96" s="236">
        <v>45709</v>
      </c>
      <c r="R96" s="134"/>
      <c r="S96" s="135">
        <v>5</v>
      </c>
      <c r="T96" s="135">
        <v>5</v>
      </c>
      <c r="U96" s="135">
        <v>5</v>
      </c>
      <c r="V96" s="135">
        <v>5</v>
      </c>
      <c r="W96" s="236"/>
      <c r="X96" s="236"/>
      <c r="Y96" s="136"/>
      <c r="Z96" s="137">
        <v>0</v>
      </c>
      <c r="AA96" s="135">
        <v>1</v>
      </c>
      <c r="AB96" s="134"/>
      <c r="AC96" s="138"/>
      <c r="AD96" s="159"/>
      <c r="AE96" s="240">
        <v>0</v>
      </c>
      <c r="AF96" s="165"/>
      <c r="AG96" s="166"/>
      <c r="AH96" s="166"/>
      <c r="AI96" s="166"/>
      <c r="AJ96" s="166"/>
      <c r="AK96" s="166"/>
      <c r="AL96" s="166"/>
      <c r="AM96" s="166"/>
      <c r="AN96" s="166"/>
      <c r="AO96" s="166"/>
      <c r="AP96" s="166"/>
      <c r="AQ96" s="166"/>
      <c r="AR96" s="166"/>
      <c r="AS96" s="166"/>
      <c r="AT96" s="166"/>
      <c r="AU96" s="166"/>
      <c r="AV96" s="166"/>
      <c r="AW96" s="166"/>
      <c r="AX96" s="166"/>
      <c r="AY96" s="166"/>
      <c r="AZ96" s="166"/>
      <c r="BA96" s="166"/>
      <c r="BB96" s="166"/>
      <c r="BC96" s="166"/>
      <c r="BD96" s="166"/>
      <c r="BE96" s="166"/>
      <c r="BF96" s="166"/>
      <c r="BG96" s="166"/>
      <c r="BH96" s="166"/>
      <c r="BI96" s="166"/>
      <c r="BJ96" s="166"/>
      <c r="BK96" s="166"/>
      <c r="BL96" s="166"/>
      <c r="BM96" s="166"/>
      <c r="BN96" s="166"/>
      <c r="BO96" s="166"/>
      <c r="BP96" s="166"/>
      <c r="BQ96" s="166"/>
      <c r="BR96" s="166"/>
      <c r="BS96" s="166"/>
      <c r="BT96" s="166"/>
      <c r="BU96" s="166"/>
      <c r="BV96" s="166"/>
      <c r="BW96" s="166"/>
      <c r="BX96" s="166"/>
      <c r="BY96" s="166"/>
      <c r="BZ96" s="166"/>
      <c r="CA96" s="166"/>
      <c r="CB96" s="166"/>
      <c r="CC96" s="166"/>
      <c r="CD96" s="166"/>
      <c r="CE96" s="166"/>
      <c r="CF96" s="166"/>
      <c r="CG96" s="166"/>
    </row>
    <row r="97" spans="1:85" ht="12" customHeight="1">
      <c r="A97" s="133"/>
      <c r="B97" s="133"/>
      <c r="C97" s="133">
        <v>5</v>
      </c>
      <c r="D97" s="160"/>
      <c r="E97" s="134"/>
      <c r="F97" s="134"/>
      <c r="G97" s="134"/>
      <c r="H97" s="134"/>
      <c r="I97" s="134" t="s">
        <v>1678</v>
      </c>
      <c r="J97" s="134"/>
      <c r="K97" s="134"/>
      <c r="L97" s="134"/>
      <c r="M97" s="134"/>
      <c r="N97" s="134"/>
      <c r="O97" s="134"/>
      <c r="P97" s="236">
        <v>45705</v>
      </c>
      <c r="Q97" s="236">
        <v>45709</v>
      </c>
      <c r="R97" s="134"/>
      <c r="S97" s="135">
        <v>5</v>
      </c>
      <c r="T97" s="135">
        <v>5</v>
      </c>
      <c r="U97" s="135">
        <v>5</v>
      </c>
      <c r="V97" s="135">
        <v>5</v>
      </c>
      <c r="W97" s="236"/>
      <c r="X97" s="236"/>
      <c r="Y97" s="136"/>
      <c r="Z97" s="137">
        <v>0</v>
      </c>
      <c r="AA97" s="135">
        <v>1</v>
      </c>
      <c r="AB97" s="134"/>
      <c r="AC97" s="138"/>
      <c r="AD97" s="159"/>
      <c r="AE97" s="240">
        <v>0</v>
      </c>
      <c r="AF97" s="165"/>
      <c r="AG97" s="166"/>
      <c r="AH97" s="166"/>
      <c r="AI97" s="166"/>
      <c r="AJ97" s="166"/>
      <c r="AK97" s="166"/>
      <c r="AL97" s="166"/>
      <c r="AM97" s="166"/>
      <c r="AN97" s="166"/>
      <c r="AO97" s="166"/>
      <c r="AP97" s="166"/>
      <c r="AQ97" s="166"/>
      <c r="AR97" s="166"/>
      <c r="AS97" s="166"/>
      <c r="AT97" s="166"/>
      <c r="AU97" s="166"/>
      <c r="AV97" s="166"/>
      <c r="AW97" s="166"/>
      <c r="AX97" s="166"/>
      <c r="AY97" s="166"/>
      <c r="AZ97" s="166"/>
      <c r="BA97" s="166"/>
      <c r="BB97" s="166"/>
      <c r="BC97" s="166"/>
      <c r="BD97" s="166"/>
      <c r="BE97" s="166"/>
      <c r="BF97" s="166"/>
      <c r="BG97" s="166"/>
      <c r="BH97" s="166"/>
      <c r="BI97" s="166"/>
      <c r="BJ97" s="166"/>
      <c r="BK97" s="166"/>
      <c r="BL97" s="166"/>
      <c r="BM97" s="166"/>
      <c r="BN97" s="166"/>
      <c r="BO97" s="166"/>
      <c r="BP97" s="166"/>
      <c r="BQ97" s="166"/>
      <c r="BR97" s="166"/>
      <c r="BS97" s="166"/>
      <c r="BT97" s="166"/>
      <c r="BU97" s="166"/>
      <c r="BV97" s="166"/>
      <c r="BW97" s="166"/>
      <c r="BX97" s="166"/>
      <c r="BY97" s="166"/>
      <c r="BZ97" s="166"/>
      <c r="CA97" s="166"/>
      <c r="CB97" s="166"/>
      <c r="CC97" s="166"/>
      <c r="CD97" s="166"/>
      <c r="CE97" s="166"/>
      <c r="CF97" s="166"/>
      <c r="CG97" s="166"/>
    </row>
    <row r="98" spans="1:85" ht="12" customHeight="1">
      <c r="A98" s="133"/>
      <c r="B98" s="133"/>
      <c r="C98" s="133">
        <v>4</v>
      </c>
      <c r="D98" s="160"/>
      <c r="E98" s="134"/>
      <c r="F98" s="134"/>
      <c r="G98" s="134"/>
      <c r="H98" s="134" t="s">
        <v>1679</v>
      </c>
      <c r="I98" s="134"/>
      <c r="J98" s="134"/>
      <c r="K98" s="134"/>
      <c r="L98" s="134"/>
      <c r="M98" s="134"/>
      <c r="N98" s="134"/>
      <c r="O98" s="134"/>
      <c r="P98" s="236">
        <v>45705</v>
      </c>
      <c r="Q98" s="236">
        <v>45709</v>
      </c>
      <c r="R98" s="134"/>
      <c r="S98" s="135">
        <v>5</v>
      </c>
      <c r="T98" s="135">
        <v>5</v>
      </c>
      <c r="U98" s="135">
        <v>5</v>
      </c>
      <c r="V98" s="135">
        <v>5</v>
      </c>
      <c r="W98" s="236"/>
      <c r="X98" s="236"/>
      <c r="Y98" s="136"/>
      <c r="Z98" s="137">
        <v>0</v>
      </c>
      <c r="AA98" s="135"/>
      <c r="AB98" s="134"/>
      <c r="AC98" s="138"/>
      <c r="AD98" s="159"/>
      <c r="AE98" s="240">
        <v>0</v>
      </c>
      <c r="AF98" s="165"/>
      <c r="AG98" s="166"/>
      <c r="AH98" s="166"/>
      <c r="AI98" s="166"/>
      <c r="AJ98" s="166"/>
      <c r="AK98" s="166"/>
      <c r="AL98" s="166"/>
      <c r="AM98" s="166"/>
      <c r="AN98" s="166"/>
      <c r="AO98" s="166"/>
      <c r="AP98" s="166"/>
      <c r="AQ98" s="166"/>
      <c r="AR98" s="166"/>
      <c r="AS98" s="166"/>
      <c r="AT98" s="166"/>
      <c r="AU98" s="166"/>
      <c r="AV98" s="166"/>
      <c r="AW98" s="166"/>
      <c r="AX98" s="166"/>
      <c r="AY98" s="166"/>
      <c r="AZ98" s="166"/>
      <c r="BA98" s="166"/>
      <c r="BB98" s="166"/>
      <c r="BC98" s="166"/>
      <c r="BD98" s="166"/>
      <c r="BE98" s="166"/>
      <c r="BF98" s="166"/>
      <c r="BG98" s="166"/>
      <c r="BH98" s="166"/>
      <c r="BI98" s="166"/>
      <c r="BJ98" s="166"/>
      <c r="BK98" s="166"/>
      <c r="BL98" s="166"/>
      <c r="BM98" s="166"/>
      <c r="BN98" s="166"/>
      <c r="BO98" s="166"/>
      <c r="BP98" s="166"/>
      <c r="BQ98" s="166"/>
      <c r="BR98" s="166"/>
      <c r="BS98" s="166"/>
      <c r="BT98" s="166"/>
      <c r="BU98" s="166"/>
      <c r="BV98" s="166"/>
      <c r="BW98" s="166"/>
      <c r="BX98" s="166"/>
      <c r="BY98" s="166"/>
      <c r="BZ98" s="166"/>
      <c r="CA98" s="166"/>
      <c r="CB98" s="166"/>
      <c r="CC98" s="166"/>
      <c r="CD98" s="166"/>
      <c r="CE98" s="166"/>
      <c r="CF98" s="166"/>
      <c r="CG98" s="166"/>
    </row>
    <row r="99" spans="1:85" ht="12" customHeight="1">
      <c r="A99" s="133"/>
      <c r="B99" s="133"/>
      <c r="C99" s="133">
        <v>5</v>
      </c>
      <c r="D99" s="160"/>
      <c r="E99" s="134"/>
      <c r="F99" s="134"/>
      <c r="G99" s="134"/>
      <c r="H99" s="134"/>
      <c r="I99" s="134" t="s">
        <v>1680</v>
      </c>
      <c r="J99" s="134"/>
      <c r="K99" s="134"/>
      <c r="L99" s="134"/>
      <c r="M99" s="134"/>
      <c r="N99" s="134"/>
      <c r="O99" s="134"/>
      <c r="P99" s="236">
        <v>45705</v>
      </c>
      <c r="Q99" s="236">
        <v>45709</v>
      </c>
      <c r="R99" s="134"/>
      <c r="S99" s="135">
        <v>5</v>
      </c>
      <c r="T99" s="135">
        <v>5</v>
      </c>
      <c r="U99" s="135">
        <v>5</v>
      </c>
      <c r="V99" s="135">
        <v>5</v>
      </c>
      <c r="W99" s="236"/>
      <c r="X99" s="236"/>
      <c r="Y99" s="136"/>
      <c r="Z99" s="137">
        <v>0</v>
      </c>
      <c r="AA99" s="135">
        <v>1</v>
      </c>
      <c r="AB99" s="134"/>
      <c r="AC99" s="138"/>
      <c r="AD99" s="159"/>
      <c r="AE99" s="240">
        <v>0</v>
      </c>
      <c r="AF99" s="165"/>
      <c r="AG99" s="166"/>
      <c r="AH99" s="166"/>
      <c r="AI99" s="166"/>
      <c r="AJ99" s="166"/>
      <c r="AK99" s="166"/>
      <c r="AL99" s="166"/>
      <c r="AM99" s="166"/>
      <c r="AN99" s="166"/>
      <c r="AO99" s="166"/>
      <c r="AP99" s="166"/>
      <c r="AQ99" s="166"/>
      <c r="AR99" s="166"/>
      <c r="AS99" s="166"/>
      <c r="AT99" s="166"/>
      <c r="AU99" s="166"/>
      <c r="AV99" s="166"/>
      <c r="AW99" s="166"/>
      <c r="AX99" s="166"/>
      <c r="AY99" s="166"/>
      <c r="AZ99" s="166"/>
      <c r="BA99" s="166"/>
      <c r="BB99" s="166"/>
      <c r="BC99" s="166"/>
      <c r="BD99" s="166"/>
      <c r="BE99" s="166"/>
      <c r="BF99" s="166"/>
      <c r="BG99" s="166"/>
      <c r="BH99" s="166"/>
      <c r="BI99" s="166"/>
      <c r="BJ99" s="166"/>
      <c r="BK99" s="166"/>
      <c r="BL99" s="166"/>
      <c r="BM99" s="166"/>
      <c r="BN99" s="166"/>
      <c r="BO99" s="166"/>
      <c r="BP99" s="166"/>
      <c r="BQ99" s="166"/>
      <c r="BR99" s="166"/>
      <c r="BS99" s="166"/>
      <c r="BT99" s="166"/>
      <c r="BU99" s="166"/>
      <c r="BV99" s="166"/>
      <c r="BW99" s="166"/>
      <c r="BX99" s="166"/>
      <c r="BY99" s="166"/>
      <c r="BZ99" s="166"/>
      <c r="CA99" s="166"/>
      <c r="CB99" s="166"/>
      <c r="CC99" s="166"/>
      <c r="CD99" s="166"/>
      <c r="CE99" s="166"/>
      <c r="CF99" s="166"/>
      <c r="CG99" s="166"/>
    </row>
    <row r="100" spans="1:85" ht="12" customHeight="1">
      <c r="A100" s="133"/>
      <c r="B100" s="133"/>
      <c r="C100" s="133">
        <v>5</v>
      </c>
      <c r="D100" s="160"/>
      <c r="E100" s="134"/>
      <c r="F100" s="134"/>
      <c r="G100" s="134"/>
      <c r="H100" s="134"/>
      <c r="I100" s="134" t="s">
        <v>1681</v>
      </c>
      <c r="J100" s="134"/>
      <c r="K100" s="134"/>
      <c r="L100" s="134"/>
      <c r="M100" s="134"/>
      <c r="N100" s="134"/>
      <c r="O100" s="134"/>
      <c r="P100" s="236">
        <v>45922</v>
      </c>
      <c r="Q100" s="236">
        <v>45714</v>
      </c>
      <c r="R100" s="134"/>
      <c r="S100" s="135">
        <v>-149</v>
      </c>
      <c r="T100" s="135">
        <v>0</v>
      </c>
      <c r="U100" s="135">
        <v>5</v>
      </c>
      <c r="V100" s="135">
        <v>5</v>
      </c>
      <c r="W100" s="236"/>
      <c r="X100" s="236"/>
      <c r="Y100" s="136"/>
      <c r="Z100" s="137">
        <v>0</v>
      </c>
      <c r="AA100" s="135">
        <v>1</v>
      </c>
      <c r="AB100" s="134"/>
      <c r="AC100" s="138"/>
      <c r="AD100" s="159"/>
      <c r="AE100" s="240">
        <v>0</v>
      </c>
      <c r="AF100" s="165"/>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A100" s="166"/>
      <c r="BB100" s="166"/>
      <c r="BC100" s="166"/>
      <c r="BD100" s="166"/>
      <c r="BE100" s="166"/>
      <c r="BF100" s="166"/>
      <c r="BG100" s="166"/>
      <c r="BH100" s="166"/>
      <c r="BI100" s="166"/>
      <c r="BJ100" s="166"/>
      <c r="BK100" s="166"/>
      <c r="BL100" s="166"/>
      <c r="BM100" s="166"/>
      <c r="BN100" s="166"/>
      <c r="BO100" s="166"/>
      <c r="BP100" s="166"/>
      <c r="BQ100" s="166"/>
      <c r="BR100" s="166"/>
      <c r="BS100" s="166"/>
      <c r="BT100" s="166"/>
      <c r="BU100" s="166"/>
      <c r="BV100" s="166"/>
      <c r="BW100" s="166"/>
      <c r="BX100" s="166"/>
      <c r="BY100" s="166"/>
      <c r="BZ100" s="166"/>
      <c r="CA100" s="166"/>
      <c r="CB100" s="166"/>
      <c r="CC100" s="166"/>
      <c r="CD100" s="166"/>
      <c r="CE100" s="166"/>
      <c r="CF100" s="166"/>
      <c r="CG100" s="166"/>
    </row>
    <row r="101" spans="1:85" ht="12" customHeight="1">
      <c r="A101" s="133"/>
      <c r="B101" s="133"/>
      <c r="C101" s="133">
        <v>5</v>
      </c>
      <c r="D101" s="160"/>
      <c r="E101" s="134"/>
      <c r="F101" s="134"/>
      <c r="G101" s="134"/>
      <c r="H101" s="134"/>
      <c r="I101" s="134" t="s">
        <v>1667</v>
      </c>
      <c r="J101" s="134"/>
      <c r="K101" s="134"/>
      <c r="L101" s="134"/>
      <c r="M101" s="134"/>
      <c r="N101" s="134"/>
      <c r="O101" s="134"/>
      <c r="P101" s="236">
        <v>45705</v>
      </c>
      <c r="Q101" s="236">
        <v>45709</v>
      </c>
      <c r="R101" s="134"/>
      <c r="S101" s="135">
        <v>5</v>
      </c>
      <c r="T101" s="135">
        <v>5</v>
      </c>
      <c r="U101" s="135">
        <v>5</v>
      </c>
      <c r="V101" s="135">
        <v>5</v>
      </c>
      <c r="W101" s="236"/>
      <c r="X101" s="236"/>
      <c r="Y101" s="136"/>
      <c r="Z101" s="137">
        <v>0</v>
      </c>
      <c r="AA101" s="135">
        <v>1</v>
      </c>
      <c r="AB101" s="134"/>
      <c r="AC101" s="138"/>
      <c r="AD101" s="159"/>
      <c r="AE101" s="167">
        <v>0</v>
      </c>
      <c r="AF101" s="165"/>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A101" s="166"/>
      <c r="BB101" s="166"/>
      <c r="BC101" s="166"/>
      <c r="BD101" s="166"/>
      <c r="BE101" s="166"/>
      <c r="BF101" s="166"/>
      <c r="BG101" s="166"/>
      <c r="BH101" s="166"/>
      <c r="BI101" s="166"/>
      <c r="BJ101" s="166"/>
      <c r="BK101" s="166"/>
      <c r="BL101" s="166"/>
      <c r="BM101" s="166"/>
      <c r="BN101" s="166"/>
      <c r="BO101" s="166"/>
      <c r="BP101" s="166"/>
      <c r="BQ101" s="166"/>
      <c r="BR101" s="166"/>
      <c r="BS101" s="166"/>
      <c r="BT101" s="166"/>
      <c r="BU101" s="166"/>
      <c r="BV101" s="166"/>
      <c r="BW101" s="166"/>
      <c r="BX101" s="166"/>
      <c r="BY101" s="166"/>
      <c r="BZ101" s="166"/>
      <c r="CA101" s="166"/>
      <c r="CB101" s="166"/>
      <c r="CC101" s="166"/>
      <c r="CD101" s="166"/>
      <c r="CE101" s="166"/>
      <c r="CF101" s="166"/>
      <c r="CG101" s="166"/>
    </row>
    <row r="102" spans="1:85" ht="12" customHeight="1">
      <c r="A102" s="133"/>
      <c r="B102" s="133"/>
      <c r="C102" s="133">
        <v>4</v>
      </c>
      <c r="D102" s="160"/>
      <c r="E102" s="134"/>
      <c r="F102" s="134"/>
      <c r="G102" s="134"/>
      <c r="H102" s="134" t="s">
        <v>1682</v>
      </c>
      <c r="I102" s="134"/>
      <c r="J102" s="134"/>
      <c r="K102" s="134"/>
      <c r="L102" s="134"/>
      <c r="M102" s="134"/>
      <c r="N102" s="134"/>
      <c r="O102" s="134"/>
      <c r="P102" s="236">
        <v>45705</v>
      </c>
      <c r="Q102" s="236">
        <v>45709</v>
      </c>
      <c r="R102" s="134"/>
      <c r="S102" s="135">
        <v>5</v>
      </c>
      <c r="T102" s="135">
        <v>5</v>
      </c>
      <c r="U102" s="135">
        <v>5</v>
      </c>
      <c r="V102" s="135">
        <v>5</v>
      </c>
      <c r="W102" s="236"/>
      <c r="X102" s="236"/>
      <c r="Y102" s="136"/>
      <c r="Z102" s="137">
        <v>0</v>
      </c>
      <c r="AA102" s="135"/>
      <c r="AB102" s="134"/>
      <c r="AC102" s="138"/>
      <c r="AD102" s="159"/>
      <c r="AE102" s="168">
        <v>0</v>
      </c>
      <c r="AF102" s="165"/>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A102" s="166"/>
      <c r="BB102" s="166"/>
      <c r="BC102" s="166"/>
      <c r="BD102" s="166"/>
      <c r="BE102" s="166"/>
      <c r="BF102" s="166"/>
      <c r="BG102" s="166"/>
      <c r="BH102" s="166"/>
      <c r="BI102" s="166"/>
      <c r="BJ102" s="166"/>
      <c r="BK102" s="166"/>
      <c r="BL102" s="166"/>
      <c r="BM102" s="166"/>
      <c r="BN102" s="166"/>
      <c r="BO102" s="166"/>
      <c r="BP102" s="166"/>
      <c r="BQ102" s="166"/>
      <c r="BR102" s="166"/>
      <c r="BS102" s="166"/>
      <c r="BT102" s="166"/>
      <c r="BU102" s="166"/>
      <c r="BV102" s="166"/>
      <c r="BW102" s="166"/>
      <c r="BX102" s="166"/>
      <c r="BY102" s="166"/>
      <c r="BZ102" s="166"/>
      <c r="CA102" s="166"/>
      <c r="CB102" s="166"/>
      <c r="CC102" s="166"/>
      <c r="CD102" s="166"/>
      <c r="CE102" s="166"/>
      <c r="CF102" s="166"/>
      <c r="CG102" s="166"/>
    </row>
    <row r="103" spans="1:85" ht="12" customHeight="1">
      <c r="A103" s="133"/>
      <c r="B103" s="133"/>
      <c r="C103" s="133">
        <v>5</v>
      </c>
      <c r="D103" s="160"/>
      <c r="E103" s="134"/>
      <c r="F103" s="134"/>
      <c r="G103" s="134"/>
      <c r="H103" s="134"/>
      <c r="I103" s="134" t="s">
        <v>1683</v>
      </c>
      <c r="J103" s="134"/>
      <c r="K103" s="134"/>
      <c r="L103" s="134"/>
      <c r="M103" s="134"/>
      <c r="N103" s="134"/>
      <c r="O103" s="134"/>
      <c r="P103" s="236">
        <v>45705</v>
      </c>
      <c r="Q103" s="236">
        <v>45709</v>
      </c>
      <c r="R103" s="134"/>
      <c r="S103" s="135">
        <v>5</v>
      </c>
      <c r="T103" s="135">
        <v>5</v>
      </c>
      <c r="U103" s="135">
        <v>5</v>
      </c>
      <c r="V103" s="135">
        <v>5</v>
      </c>
      <c r="W103" s="236"/>
      <c r="X103" s="236"/>
      <c r="Y103" s="136"/>
      <c r="Z103" s="137">
        <v>0</v>
      </c>
      <c r="AA103" s="135">
        <v>1</v>
      </c>
      <c r="AB103" s="134"/>
      <c r="AC103" s="138"/>
      <c r="AD103" s="159"/>
      <c r="AE103" s="167">
        <v>0</v>
      </c>
      <c r="AF103" s="165"/>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A103" s="166"/>
      <c r="BB103" s="166"/>
      <c r="BC103" s="166"/>
      <c r="BD103" s="166"/>
      <c r="BE103" s="166"/>
      <c r="BF103" s="166"/>
      <c r="BG103" s="166"/>
      <c r="BH103" s="166"/>
      <c r="BI103" s="166"/>
      <c r="BJ103" s="166"/>
      <c r="BK103" s="166"/>
      <c r="BL103" s="166"/>
      <c r="BM103" s="166"/>
      <c r="BN103" s="166"/>
      <c r="BO103" s="166"/>
      <c r="BP103" s="166"/>
      <c r="BQ103" s="166"/>
      <c r="BR103" s="166"/>
      <c r="BS103" s="166"/>
      <c r="BT103" s="166"/>
      <c r="BU103" s="166"/>
      <c r="BV103" s="166"/>
      <c r="BW103" s="166"/>
      <c r="BX103" s="166"/>
      <c r="BY103" s="166"/>
      <c r="BZ103" s="166"/>
      <c r="CA103" s="166"/>
      <c r="CB103" s="166"/>
      <c r="CC103" s="166"/>
      <c r="CD103" s="166"/>
      <c r="CE103" s="166"/>
      <c r="CF103" s="166"/>
      <c r="CG103" s="166"/>
    </row>
    <row r="104" spans="1:85" ht="12" customHeight="1">
      <c r="A104" s="133"/>
      <c r="B104" s="133"/>
      <c r="C104" s="133">
        <v>5</v>
      </c>
      <c r="D104" s="160"/>
      <c r="E104" s="134"/>
      <c r="F104" s="134"/>
      <c r="G104" s="134"/>
      <c r="H104" s="134"/>
      <c r="I104" s="134" t="s">
        <v>1684</v>
      </c>
      <c r="J104" s="134"/>
      <c r="K104" s="134"/>
      <c r="L104" s="134"/>
      <c r="M104" s="134"/>
      <c r="N104" s="134"/>
      <c r="O104" s="134"/>
      <c r="P104" s="236">
        <v>45705</v>
      </c>
      <c r="Q104" s="236">
        <v>45709</v>
      </c>
      <c r="R104" s="134"/>
      <c r="S104" s="135">
        <v>5</v>
      </c>
      <c r="T104" s="135">
        <v>5</v>
      </c>
      <c r="U104" s="135">
        <v>5</v>
      </c>
      <c r="V104" s="135">
        <v>5</v>
      </c>
      <c r="W104" s="236"/>
      <c r="X104" s="236"/>
      <c r="Y104" s="136"/>
      <c r="Z104" s="137">
        <v>0</v>
      </c>
      <c r="AA104" s="135">
        <v>1</v>
      </c>
      <c r="AB104" s="134"/>
      <c r="AC104" s="138"/>
      <c r="AD104" s="159"/>
      <c r="AE104" s="167">
        <v>0</v>
      </c>
      <c r="AF104" s="165"/>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A104" s="166"/>
      <c r="BB104" s="166"/>
      <c r="BC104" s="166"/>
      <c r="BD104" s="166"/>
      <c r="BE104" s="166"/>
      <c r="BF104" s="166"/>
      <c r="BG104" s="166"/>
      <c r="BH104" s="166"/>
      <c r="BI104" s="166"/>
      <c r="BJ104" s="166"/>
      <c r="BK104" s="166"/>
      <c r="BL104" s="166"/>
      <c r="BM104" s="166"/>
      <c r="BN104" s="166"/>
      <c r="BO104" s="166"/>
      <c r="BP104" s="166"/>
      <c r="BQ104" s="166"/>
      <c r="BR104" s="166"/>
      <c r="BS104" s="166"/>
      <c r="BT104" s="166"/>
      <c r="BU104" s="166"/>
      <c r="BV104" s="166"/>
      <c r="BW104" s="166"/>
      <c r="BX104" s="166"/>
      <c r="BY104" s="166"/>
      <c r="BZ104" s="166"/>
      <c r="CA104" s="166"/>
      <c r="CB104" s="166"/>
      <c r="CC104" s="166"/>
      <c r="CD104" s="166"/>
      <c r="CE104" s="166"/>
      <c r="CF104" s="166"/>
      <c r="CG104" s="166"/>
    </row>
    <row r="105" spans="1:85" ht="12" customHeight="1">
      <c r="A105" s="133"/>
      <c r="B105" s="133"/>
      <c r="C105" s="133">
        <v>5</v>
      </c>
      <c r="D105" s="160"/>
      <c r="E105" s="134"/>
      <c r="F105" s="134"/>
      <c r="G105" s="134"/>
      <c r="H105" s="134"/>
      <c r="I105" s="134" t="s">
        <v>1685</v>
      </c>
      <c r="J105" s="134"/>
      <c r="K105" s="134"/>
      <c r="L105" s="134"/>
      <c r="M105" s="134"/>
      <c r="N105" s="134"/>
      <c r="O105" s="134"/>
      <c r="P105" s="236">
        <v>45705</v>
      </c>
      <c r="Q105" s="236">
        <v>45709</v>
      </c>
      <c r="R105" s="134"/>
      <c r="S105" s="135">
        <v>5</v>
      </c>
      <c r="T105" s="135">
        <v>5</v>
      </c>
      <c r="U105" s="135">
        <v>5</v>
      </c>
      <c r="V105" s="135">
        <v>5</v>
      </c>
      <c r="W105" s="236"/>
      <c r="X105" s="236"/>
      <c r="Y105" s="136"/>
      <c r="Z105" s="137">
        <v>0</v>
      </c>
      <c r="AA105" s="135">
        <v>1</v>
      </c>
      <c r="AB105" s="134"/>
      <c r="AC105" s="138"/>
      <c r="AD105" s="159"/>
      <c r="AE105" s="167">
        <v>0</v>
      </c>
      <c r="AF105" s="165"/>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6"/>
      <c r="BG105" s="166"/>
      <c r="BH105" s="166"/>
      <c r="BI105" s="166"/>
      <c r="BJ105" s="166"/>
      <c r="BK105" s="166"/>
      <c r="BL105" s="166"/>
      <c r="BM105" s="166"/>
      <c r="BN105" s="166"/>
      <c r="BO105" s="166"/>
      <c r="BP105" s="166"/>
      <c r="BQ105" s="166"/>
      <c r="BR105" s="166"/>
      <c r="BS105" s="166"/>
      <c r="BT105" s="166"/>
      <c r="BU105" s="166"/>
      <c r="BV105" s="166"/>
      <c r="BW105" s="166"/>
      <c r="BX105" s="166"/>
      <c r="BY105" s="166"/>
      <c r="BZ105" s="166"/>
      <c r="CA105" s="166"/>
      <c r="CB105" s="166"/>
      <c r="CC105" s="166"/>
      <c r="CD105" s="166"/>
      <c r="CE105" s="166"/>
      <c r="CF105" s="166"/>
      <c r="CG105" s="166"/>
    </row>
    <row r="106" spans="1:85" ht="12" customHeight="1">
      <c r="A106" s="133"/>
      <c r="B106" s="133"/>
      <c r="C106" s="133">
        <v>2</v>
      </c>
      <c r="D106" s="160"/>
      <c r="E106" s="134"/>
      <c r="F106" s="134" t="s">
        <v>1686</v>
      </c>
      <c r="G106" s="134"/>
      <c r="H106" s="134"/>
      <c r="I106" s="134"/>
      <c r="J106" s="134"/>
      <c r="K106" s="134"/>
      <c r="L106" s="134"/>
      <c r="M106" s="134"/>
      <c r="N106" s="134"/>
      <c r="O106" s="134"/>
      <c r="P106" s="236">
        <v>45705</v>
      </c>
      <c r="Q106" s="236">
        <v>45709</v>
      </c>
      <c r="R106" s="134"/>
      <c r="S106" s="135">
        <v>5</v>
      </c>
      <c r="T106" s="135">
        <v>5</v>
      </c>
      <c r="U106" s="135">
        <v>5</v>
      </c>
      <c r="V106" s="135">
        <v>5</v>
      </c>
      <c r="W106" s="236"/>
      <c r="X106" s="236"/>
      <c r="Y106" s="136"/>
      <c r="Z106" s="137">
        <v>0</v>
      </c>
      <c r="AA106" s="135"/>
      <c r="AB106" s="134"/>
      <c r="AC106" s="138"/>
      <c r="AD106" s="159"/>
      <c r="AE106" s="168">
        <v>0</v>
      </c>
      <c r="AF106" s="165"/>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6"/>
      <c r="BG106" s="166"/>
      <c r="BH106" s="166"/>
      <c r="BI106" s="166"/>
      <c r="BJ106" s="166"/>
      <c r="BK106" s="166"/>
      <c r="BL106" s="166"/>
      <c r="BM106" s="166"/>
      <c r="BN106" s="166"/>
      <c r="BO106" s="166"/>
      <c r="BP106" s="166"/>
      <c r="BQ106" s="166"/>
      <c r="BR106" s="166"/>
      <c r="BS106" s="166"/>
      <c r="BT106" s="166"/>
      <c r="BU106" s="166"/>
      <c r="BV106" s="166"/>
      <c r="BW106" s="166"/>
      <c r="BX106" s="166"/>
      <c r="BY106" s="166"/>
      <c r="BZ106" s="166"/>
      <c r="CA106" s="166"/>
      <c r="CB106" s="166"/>
      <c r="CC106" s="166"/>
      <c r="CD106" s="166"/>
      <c r="CE106" s="166"/>
      <c r="CF106" s="166"/>
      <c r="CG106" s="166"/>
    </row>
    <row r="107" spans="1:85" ht="12" customHeight="1">
      <c r="A107" s="133"/>
      <c r="B107" s="133"/>
      <c r="C107" s="133">
        <v>3</v>
      </c>
      <c r="D107" s="160"/>
      <c r="E107" s="134"/>
      <c r="F107" s="134"/>
      <c r="G107" s="134" t="s">
        <v>1687</v>
      </c>
      <c r="H107" s="134"/>
      <c r="I107" s="134"/>
      <c r="J107" s="134"/>
      <c r="K107" s="134"/>
      <c r="L107" s="134"/>
      <c r="M107" s="134"/>
      <c r="N107" s="134"/>
      <c r="O107" s="134"/>
      <c r="P107" s="236">
        <v>45705</v>
      </c>
      <c r="Q107" s="236">
        <v>45709</v>
      </c>
      <c r="R107" s="134"/>
      <c r="S107" s="135">
        <v>5</v>
      </c>
      <c r="T107" s="135">
        <v>5</v>
      </c>
      <c r="U107" s="135">
        <v>5</v>
      </c>
      <c r="V107" s="135">
        <v>5</v>
      </c>
      <c r="W107" s="236"/>
      <c r="X107" s="236"/>
      <c r="Y107" s="136"/>
      <c r="Z107" s="137">
        <v>0</v>
      </c>
      <c r="AA107" s="135"/>
      <c r="AB107" s="134"/>
      <c r="AC107" s="138"/>
      <c r="AD107" s="159"/>
      <c r="AE107" s="168">
        <v>0</v>
      </c>
      <c r="AF107" s="165"/>
      <c r="AG107" s="166"/>
      <c r="AH107" s="166"/>
      <c r="AI107" s="166"/>
      <c r="AJ107" s="166"/>
      <c r="AK107" s="166"/>
      <c r="AL107" s="166"/>
      <c r="AM107" s="166"/>
      <c r="AN107" s="166"/>
      <c r="AO107" s="166"/>
      <c r="AP107" s="166"/>
      <c r="AQ107" s="166"/>
      <c r="AR107" s="166"/>
      <c r="AS107" s="166"/>
      <c r="AT107" s="166"/>
      <c r="AU107" s="166"/>
      <c r="AV107" s="166"/>
      <c r="AW107" s="166"/>
      <c r="AX107" s="166"/>
      <c r="AY107" s="166"/>
      <c r="AZ107" s="166"/>
      <c r="BA107" s="166"/>
      <c r="BB107" s="166"/>
      <c r="BC107" s="166"/>
      <c r="BD107" s="166"/>
      <c r="BE107" s="166"/>
      <c r="BF107" s="166"/>
      <c r="BG107" s="166"/>
      <c r="BH107" s="166"/>
      <c r="BI107" s="166"/>
      <c r="BJ107" s="166"/>
      <c r="BK107" s="166"/>
      <c r="BL107" s="166"/>
      <c r="BM107" s="166"/>
      <c r="BN107" s="166"/>
      <c r="BO107" s="166"/>
      <c r="BP107" s="166"/>
      <c r="BQ107" s="166"/>
      <c r="BR107" s="166"/>
      <c r="BS107" s="166"/>
      <c r="BT107" s="166"/>
      <c r="BU107" s="166"/>
      <c r="BV107" s="166"/>
      <c r="BW107" s="166"/>
      <c r="BX107" s="166"/>
      <c r="BY107" s="166"/>
      <c r="BZ107" s="166"/>
      <c r="CA107" s="166"/>
      <c r="CB107" s="166"/>
      <c r="CC107" s="166"/>
      <c r="CD107" s="166"/>
      <c r="CE107" s="166"/>
      <c r="CF107" s="166"/>
      <c r="CG107" s="166"/>
    </row>
    <row r="108" spans="1:85" ht="12" customHeight="1">
      <c r="A108" s="133"/>
      <c r="B108" s="133"/>
      <c r="C108" s="133">
        <v>4</v>
      </c>
      <c r="D108" s="160"/>
      <c r="E108" s="134"/>
      <c r="F108" s="134"/>
      <c r="G108" s="134"/>
      <c r="H108" s="134" t="s">
        <v>1688</v>
      </c>
      <c r="I108" s="134"/>
      <c r="J108" s="134"/>
      <c r="K108" s="134"/>
      <c r="L108" s="134"/>
      <c r="M108" s="134"/>
      <c r="N108" s="134"/>
      <c r="O108" s="134"/>
      <c r="P108" s="236">
        <v>45705</v>
      </c>
      <c r="Q108" s="236">
        <v>45709</v>
      </c>
      <c r="R108" s="134"/>
      <c r="S108" s="135">
        <v>5</v>
      </c>
      <c r="T108" s="135">
        <v>5</v>
      </c>
      <c r="U108" s="135">
        <v>5</v>
      </c>
      <c r="V108" s="135">
        <v>5</v>
      </c>
      <c r="W108" s="236"/>
      <c r="X108" s="236"/>
      <c r="Y108" s="136"/>
      <c r="Z108" s="137">
        <v>0</v>
      </c>
      <c r="AA108" s="135">
        <v>1</v>
      </c>
      <c r="AB108" s="134"/>
      <c r="AC108" s="138"/>
      <c r="AD108" s="159"/>
      <c r="AE108" s="167">
        <v>0</v>
      </c>
      <c r="AF108" s="165"/>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6"/>
      <c r="BG108" s="166"/>
      <c r="BH108" s="166"/>
      <c r="BI108" s="166"/>
      <c r="BJ108" s="166"/>
      <c r="BK108" s="166"/>
      <c r="BL108" s="166"/>
      <c r="BM108" s="166"/>
      <c r="BN108" s="166"/>
      <c r="BO108" s="166"/>
      <c r="BP108" s="166"/>
      <c r="BQ108" s="166"/>
      <c r="BR108" s="166"/>
      <c r="BS108" s="166"/>
      <c r="BT108" s="166"/>
      <c r="BU108" s="166"/>
      <c r="BV108" s="166"/>
      <c r="BW108" s="166"/>
      <c r="BX108" s="166"/>
      <c r="BY108" s="166"/>
      <c r="BZ108" s="166"/>
      <c r="CA108" s="166"/>
      <c r="CB108" s="166"/>
      <c r="CC108" s="166"/>
      <c r="CD108" s="166"/>
      <c r="CE108" s="166"/>
      <c r="CF108" s="166"/>
      <c r="CG108" s="166"/>
    </row>
    <row r="109" spans="1:85" ht="12" customHeight="1">
      <c r="A109" s="133"/>
      <c r="B109" s="133"/>
      <c r="C109" s="133">
        <v>4</v>
      </c>
      <c r="D109" s="160"/>
      <c r="E109" s="134"/>
      <c r="F109" s="134"/>
      <c r="G109" s="134"/>
      <c r="H109" s="134" t="s">
        <v>1689</v>
      </c>
      <c r="I109" s="134"/>
      <c r="J109" s="134"/>
      <c r="K109" s="134"/>
      <c r="L109" s="134"/>
      <c r="M109" s="134"/>
      <c r="N109" s="134"/>
      <c r="O109" s="134"/>
      <c r="P109" s="236">
        <v>45705</v>
      </c>
      <c r="Q109" s="236">
        <v>45709</v>
      </c>
      <c r="R109" s="134"/>
      <c r="S109" s="135">
        <v>5</v>
      </c>
      <c r="T109" s="135">
        <v>5</v>
      </c>
      <c r="U109" s="135">
        <v>5</v>
      </c>
      <c r="V109" s="135">
        <v>5</v>
      </c>
      <c r="W109" s="236"/>
      <c r="X109" s="236"/>
      <c r="Y109" s="136"/>
      <c r="Z109" s="137">
        <v>0</v>
      </c>
      <c r="AA109" s="135">
        <v>1</v>
      </c>
      <c r="AB109" s="134"/>
      <c r="AC109" s="138"/>
      <c r="AD109" s="159"/>
      <c r="AE109" s="167">
        <v>0</v>
      </c>
      <c r="AF109" s="165"/>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A109" s="166"/>
      <c r="BB109" s="166"/>
      <c r="BC109" s="166"/>
      <c r="BD109" s="166"/>
      <c r="BE109" s="166"/>
      <c r="BF109" s="166"/>
      <c r="BG109" s="166"/>
      <c r="BH109" s="166"/>
      <c r="BI109" s="166"/>
      <c r="BJ109" s="166"/>
      <c r="BK109" s="166"/>
      <c r="BL109" s="166"/>
      <c r="BM109" s="166"/>
      <c r="BN109" s="166"/>
      <c r="BO109" s="166"/>
      <c r="BP109" s="166"/>
      <c r="BQ109" s="166"/>
      <c r="BR109" s="166"/>
      <c r="BS109" s="166"/>
      <c r="BT109" s="166"/>
      <c r="BU109" s="166"/>
      <c r="BV109" s="166"/>
      <c r="BW109" s="166"/>
      <c r="BX109" s="166"/>
      <c r="BY109" s="166"/>
      <c r="BZ109" s="166"/>
      <c r="CA109" s="166"/>
      <c r="CB109" s="166"/>
      <c r="CC109" s="166"/>
      <c r="CD109" s="166"/>
      <c r="CE109" s="166"/>
      <c r="CF109" s="166"/>
      <c r="CG109" s="166"/>
    </row>
    <row r="110" spans="1:85" ht="12" customHeight="1">
      <c r="A110" s="133"/>
      <c r="B110" s="133"/>
      <c r="C110" s="133">
        <v>1</v>
      </c>
      <c r="D110" s="160"/>
      <c r="E110" s="134" t="s">
        <v>1715</v>
      </c>
      <c r="F110" s="134"/>
      <c r="G110" s="134"/>
      <c r="H110" s="134"/>
      <c r="I110" s="134"/>
      <c r="J110" s="134"/>
      <c r="K110" s="134"/>
      <c r="L110" s="134"/>
      <c r="M110" s="134"/>
      <c r="N110" s="134"/>
      <c r="O110" s="134"/>
      <c r="P110" s="236">
        <v>45705</v>
      </c>
      <c r="Q110" s="236">
        <v>46020</v>
      </c>
      <c r="R110" s="134"/>
      <c r="S110" s="135">
        <v>226</v>
      </c>
      <c r="T110" s="135">
        <v>12</v>
      </c>
      <c r="U110" s="135">
        <v>226</v>
      </c>
      <c r="V110" s="135">
        <v>12</v>
      </c>
      <c r="W110" s="236"/>
      <c r="X110" s="236"/>
      <c r="Y110" s="136"/>
      <c r="Z110" s="137">
        <v>0</v>
      </c>
      <c r="AA110" s="135"/>
      <c r="AB110" s="134"/>
      <c r="AC110" s="138"/>
      <c r="AD110" s="159"/>
      <c r="AE110" s="168">
        <v>0</v>
      </c>
      <c r="AF110" s="165"/>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A110" s="166"/>
      <c r="BB110" s="166"/>
      <c r="BC110" s="166"/>
      <c r="BD110" s="166"/>
      <c r="BE110" s="166"/>
      <c r="BF110" s="166"/>
      <c r="BG110" s="166"/>
      <c r="BH110" s="166"/>
      <c r="BI110" s="166"/>
      <c r="BJ110" s="166"/>
      <c r="BK110" s="166"/>
      <c r="BL110" s="166"/>
      <c r="BM110" s="166"/>
      <c r="BN110" s="166"/>
      <c r="BO110" s="166"/>
      <c r="BP110" s="166"/>
      <c r="BQ110" s="166"/>
      <c r="BR110" s="166"/>
      <c r="BS110" s="166"/>
      <c r="BT110" s="166"/>
      <c r="BU110" s="166"/>
      <c r="BV110" s="166"/>
      <c r="BW110" s="166"/>
      <c r="BX110" s="166"/>
      <c r="BY110" s="166"/>
      <c r="BZ110" s="166"/>
      <c r="CA110" s="166"/>
      <c r="CB110" s="166"/>
      <c r="CC110" s="166"/>
      <c r="CD110" s="166"/>
      <c r="CE110" s="166"/>
      <c r="CF110" s="166"/>
      <c r="CG110" s="166"/>
    </row>
    <row r="111" spans="1:85" ht="12" customHeight="1">
      <c r="A111" s="133"/>
      <c r="B111" s="133"/>
      <c r="C111" s="133">
        <v>2</v>
      </c>
      <c r="D111" s="160"/>
      <c r="E111" s="134"/>
      <c r="F111" s="134" t="s">
        <v>1714</v>
      </c>
      <c r="G111" s="134"/>
      <c r="H111" s="134"/>
      <c r="I111" s="134"/>
      <c r="J111" s="134"/>
      <c r="K111" s="134"/>
      <c r="L111" s="134"/>
      <c r="M111" s="134"/>
      <c r="N111" s="134"/>
      <c r="O111" s="134"/>
      <c r="P111" s="236">
        <v>45705</v>
      </c>
      <c r="Q111" s="236">
        <v>45709</v>
      </c>
      <c r="R111" s="134"/>
      <c r="S111" s="135">
        <v>5</v>
      </c>
      <c r="T111" s="135">
        <v>5</v>
      </c>
      <c r="U111" s="135">
        <v>5</v>
      </c>
      <c r="V111" s="135">
        <v>5</v>
      </c>
      <c r="W111" s="236"/>
      <c r="X111" s="236"/>
      <c r="Y111" s="136"/>
      <c r="Z111" s="137">
        <v>0</v>
      </c>
      <c r="AA111" s="135"/>
      <c r="AB111" s="134"/>
      <c r="AC111" s="138"/>
      <c r="AD111" s="159"/>
      <c r="AE111" s="168">
        <v>0</v>
      </c>
      <c r="AF111" s="165"/>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A111" s="166"/>
      <c r="BB111" s="166"/>
      <c r="BC111" s="166"/>
      <c r="BD111" s="166"/>
      <c r="BE111" s="166"/>
      <c r="BF111" s="166"/>
      <c r="BG111" s="166"/>
      <c r="BH111" s="166"/>
      <c r="BI111" s="166"/>
      <c r="BJ111" s="166"/>
      <c r="BK111" s="166"/>
      <c r="BL111" s="166"/>
      <c r="BM111" s="166"/>
      <c r="BN111" s="166"/>
      <c r="BO111" s="166"/>
      <c r="BP111" s="166"/>
      <c r="BQ111" s="166"/>
      <c r="BR111" s="166"/>
      <c r="BS111" s="166"/>
      <c r="BT111" s="166"/>
      <c r="BU111" s="166"/>
      <c r="BV111" s="166"/>
      <c r="BW111" s="166"/>
      <c r="BX111" s="166"/>
      <c r="BY111" s="166"/>
      <c r="BZ111" s="166"/>
      <c r="CA111" s="166"/>
      <c r="CB111" s="166"/>
      <c r="CC111" s="166"/>
      <c r="CD111" s="166"/>
      <c r="CE111" s="166"/>
      <c r="CF111" s="166"/>
      <c r="CG111" s="166"/>
    </row>
    <row r="112" spans="1:85" ht="12" customHeight="1">
      <c r="A112" s="133"/>
      <c r="B112" s="133"/>
      <c r="C112" s="133">
        <v>3</v>
      </c>
      <c r="D112" s="160"/>
      <c r="E112" s="134"/>
      <c r="F112" s="134"/>
      <c r="G112" s="134" t="s">
        <v>1457</v>
      </c>
      <c r="H112" s="134"/>
      <c r="I112" s="134"/>
      <c r="J112" s="134"/>
      <c r="K112" s="134"/>
      <c r="L112" s="134"/>
      <c r="M112" s="134"/>
      <c r="N112" s="134"/>
      <c r="O112" s="134"/>
      <c r="P112" s="236">
        <v>45705</v>
      </c>
      <c r="Q112" s="236">
        <v>45709</v>
      </c>
      <c r="R112" s="134"/>
      <c r="S112" s="135">
        <v>5</v>
      </c>
      <c r="T112" s="135">
        <v>5</v>
      </c>
      <c r="U112" s="135">
        <v>5</v>
      </c>
      <c r="V112" s="135">
        <v>5</v>
      </c>
      <c r="W112" s="236"/>
      <c r="X112" s="236"/>
      <c r="Y112" s="136"/>
      <c r="Z112" s="137">
        <v>0</v>
      </c>
      <c r="AA112" s="135">
        <v>1</v>
      </c>
      <c r="AB112" s="134"/>
      <c r="AC112" s="138"/>
      <c r="AD112" s="159"/>
      <c r="AE112" s="167">
        <v>0</v>
      </c>
      <c r="AF112" s="165"/>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A112" s="166"/>
      <c r="BB112" s="166"/>
      <c r="BC112" s="166"/>
      <c r="BD112" s="166"/>
      <c r="BE112" s="166"/>
      <c r="BF112" s="166"/>
      <c r="BG112" s="166"/>
      <c r="BH112" s="166"/>
      <c r="BI112" s="166"/>
      <c r="BJ112" s="166"/>
      <c r="BK112" s="166"/>
      <c r="BL112" s="166"/>
      <c r="BM112" s="166"/>
      <c r="BN112" s="166"/>
      <c r="BO112" s="166"/>
      <c r="BP112" s="166"/>
      <c r="BQ112" s="166"/>
      <c r="BR112" s="166"/>
      <c r="BS112" s="166"/>
      <c r="BT112" s="166"/>
      <c r="BU112" s="166"/>
      <c r="BV112" s="166"/>
      <c r="BW112" s="166"/>
      <c r="BX112" s="166"/>
      <c r="BY112" s="166"/>
      <c r="BZ112" s="166"/>
      <c r="CA112" s="166"/>
      <c r="CB112" s="166"/>
      <c r="CC112" s="166"/>
      <c r="CD112" s="166"/>
      <c r="CE112" s="166"/>
      <c r="CF112" s="166"/>
      <c r="CG112" s="166"/>
    </row>
    <row r="113" spans="1:85" ht="12" customHeight="1">
      <c r="A113" s="133"/>
      <c r="B113" s="133"/>
      <c r="C113" s="133">
        <v>3</v>
      </c>
      <c r="D113" s="160"/>
      <c r="E113" s="134"/>
      <c r="F113" s="134"/>
      <c r="G113" s="134" t="s">
        <v>1690</v>
      </c>
      <c r="H113" s="134"/>
      <c r="I113" s="134"/>
      <c r="J113" s="134"/>
      <c r="K113" s="134"/>
      <c r="L113" s="134"/>
      <c r="M113" s="134"/>
      <c r="N113" s="134"/>
      <c r="O113" s="134"/>
      <c r="P113" s="236">
        <v>45705</v>
      </c>
      <c r="Q113" s="236">
        <v>45709</v>
      </c>
      <c r="R113" s="134"/>
      <c r="S113" s="135">
        <v>5</v>
      </c>
      <c r="T113" s="135">
        <v>5</v>
      </c>
      <c r="U113" s="135">
        <v>5</v>
      </c>
      <c r="V113" s="135">
        <v>5</v>
      </c>
      <c r="W113" s="236"/>
      <c r="X113" s="236"/>
      <c r="Y113" s="136"/>
      <c r="Z113" s="137">
        <v>0</v>
      </c>
      <c r="AA113" s="135">
        <v>1</v>
      </c>
      <c r="AB113" s="134"/>
      <c r="AC113" s="138"/>
      <c r="AD113" s="159"/>
      <c r="AE113" s="167">
        <v>0</v>
      </c>
      <c r="AF113" s="165"/>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A113" s="166"/>
      <c r="BB113" s="166"/>
      <c r="BC113" s="166"/>
      <c r="BD113" s="166"/>
      <c r="BE113" s="166"/>
      <c r="BF113" s="166"/>
      <c r="BG113" s="166"/>
      <c r="BH113" s="166"/>
      <c r="BI113" s="166"/>
      <c r="BJ113" s="166"/>
      <c r="BK113" s="166"/>
      <c r="BL113" s="166"/>
      <c r="BM113" s="166"/>
      <c r="BN113" s="166"/>
      <c r="BO113" s="166"/>
      <c r="BP113" s="166"/>
      <c r="BQ113" s="166"/>
      <c r="BR113" s="166"/>
      <c r="BS113" s="166"/>
      <c r="BT113" s="166"/>
      <c r="BU113" s="166"/>
      <c r="BV113" s="166"/>
      <c r="BW113" s="166"/>
      <c r="BX113" s="166"/>
      <c r="BY113" s="166"/>
      <c r="BZ113" s="166"/>
      <c r="CA113" s="166"/>
      <c r="CB113" s="166"/>
      <c r="CC113" s="166"/>
      <c r="CD113" s="166"/>
      <c r="CE113" s="166"/>
      <c r="CF113" s="166"/>
      <c r="CG113" s="166"/>
    </row>
    <row r="114" spans="1:85" ht="12" customHeight="1">
      <c r="A114" s="133"/>
      <c r="B114" s="133"/>
      <c r="C114" s="133">
        <v>3</v>
      </c>
      <c r="D114" s="160"/>
      <c r="E114" s="134"/>
      <c r="F114" s="134"/>
      <c r="G114" s="134" t="s">
        <v>1691</v>
      </c>
      <c r="H114" s="134"/>
      <c r="I114" s="134"/>
      <c r="J114" s="134"/>
      <c r="K114" s="134"/>
      <c r="L114" s="134"/>
      <c r="M114" s="134"/>
      <c r="N114" s="134"/>
      <c r="O114" s="134"/>
      <c r="P114" s="236">
        <v>45705</v>
      </c>
      <c r="Q114" s="236">
        <v>45709</v>
      </c>
      <c r="R114" s="134"/>
      <c r="S114" s="135">
        <v>5</v>
      </c>
      <c r="T114" s="135">
        <v>5</v>
      </c>
      <c r="U114" s="135">
        <v>5</v>
      </c>
      <c r="V114" s="135">
        <v>5</v>
      </c>
      <c r="W114" s="236"/>
      <c r="X114" s="236"/>
      <c r="Y114" s="136"/>
      <c r="Z114" s="137">
        <v>0</v>
      </c>
      <c r="AA114" s="135">
        <v>1</v>
      </c>
      <c r="AB114" s="134"/>
      <c r="AC114" s="138"/>
      <c r="AD114" s="159"/>
      <c r="AE114" s="167">
        <v>0</v>
      </c>
      <c r="AF114" s="165"/>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A114" s="166"/>
      <c r="BB114" s="166"/>
      <c r="BC114" s="166"/>
      <c r="BD114" s="166"/>
      <c r="BE114" s="166"/>
      <c r="BF114" s="166"/>
      <c r="BG114" s="166"/>
      <c r="BH114" s="166"/>
      <c r="BI114" s="166"/>
      <c r="BJ114" s="166"/>
      <c r="BK114" s="166"/>
      <c r="BL114" s="166"/>
      <c r="BM114" s="166"/>
      <c r="BN114" s="166"/>
      <c r="BO114" s="166"/>
      <c r="BP114" s="166"/>
      <c r="BQ114" s="166"/>
      <c r="BR114" s="166"/>
      <c r="BS114" s="166"/>
      <c r="BT114" s="166"/>
      <c r="BU114" s="166"/>
      <c r="BV114" s="166"/>
      <c r="BW114" s="166"/>
      <c r="BX114" s="166"/>
      <c r="BY114" s="166"/>
      <c r="BZ114" s="166"/>
      <c r="CA114" s="166"/>
      <c r="CB114" s="166"/>
      <c r="CC114" s="166"/>
      <c r="CD114" s="166"/>
      <c r="CE114" s="166"/>
      <c r="CF114" s="166"/>
      <c r="CG114" s="166"/>
    </row>
    <row r="115" spans="1:85" ht="12" customHeight="1">
      <c r="A115" s="133"/>
      <c r="B115" s="133"/>
      <c r="C115" s="133">
        <v>3</v>
      </c>
      <c r="D115" s="160"/>
      <c r="E115" s="134"/>
      <c r="F115" s="134"/>
      <c r="G115" s="134" t="s">
        <v>1461</v>
      </c>
      <c r="H115" s="134"/>
      <c r="I115" s="134"/>
      <c r="J115" s="134"/>
      <c r="K115" s="134"/>
      <c r="L115" s="134"/>
      <c r="M115" s="134"/>
      <c r="N115" s="134"/>
      <c r="O115" s="134"/>
      <c r="P115" s="236">
        <v>45705</v>
      </c>
      <c r="Q115" s="236">
        <v>45709</v>
      </c>
      <c r="R115" s="134"/>
      <c r="S115" s="135">
        <v>5</v>
      </c>
      <c r="T115" s="135">
        <v>5</v>
      </c>
      <c r="U115" s="135">
        <v>5</v>
      </c>
      <c r="V115" s="135">
        <v>5</v>
      </c>
      <c r="W115" s="236"/>
      <c r="X115" s="236"/>
      <c r="Y115" s="136"/>
      <c r="Z115" s="137">
        <v>0</v>
      </c>
      <c r="AA115" s="135">
        <v>1</v>
      </c>
      <c r="AB115" s="134"/>
      <c r="AC115" s="138"/>
      <c r="AD115" s="159"/>
      <c r="AE115" s="167">
        <v>0</v>
      </c>
      <c r="AF115" s="165"/>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A115" s="166"/>
      <c r="BB115" s="166"/>
      <c r="BC115" s="166"/>
      <c r="BD115" s="166"/>
      <c r="BE115" s="166"/>
      <c r="BF115" s="166"/>
      <c r="BG115" s="166"/>
      <c r="BH115" s="166"/>
      <c r="BI115" s="166"/>
      <c r="BJ115" s="166"/>
      <c r="BK115" s="166"/>
      <c r="BL115" s="166"/>
      <c r="BM115" s="166"/>
      <c r="BN115" s="166"/>
      <c r="BO115" s="166"/>
      <c r="BP115" s="166"/>
      <c r="BQ115" s="166"/>
      <c r="BR115" s="166"/>
      <c r="BS115" s="166"/>
      <c r="BT115" s="166"/>
      <c r="BU115" s="166"/>
      <c r="BV115" s="166"/>
      <c r="BW115" s="166"/>
      <c r="BX115" s="166"/>
      <c r="BY115" s="166"/>
      <c r="BZ115" s="166"/>
      <c r="CA115" s="166"/>
      <c r="CB115" s="166"/>
      <c r="CC115" s="166"/>
      <c r="CD115" s="166"/>
      <c r="CE115" s="166"/>
      <c r="CF115" s="166"/>
      <c r="CG115" s="166"/>
    </row>
    <row r="116" spans="1:85" ht="12" customHeight="1">
      <c r="A116" s="133"/>
      <c r="B116" s="133"/>
      <c r="C116" s="133">
        <v>3</v>
      </c>
      <c r="D116" s="160"/>
      <c r="E116" s="134"/>
      <c r="F116" s="134"/>
      <c r="G116" s="134" t="s">
        <v>1531</v>
      </c>
      <c r="H116" s="134"/>
      <c r="I116" s="134"/>
      <c r="J116" s="134"/>
      <c r="K116" s="134"/>
      <c r="L116" s="134"/>
      <c r="M116" s="134"/>
      <c r="N116" s="134"/>
      <c r="O116" s="134"/>
      <c r="P116" s="236">
        <v>45705</v>
      </c>
      <c r="Q116" s="236">
        <v>45709</v>
      </c>
      <c r="R116" s="134"/>
      <c r="S116" s="135">
        <v>5</v>
      </c>
      <c r="T116" s="135">
        <v>5</v>
      </c>
      <c r="U116" s="135">
        <v>5</v>
      </c>
      <c r="V116" s="135">
        <v>5</v>
      </c>
      <c r="W116" s="236"/>
      <c r="X116" s="236"/>
      <c r="Y116" s="136"/>
      <c r="Z116" s="137">
        <v>0</v>
      </c>
      <c r="AA116" s="135">
        <v>1</v>
      </c>
      <c r="AB116" s="134"/>
      <c r="AC116" s="138"/>
      <c r="AD116" s="159"/>
      <c r="AE116" s="167">
        <v>0</v>
      </c>
      <c r="AF116" s="165"/>
      <c r="AG116" s="166"/>
      <c r="AH116" s="166"/>
      <c r="AI116" s="166"/>
      <c r="AJ116" s="166"/>
      <c r="AK116" s="166"/>
      <c r="AL116" s="166"/>
      <c r="AM116" s="166"/>
      <c r="AN116" s="166"/>
      <c r="AO116" s="166"/>
      <c r="AP116" s="166"/>
      <c r="AQ116" s="166"/>
      <c r="AR116" s="166"/>
      <c r="AS116" s="166"/>
      <c r="AT116" s="166"/>
      <c r="AU116" s="166"/>
      <c r="AV116" s="166"/>
      <c r="AW116" s="166"/>
      <c r="AX116" s="166"/>
      <c r="AY116" s="166"/>
      <c r="AZ116" s="166"/>
      <c r="BA116" s="166"/>
      <c r="BB116" s="166"/>
      <c r="BC116" s="166"/>
      <c r="BD116" s="166"/>
      <c r="BE116" s="166"/>
      <c r="BF116" s="166"/>
      <c r="BG116" s="166"/>
      <c r="BH116" s="166"/>
      <c r="BI116" s="166"/>
      <c r="BJ116" s="166"/>
      <c r="BK116" s="166"/>
      <c r="BL116" s="166"/>
      <c r="BM116" s="166"/>
      <c r="BN116" s="166"/>
      <c r="BO116" s="166"/>
      <c r="BP116" s="166"/>
      <c r="BQ116" s="166"/>
      <c r="BR116" s="166"/>
      <c r="BS116" s="166"/>
      <c r="BT116" s="166"/>
      <c r="BU116" s="166"/>
      <c r="BV116" s="166"/>
      <c r="BW116" s="166"/>
      <c r="BX116" s="166"/>
      <c r="BY116" s="166"/>
      <c r="BZ116" s="166"/>
      <c r="CA116" s="166"/>
      <c r="CB116" s="166"/>
      <c r="CC116" s="166"/>
      <c r="CD116" s="166"/>
      <c r="CE116" s="166"/>
      <c r="CF116" s="166"/>
      <c r="CG116" s="166"/>
    </row>
    <row r="117" spans="1:85" ht="12" customHeight="1">
      <c r="A117" s="133"/>
      <c r="B117" s="133"/>
      <c r="C117" s="133">
        <v>2</v>
      </c>
      <c r="D117" s="160"/>
      <c r="E117" s="134"/>
      <c r="F117" s="134" t="s">
        <v>1716</v>
      </c>
      <c r="G117" s="134"/>
      <c r="H117" s="134"/>
      <c r="I117" s="134"/>
      <c r="J117" s="134"/>
      <c r="K117" s="134"/>
      <c r="L117" s="134"/>
      <c r="M117" s="134"/>
      <c r="N117" s="134"/>
      <c r="O117" s="134"/>
      <c r="P117" s="236">
        <v>45705</v>
      </c>
      <c r="Q117" s="236">
        <v>45709</v>
      </c>
      <c r="R117" s="134"/>
      <c r="S117" s="135">
        <v>5</v>
      </c>
      <c r="T117" s="135">
        <v>5</v>
      </c>
      <c r="U117" s="135">
        <v>5</v>
      </c>
      <c r="V117" s="135">
        <v>5</v>
      </c>
      <c r="W117" s="236"/>
      <c r="X117" s="236"/>
      <c r="Y117" s="136"/>
      <c r="Z117" s="137">
        <v>0</v>
      </c>
      <c r="AA117" s="135"/>
      <c r="AB117" s="134"/>
      <c r="AC117" s="138"/>
      <c r="AD117" s="159"/>
      <c r="AE117" s="168">
        <v>0</v>
      </c>
      <c r="AF117" s="165"/>
      <c r="AG117" s="166"/>
      <c r="AH117" s="166"/>
      <c r="AI117" s="166"/>
      <c r="AJ117" s="166"/>
      <c r="AK117" s="166"/>
      <c r="AL117" s="166"/>
      <c r="AM117" s="166"/>
      <c r="AN117" s="166"/>
      <c r="AO117" s="166"/>
      <c r="AP117" s="166"/>
      <c r="AQ117" s="166"/>
      <c r="AR117" s="166"/>
      <c r="AS117" s="166"/>
      <c r="AT117" s="166"/>
      <c r="AU117" s="166"/>
      <c r="AV117" s="166"/>
      <c r="AW117" s="166"/>
      <c r="AX117" s="166"/>
      <c r="AY117" s="166"/>
      <c r="AZ117" s="166"/>
      <c r="BA117" s="166"/>
      <c r="BB117" s="166"/>
      <c r="BC117" s="166"/>
      <c r="BD117" s="166"/>
      <c r="BE117" s="166"/>
      <c r="BF117" s="166"/>
      <c r="BG117" s="166"/>
      <c r="BH117" s="166"/>
      <c r="BI117" s="166"/>
      <c r="BJ117" s="166"/>
      <c r="BK117" s="166"/>
      <c r="BL117" s="166"/>
      <c r="BM117" s="166"/>
      <c r="BN117" s="166"/>
      <c r="BO117" s="166"/>
      <c r="BP117" s="166"/>
      <c r="BQ117" s="166"/>
      <c r="BR117" s="166"/>
      <c r="BS117" s="166"/>
      <c r="BT117" s="166"/>
      <c r="BU117" s="166"/>
      <c r="BV117" s="166"/>
      <c r="BW117" s="166"/>
      <c r="BX117" s="166"/>
      <c r="BY117" s="166"/>
      <c r="BZ117" s="166"/>
      <c r="CA117" s="166"/>
      <c r="CB117" s="166"/>
      <c r="CC117" s="166"/>
      <c r="CD117" s="166"/>
      <c r="CE117" s="166"/>
      <c r="CF117" s="166"/>
      <c r="CG117" s="166"/>
    </row>
    <row r="118" spans="1:85" ht="12" customHeight="1">
      <c r="A118" s="133"/>
      <c r="B118" s="133"/>
      <c r="C118" s="133">
        <v>3</v>
      </c>
      <c r="D118" s="160"/>
      <c r="E118" s="134"/>
      <c r="F118" s="134"/>
      <c r="G118" s="134" t="s">
        <v>1457</v>
      </c>
      <c r="H118" s="134"/>
      <c r="I118" s="134"/>
      <c r="J118" s="134"/>
      <c r="K118" s="134"/>
      <c r="L118" s="134"/>
      <c r="M118" s="134"/>
      <c r="N118" s="134"/>
      <c r="O118" s="134"/>
      <c r="P118" s="236">
        <v>45705</v>
      </c>
      <c r="Q118" s="236">
        <v>45709</v>
      </c>
      <c r="R118" s="134"/>
      <c r="S118" s="135">
        <v>5</v>
      </c>
      <c r="T118" s="135">
        <v>5</v>
      </c>
      <c r="U118" s="135">
        <v>5</v>
      </c>
      <c r="V118" s="135">
        <v>5</v>
      </c>
      <c r="W118" s="236"/>
      <c r="X118" s="236"/>
      <c r="Y118" s="136"/>
      <c r="Z118" s="137">
        <v>0</v>
      </c>
      <c r="AA118" s="135">
        <v>1</v>
      </c>
      <c r="AB118" s="134"/>
      <c r="AC118" s="138"/>
      <c r="AD118" s="159"/>
      <c r="AE118" s="167">
        <v>0</v>
      </c>
      <c r="AF118" s="165"/>
      <c r="AG118" s="166"/>
      <c r="AH118" s="166"/>
      <c r="AI118" s="166"/>
      <c r="AJ118" s="166"/>
      <c r="AK118" s="166"/>
      <c r="AL118" s="166"/>
      <c r="AM118" s="166"/>
      <c r="AN118" s="166"/>
      <c r="AO118" s="166"/>
      <c r="AP118" s="166"/>
      <c r="AQ118" s="166"/>
      <c r="AR118" s="166"/>
      <c r="AS118" s="166"/>
      <c r="AT118" s="166"/>
      <c r="AU118" s="166"/>
      <c r="AV118" s="166"/>
      <c r="AW118" s="166"/>
      <c r="AX118" s="166"/>
      <c r="AY118" s="166"/>
      <c r="AZ118" s="166"/>
      <c r="BA118" s="166"/>
      <c r="BB118" s="166"/>
      <c r="BC118" s="166"/>
      <c r="BD118" s="166"/>
      <c r="BE118" s="166"/>
      <c r="BF118" s="166"/>
      <c r="BG118" s="166"/>
      <c r="BH118" s="166"/>
      <c r="BI118" s="166"/>
      <c r="BJ118" s="166"/>
      <c r="BK118" s="166"/>
      <c r="BL118" s="166"/>
      <c r="BM118" s="166"/>
      <c r="BN118" s="166"/>
      <c r="BO118" s="166"/>
      <c r="BP118" s="166"/>
      <c r="BQ118" s="166"/>
      <c r="BR118" s="166"/>
      <c r="BS118" s="166"/>
      <c r="BT118" s="166"/>
      <c r="BU118" s="166"/>
      <c r="BV118" s="166"/>
      <c r="BW118" s="166"/>
      <c r="BX118" s="166"/>
      <c r="BY118" s="166"/>
      <c r="BZ118" s="166"/>
      <c r="CA118" s="166"/>
      <c r="CB118" s="166"/>
      <c r="CC118" s="166"/>
      <c r="CD118" s="166"/>
      <c r="CE118" s="166"/>
      <c r="CF118" s="166"/>
      <c r="CG118" s="166"/>
    </row>
    <row r="119" spans="1:85" ht="12" customHeight="1">
      <c r="A119" s="133"/>
      <c r="B119" s="133"/>
      <c r="C119" s="133">
        <v>3</v>
      </c>
      <c r="D119" s="160"/>
      <c r="E119" s="134"/>
      <c r="F119" s="134"/>
      <c r="G119" s="134" t="s">
        <v>1690</v>
      </c>
      <c r="H119" s="134"/>
      <c r="I119" s="134"/>
      <c r="J119" s="134"/>
      <c r="K119" s="134"/>
      <c r="L119" s="134"/>
      <c r="M119" s="134"/>
      <c r="N119" s="134"/>
      <c r="O119" s="134"/>
      <c r="P119" s="236">
        <v>45705</v>
      </c>
      <c r="Q119" s="236">
        <v>45709</v>
      </c>
      <c r="R119" s="134"/>
      <c r="S119" s="135">
        <v>5</v>
      </c>
      <c r="T119" s="135">
        <v>5</v>
      </c>
      <c r="U119" s="135">
        <v>5</v>
      </c>
      <c r="V119" s="135">
        <v>5</v>
      </c>
      <c r="W119" s="236"/>
      <c r="X119" s="236"/>
      <c r="Y119" s="136"/>
      <c r="Z119" s="137">
        <v>0</v>
      </c>
      <c r="AA119" s="135">
        <v>1</v>
      </c>
      <c r="AB119" s="134"/>
      <c r="AC119" s="138"/>
      <c r="AD119" s="159"/>
      <c r="AE119" s="167">
        <v>0</v>
      </c>
      <c r="AF119" s="165"/>
      <c r="AG119" s="166"/>
      <c r="AH119" s="166"/>
      <c r="AI119" s="166"/>
      <c r="AJ119" s="166"/>
      <c r="AK119" s="166"/>
      <c r="AL119" s="166"/>
      <c r="AM119" s="166"/>
      <c r="AN119" s="166"/>
      <c r="AO119" s="166"/>
      <c r="AP119" s="166"/>
      <c r="AQ119" s="166"/>
      <c r="AR119" s="166"/>
      <c r="AS119" s="166"/>
      <c r="AT119" s="166"/>
      <c r="AU119" s="166"/>
      <c r="AV119" s="166"/>
      <c r="AW119" s="166"/>
      <c r="AX119" s="166"/>
      <c r="AY119" s="166"/>
      <c r="AZ119" s="166"/>
      <c r="BA119" s="166"/>
      <c r="BB119" s="166"/>
      <c r="BC119" s="166"/>
      <c r="BD119" s="166"/>
      <c r="BE119" s="166"/>
      <c r="BF119" s="166"/>
      <c r="BG119" s="166"/>
      <c r="BH119" s="166"/>
      <c r="BI119" s="166"/>
      <c r="BJ119" s="166"/>
      <c r="BK119" s="166"/>
      <c r="BL119" s="166"/>
      <c r="BM119" s="166"/>
      <c r="BN119" s="166"/>
      <c r="BO119" s="166"/>
      <c r="BP119" s="166"/>
      <c r="BQ119" s="166"/>
      <c r="BR119" s="166"/>
      <c r="BS119" s="166"/>
      <c r="BT119" s="166"/>
      <c r="BU119" s="166"/>
      <c r="BV119" s="166"/>
      <c r="BW119" s="166"/>
      <c r="BX119" s="166"/>
      <c r="BY119" s="166"/>
      <c r="BZ119" s="166"/>
      <c r="CA119" s="166"/>
      <c r="CB119" s="166"/>
      <c r="CC119" s="166"/>
      <c r="CD119" s="166"/>
      <c r="CE119" s="166"/>
      <c r="CF119" s="166"/>
      <c r="CG119" s="166"/>
    </row>
    <row r="120" spans="1:85" ht="12" customHeight="1">
      <c r="A120" s="133"/>
      <c r="B120" s="133"/>
      <c r="C120" s="133">
        <v>3</v>
      </c>
      <c r="D120" s="160"/>
      <c r="E120" s="134"/>
      <c r="F120" s="134"/>
      <c r="G120" s="134" t="s">
        <v>1691</v>
      </c>
      <c r="H120" s="134"/>
      <c r="I120" s="134"/>
      <c r="J120" s="134"/>
      <c r="K120" s="134"/>
      <c r="L120" s="134"/>
      <c r="M120" s="134"/>
      <c r="N120" s="134"/>
      <c r="O120" s="134"/>
      <c r="P120" s="236">
        <v>45705</v>
      </c>
      <c r="Q120" s="236">
        <v>45709</v>
      </c>
      <c r="R120" s="134"/>
      <c r="S120" s="135">
        <v>5</v>
      </c>
      <c r="T120" s="135">
        <v>5</v>
      </c>
      <c r="U120" s="135">
        <v>5</v>
      </c>
      <c r="V120" s="135">
        <v>5</v>
      </c>
      <c r="W120" s="236"/>
      <c r="X120" s="236"/>
      <c r="Y120" s="136"/>
      <c r="Z120" s="137">
        <v>0</v>
      </c>
      <c r="AA120" s="135">
        <v>1</v>
      </c>
      <c r="AB120" s="134"/>
      <c r="AC120" s="138"/>
      <c r="AD120" s="159"/>
      <c r="AE120" s="167">
        <v>0</v>
      </c>
      <c r="AF120" s="165"/>
      <c r="AG120" s="166"/>
      <c r="AH120" s="166"/>
      <c r="AI120" s="166"/>
      <c r="AJ120" s="166"/>
      <c r="AK120" s="166"/>
      <c r="AL120" s="166"/>
      <c r="AM120" s="166"/>
      <c r="AN120" s="166"/>
      <c r="AO120" s="166"/>
      <c r="AP120" s="166"/>
      <c r="AQ120" s="166"/>
      <c r="AR120" s="166"/>
      <c r="AS120" s="166"/>
      <c r="AT120" s="166"/>
      <c r="AU120" s="166"/>
      <c r="AV120" s="166"/>
      <c r="AW120" s="166"/>
      <c r="AX120" s="166"/>
      <c r="AY120" s="166"/>
      <c r="AZ120" s="166"/>
      <c r="BA120" s="166"/>
      <c r="BB120" s="166"/>
      <c r="BC120" s="166"/>
      <c r="BD120" s="166"/>
      <c r="BE120" s="166"/>
      <c r="BF120" s="166"/>
      <c r="BG120" s="166"/>
      <c r="BH120" s="166"/>
      <c r="BI120" s="166"/>
      <c r="BJ120" s="166"/>
      <c r="BK120" s="166"/>
      <c r="BL120" s="166"/>
      <c r="BM120" s="166"/>
      <c r="BN120" s="166"/>
      <c r="BO120" s="166"/>
      <c r="BP120" s="166"/>
      <c r="BQ120" s="166"/>
      <c r="BR120" s="166"/>
      <c r="BS120" s="166"/>
      <c r="BT120" s="166"/>
      <c r="BU120" s="166"/>
      <c r="BV120" s="166"/>
      <c r="BW120" s="166"/>
      <c r="BX120" s="166"/>
      <c r="BY120" s="166"/>
      <c r="BZ120" s="166"/>
      <c r="CA120" s="166"/>
      <c r="CB120" s="166"/>
      <c r="CC120" s="166"/>
      <c r="CD120" s="166"/>
      <c r="CE120" s="166"/>
      <c r="CF120" s="166"/>
      <c r="CG120" s="166"/>
    </row>
    <row r="121" spans="1:85" ht="12" customHeight="1">
      <c r="A121" s="133"/>
      <c r="B121" s="133"/>
      <c r="C121" s="133">
        <v>3</v>
      </c>
      <c r="D121" s="160"/>
      <c r="E121" s="134"/>
      <c r="F121" s="134"/>
      <c r="G121" s="134" t="s">
        <v>1461</v>
      </c>
      <c r="H121" s="134"/>
      <c r="I121" s="134"/>
      <c r="J121" s="134"/>
      <c r="K121" s="134"/>
      <c r="L121" s="134"/>
      <c r="M121" s="134"/>
      <c r="N121" s="134"/>
      <c r="O121" s="134"/>
      <c r="P121" s="236">
        <v>45705</v>
      </c>
      <c r="Q121" s="236">
        <v>45709</v>
      </c>
      <c r="R121" s="134"/>
      <c r="S121" s="135">
        <v>5</v>
      </c>
      <c r="T121" s="135">
        <v>5</v>
      </c>
      <c r="U121" s="135">
        <v>5</v>
      </c>
      <c r="V121" s="135">
        <v>5</v>
      </c>
      <c r="W121" s="236"/>
      <c r="X121" s="236"/>
      <c r="Y121" s="136"/>
      <c r="Z121" s="137">
        <v>0</v>
      </c>
      <c r="AA121" s="135">
        <v>1</v>
      </c>
      <c r="AB121" s="134"/>
      <c r="AC121" s="138"/>
      <c r="AD121" s="159"/>
      <c r="AE121" s="167">
        <v>0</v>
      </c>
      <c r="AF121" s="165"/>
      <c r="AG121" s="166"/>
      <c r="AH121" s="166"/>
      <c r="AI121" s="166"/>
      <c r="AJ121" s="166"/>
      <c r="AK121" s="166"/>
      <c r="AL121" s="166"/>
      <c r="AM121" s="166"/>
      <c r="AN121" s="166"/>
      <c r="AO121" s="166"/>
      <c r="AP121" s="166"/>
      <c r="AQ121" s="166"/>
      <c r="AR121" s="166"/>
      <c r="AS121" s="166"/>
      <c r="AT121" s="166"/>
      <c r="AU121" s="166"/>
      <c r="AV121" s="166"/>
      <c r="AW121" s="166"/>
      <c r="AX121" s="166"/>
      <c r="AY121" s="166"/>
      <c r="AZ121" s="166"/>
      <c r="BA121" s="166"/>
      <c r="BB121" s="166"/>
      <c r="BC121" s="166"/>
      <c r="BD121" s="166"/>
      <c r="BE121" s="166"/>
      <c r="BF121" s="166"/>
      <c r="BG121" s="166"/>
      <c r="BH121" s="166"/>
      <c r="BI121" s="166"/>
      <c r="BJ121" s="166"/>
      <c r="BK121" s="166"/>
      <c r="BL121" s="166"/>
      <c r="BM121" s="166"/>
      <c r="BN121" s="166"/>
      <c r="BO121" s="166"/>
      <c r="BP121" s="166"/>
      <c r="BQ121" s="166"/>
      <c r="BR121" s="166"/>
      <c r="BS121" s="166"/>
      <c r="BT121" s="166"/>
      <c r="BU121" s="166"/>
      <c r="BV121" s="166"/>
      <c r="BW121" s="166"/>
      <c r="BX121" s="166"/>
      <c r="BY121" s="166"/>
      <c r="BZ121" s="166"/>
      <c r="CA121" s="166"/>
      <c r="CB121" s="166"/>
      <c r="CC121" s="166"/>
      <c r="CD121" s="166"/>
      <c r="CE121" s="166"/>
      <c r="CF121" s="166"/>
      <c r="CG121" s="166"/>
    </row>
    <row r="122" spans="1:85" ht="12" customHeight="1">
      <c r="A122" s="133"/>
      <c r="B122" s="133"/>
      <c r="C122" s="133">
        <v>3</v>
      </c>
      <c r="D122" s="160"/>
      <c r="E122" s="134"/>
      <c r="F122" s="134"/>
      <c r="G122" s="134" t="s">
        <v>1531</v>
      </c>
      <c r="H122" s="134"/>
      <c r="I122" s="134"/>
      <c r="J122" s="134"/>
      <c r="K122" s="134"/>
      <c r="L122" s="134"/>
      <c r="M122" s="134"/>
      <c r="N122" s="134"/>
      <c r="O122" s="134"/>
      <c r="P122" s="236">
        <v>45705</v>
      </c>
      <c r="Q122" s="236">
        <v>45709</v>
      </c>
      <c r="R122" s="134"/>
      <c r="S122" s="135">
        <v>5</v>
      </c>
      <c r="T122" s="135">
        <v>5</v>
      </c>
      <c r="U122" s="135">
        <v>5</v>
      </c>
      <c r="V122" s="135">
        <v>5</v>
      </c>
      <c r="W122" s="236"/>
      <c r="X122" s="236"/>
      <c r="Y122" s="136"/>
      <c r="Z122" s="137">
        <v>0</v>
      </c>
      <c r="AA122" s="135">
        <v>1</v>
      </c>
      <c r="AB122" s="134"/>
      <c r="AC122" s="138"/>
      <c r="AD122" s="159"/>
      <c r="AE122" s="167">
        <v>0</v>
      </c>
      <c r="AF122" s="165"/>
      <c r="AG122" s="166"/>
      <c r="AH122" s="166"/>
      <c r="AI122" s="166"/>
      <c r="AJ122" s="166"/>
      <c r="AK122" s="166"/>
      <c r="AL122" s="166"/>
      <c r="AM122" s="166"/>
      <c r="AN122" s="166"/>
      <c r="AO122" s="166"/>
      <c r="AP122" s="166"/>
      <c r="AQ122" s="166"/>
      <c r="AR122" s="166"/>
      <c r="AS122" s="166"/>
      <c r="AT122" s="166"/>
      <c r="AU122" s="166"/>
      <c r="AV122" s="166"/>
      <c r="AW122" s="166"/>
      <c r="AX122" s="166"/>
      <c r="AY122" s="166"/>
      <c r="AZ122" s="166"/>
      <c r="BA122" s="166"/>
      <c r="BB122" s="166"/>
      <c r="BC122" s="166"/>
      <c r="BD122" s="166"/>
      <c r="BE122" s="166"/>
      <c r="BF122" s="166"/>
      <c r="BG122" s="166"/>
      <c r="BH122" s="166"/>
      <c r="BI122" s="166"/>
      <c r="BJ122" s="166"/>
      <c r="BK122" s="166"/>
      <c r="BL122" s="166"/>
      <c r="BM122" s="166"/>
      <c r="BN122" s="166"/>
      <c r="BO122" s="166"/>
      <c r="BP122" s="166"/>
      <c r="BQ122" s="166"/>
      <c r="BR122" s="166"/>
      <c r="BS122" s="166"/>
      <c r="BT122" s="166"/>
      <c r="BU122" s="166"/>
      <c r="BV122" s="166"/>
      <c r="BW122" s="166"/>
      <c r="BX122" s="166"/>
      <c r="BY122" s="166"/>
      <c r="BZ122" s="166"/>
      <c r="CA122" s="166"/>
      <c r="CB122" s="166"/>
      <c r="CC122" s="166"/>
      <c r="CD122" s="166"/>
      <c r="CE122" s="166"/>
      <c r="CF122" s="166"/>
      <c r="CG122" s="166"/>
    </row>
    <row r="123" spans="1:85" ht="12" customHeight="1">
      <c r="A123" s="133"/>
      <c r="B123" s="133"/>
      <c r="C123" s="133">
        <v>2</v>
      </c>
      <c r="D123" s="160"/>
      <c r="E123" s="134"/>
      <c r="F123" s="134" t="s">
        <v>1717</v>
      </c>
      <c r="G123" s="134"/>
      <c r="H123" s="134"/>
      <c r="I123" s="134"/>
      <c r="J123" s="134"/>
      <c r="K123" s="134"/>
      <c r="L123" s="134"/>
      <c r="M123" s="134"/>
      <c r="N123" s="134"/>
      <c r="O123" s="134"/>
      <c r="P123" s="236">
        <v>45705</v>
      </c>
      <c r="Q123" s="236">
        <v>45856</v>
      </c>
      <c r="R123" s="134"/>
      <c r="S123" s="135">
        <v>110</v>
      </c>
      <c r="T123" s="135">
        <v>12</v>
      </c>
      <c r="U123" s="135">
        <v>110</v>
      </c>
      <c r="V123" s="135">
        <v>12</v>
      </c>
      <c r="W123" s="236"/>
      <c r="X123" s="236"/>
      <c r="Y123" s="136"/>
      <c r="Z123" s="137">
        <v>0</v>
      </c>
      <c r="AA123" s="135"/>
      <c r="AB123" s="134"/>
      <c r="AC123" s="138"/>
      <c r="AD123" s="159"/>
      <c r="AE123" s="168">
        <v>0</v>
      </c>
      <c r="AF123" s="165"/>
      <c r="AG123" s="166"/>
      <c r="AH123" s="166"/>
      <c r="AI123" s="166"/>
      <c r="AJ123" s="166"/>
      <c r="AK123" s="166"/>
      <c r="AL123" s="166"/>
      <c r="AM123" s="166"/>
      <c r="AN123" s="166"/>
      <c r="AO123" s="166"/>
      <c r="AP123" s="166"/>
      <c r="AQ123" s="166"/>
      <c r="AR123" s="166"/>
      <c r="AS123" s="166"/>
      <c r="AT123" s="166"/>
      <c r="AU123" s="166"/>
      <c r="AV123" s="166"/>
      <c r="AW123" s="166"/>
      <c r="AX123" s="166"/>
      <c r="AY123" s="166"/>
      <c r="AZ123" s="166"/>
      <c r="BA123" s="166"/>
      <c r="BB123" s="166"/>
      <c r="BC123" s="166"/>
      <c r="BD123" s="166"/>
      <c r="BE123" s="166"/>
      <c r="BF123" s="166"/>
      <c r="BG123" s="166"/>
      <c r="BH123" s="166"/>
      <c r="BI123" s="166"/>
      <c r="BJ123" s="166"/>
      <c r="BK123" s="166"/>
      <c r="BL123" s="166"/>
      <c r="BM123" s="166"/>
      <c r="BN123" s="166"/>
      <c r="BO123" s="166"/>
      <c r="BP123" s="166"/>
      <c r="BQ123" s="166"/>
      <c r="BR123" s="166"/>
      <c r="BS123" s="166"/>
      <c r="BT123" s="166"/>
      <c r="BU123" s="166"/>
      <c r="BV123" s="166"/>
      <c r="BW123" s="166"/>
      <c r="BX123" s="166"/>
      <c r="BY123" s="166"/>
      <c r="BZ123" s="166"/>
      <c r="CA123" s="166"/>
      <c r="CB123" s="166"/>
      <c r="CC123" s="166"/>
      <c r="CD123" s="166"/>
      <c r="CE123" s="166"/>
      <c r="CF123" s="166"/>
      <c r="CG123" s="166"/>
    </row>
    <row r="124" spans="1:85" ht="12" customHeight="1">
      <c r="A124" s="133"/>
      <c r="B124" s="133"/>
      <c r="C124" s="133">
        <v>3</v>
      </c>
      <c r="D124" s="160"/>
      <c r="E124" s="134"/>
      <c r="F124" s="134"/>
      <c r="G124" s="134" t="s">
        <v>1457</v>
      </c>
      <c r="H124" s="134"/>
      <c r="I124" s="134"/>
      <c r="J124" s="134"/>
      <c r="K124" s="134"/>
      <c r="L124" s="134"/>
      <c r="M124" s="134"/>
      <c r="N124" s="134"/>
      <c r="O124" s="134"/>
      <c r="P124" s="236">
        <v>45705</v>
      </c>
      <c r="Q124" s="236">
        <v>45730</v>
      </c>
      <c r="R124" s="134"/>
      <c r="S124" s="135">
        <v>20</v>
      </c>
      <c r="T124" s="135">
        <v>12</v>
      </c>
      <c r="U124" s="135">
        <v>20</v>
      </c>
      <c r="V124" s="135">
        <v>12</v>
      </c>
      <c r="W124" s="236"/>
      <c r="X124" s="236"/>
      <c r="Y124" s="136"/>
      <c r="Z124" s="137">
        <v>0</v>
      </c>
      <c r="AA124" s="135">
        <v>0.1</v>
      </c>
      <c r="AB124" s="134"/>
      <c r="AC124" s="138"/>
      <c r="AD124" s="159"/>
      <c r="AE124" s="167">
        <v>0</v>
      </c>
      <c r="AF124" s="165"/>
      <c r="AG124" s="166"/>
      <c r="AH124" s="166"/>
      <c r="AI124" s="166"/>
      <c r="AJ124" s="166"/>
      <c r="AK124" s="166"/>
      <c r="AL124" s="166"/>
      <c r="AM124" s="166"/>
      <c r="AN124" s="166"/>
      <c r="AO124" s="166"/>
      <c r="AP124" s="166"/>
      <c r="AQ124" s="166"/>
      <c r="AR124" s="166"/>
      <c r="AS124" s="166"/>
      <c r="AT124" s="166"/>
      <c r="AU124" s="166"/>
      <c r="AV124" s="166"/>
      <c r="AW124" s="166"/>
      <c r="AX124" s="166"/>
      <c r="AY124" s="166"/>
      <c r="AZ124" s="166"/>
      <c r="BA124" s="166"/>
      <c r="BB124" s="166"/>
      <c r="BC124" s="166"/>
      <c r="BD124" s="166"/>
      <c r="BE124" s="166"/>
      <c r="BF124" s="166"/>
      <c r="BG124" s="166"/>
      <c r="BH124" s="166"/>
      <c r="BI124" s="166"/>
      <c r="BJ124" s="166"/>
      <c r="BK124" s="166"/>
      <c r="BL124" s="166"/>
      <c r="BM124" s="166"/>
      <c r="BN124" s="166"/>
      <c r="BO124" s="166"/>
      <c r="BP124" s="166"/>
      <c r="BQ124" s="166"/>
      <c r="BR124" s="166"/>
      <c r="BS124" s="166"/>
      <c r="BT124" s="166"/>
      <c r="BU124" s="166"/>
      <c r="BV124" s="166"/>
      <c r="BW124" s="166"/>
      <c r="BX124" s="166"/>
      <c r="BY124" s="166"/>
      <c r="BZ124" s="166"/>
      <c r="CA124" s="166"/>
      <c r="CB124" s="166"/>
      <c r="CC124" s="166"/>
      <c r="CD124" s="166"/>
      <c r="CE124" s="166"/>
      <c r="CF124" s="166"/>
      <c r="CG124" s="166"/>
    </row>
    <row r="125" spans="1:85" ht="12" customHeight="1">
      <c r="A125" s="133"/>
      <c r="B125" s="133"/>
      <c r="C125" s="133">
        <v>3</v>
      </c>
      <c r="D125" s="160"/>
      <c r="E125" s="134"/>
      <c r="F125" s="134"/>
      <c r="G125" s="134" t="s">
        <v>1718</v>
      </c>
      <c r="H125" s="134"/>
      <c r="I125" s="134"/>
      <c r="J125" s="134"/>
      <c r="K125" s="134"/>
      <c r="L125" s="134"/>
      <c r="M125" s="134"/>
      <c r="N125" s="134"/>
      <c r="O125" s="134"/>
      <c r="P125" s="236"/>
      <c r="Q125" s="236"/>
      <c r="R125" s="134"/>
      <c r="S125" s="135"/>
      <c r="T125" s="135"/>
      <c r="U125" s="135">
        <v>0</v>
      </c>
      <c r="V125" s="135">
        <v>0</v>
      </c>
      <c r="W125" s="236"/>
      <c r="X125" s="236"/>
      <c r="Y125" s="136"/>
      <c r="Z125" s="137">
        <v>0</v>
      </c>
      <c r="AA125" s="135"/>
      <c r="AB125" s="134"/>
      <c r="AC125" s="138"/>
      <c r="AD125" s="159"/>
      <c r="AE125" s="240">
        <v>0</v>
      </c>
      <c r="AF125" s="165"/>
      <c r="AG125" s="166"/>
      <c r="AH125" s="166"/>
      <c r="AI125" s="166"/>
      <c r="AJ125" s="166"/>
      <c r="AK125" s="166"/>
      <c r="AL125" s="166"/>
      <c r="AM125" s="166"/>
      <c r="AN125" s="166"/>
      <c r="AO125" s="166"/>
      <c r="AP125" s="166"/>
      <c r="AQ125" s="166"/>
      <c r="AR125" s="166"/>
      <c r="AS125" s="166"/>
      <c r="AT125" s="166"/>
      <c r="AU125" s="166"/>
      <c r="AV125" s="166"/>
      <c r="AW125" s="166"/>
      <c r="AX125" s="166"/>
      <c r="AY125" s="166"/>
      <c r="AZ125" s="166"/>
      <c r="BA125" s="166"/>
      <c r="BB125" s="166"/>
      <c r="BC125" s="166"/>
      <c r="BD125" s="166"/>
      <c r="BE125" s="166"/>
      <c r="BF125" s="166"/>
      <c r="BG125" s="166"/>
      <c r="BH125" s="166"/>
      <c r="BI125" s="166"/>
      <c r="BJ125" s="166"/>
      <c r="BK125" s="166"/>
      <c r="BL125" s="166"/>
      <c r="BM125" s="166"/>
      <c r="BN125" s="166"/>
      <c r="BO125" s="166"/>
      <c r="BP125" s="166"/>
      <c r="BQ125" s="166"/>
      <c r="BR125" s="166"/>
      <c r="BS125" s="166"/>
      <c r="BT125" s="166"/>
      <c r="BU125" s="166"/>
      <c r="BV125" s="166"/>
      <c r="BW125" s="166"/>
      <c r="BX125" s="166"/>
      <c r="BY125" s="166"/>
      <c r="BZ125" s="166"/>
      <c r="CA125" s="166"/>
      <c r="CB125" s="166"/>
      <c r="CC125" s="166"/>
      <c r="CD125" s="166"/>
      <c r="CE125" s="166"/>
      <c r="CF125" s="166"/>
      <c r="CG125" s="166"/>
    </row>
    <row r="126" spans="1:85" ht="12" customHeight="1">
      <c r="A126" s="133"/>
      <c r="B126" s="133"/>
      <c r="C126" s="133">
        <v>3</v>
      </c>
      <c r="D126" s="160"/>
      <c r="E126" s="134"/>
      <c r="F126" s="134"/>
      <c r="G126" s="134" t="s">
        <v>1719</v>
      </c>
      <c r="H126" s="134"/>
      <c r="I126" s="134"/>
      <c r="J126" s="134"/>
      <c r="K126" s="134"/>
      <c r="L126" s="134"/>
      <c r="M126" s="134"/>
      <c r="N126" s="134"/>
      <c r="O126" s="134"/>
      <c r="P126" s="236"/>
      <c r="Q126" s="236"/>
      <c r="R126" s="134"/>
      <c r="S126" s="135"/>
      <c r="T126" s="135"/>
      <c r="U126" s="135">
        <v>0</v>
      </c>
      <c r="V126" s="135">
        <v>0</v>
      </c>
      <c r="W126" s="236"/>
      <c r="X126" s="236"/>
      <c r="Y126" s="136"/>
      <c r="Z126" s="137">
        <v>0</v>
      </c>
      <c r="AA126" s="135"/>
      <c r="AB126" s="134"/>
      <c r="AC126" s="138"/>
      <c r="AD126" s="159"/>
      <c r="AE126" s="240">
        <v>0</v>
      </c>
      <c r="AF126" s="165"/>
      <c r="AG126" s="166"/>
      <c r="AH126" s="166"/>
      <c r="AI126" s="166"/>
      <c r="AJ126" s="166"/>
      <c r="AK126" s="166"/>
      <c r="AL126" s="166"/>
      <c r="AM126" s="166"/>
      <c r="AN126" s="166"/>
      <c r="AO126" s="166"/>
      <c r="AP126" s="166"/>
      <c r="AQ126" s="166"/>
      <c r="AR126" s="166"/>
      <c r="AS126" s="166"/>
      <c r="AT126" s="166"/>
      <c r="AU126" s="166"/>
      <c r="AV126" s="166"/>
      <c r="AW126" s="166"/>
      <c r="AX126" s="166"/>
      <c r="AY126" s="166"/>
      <c r="AZ126" s="166"/>
      <c r="BA126" s="166"/>
      <c r="BB126" s="166"/>
      <c r="BC126" s="166"/>
      <c r="BD126" s="166"/>
      <c r="BE126" s="166"/>
      <c r="BF126" s="166"/>
      <c r="BG126" s="166"/>
      <c r="BH126" s="166"/>
      <c r="BI126" s="166"/>
      <c r="BJ126" s="166"/>
      <c r="BK126" s="166"/>
      <c r="BL126" s="166"/>
      <c r="BM126" s="166"/>
      <c r="BN126" s="166"/>
      <c r="BO126" s="166"/>
      <c r="BP126" s="166"/>
      <c r="BQ126" s="166"/>
      <c r="BR126" s="166"/>
      <c r="BS126" s="166"/>
      <c r="BT126" s="166"/>
      <c r="BU126" s="166"/>
      <c r="BV126" s="166"/>
      <c r="BW126" s="166"/>
      <c r="BX126" s="166"/>
      <c r="BY126" s="166"/>
      <c r="BZ126" s="166"/>
      <c r="CA126" s="166"/>
      <c r="CB126" s="166"/>
      <c r="CC126" s="166"/>
      <c r="CD126" s="166"/>
      <c r="CE126" s="166"/>
      <c r="CF126" s="166"/>
      <c r="CG126" s="166"/>
    </row>
    <row r="127" spans="1:85" ht="12" customHeight="1">
      <c r="A127" s="133"/>
      <c r="B127" s="133"/>
      <c r="C127" s="133">
        <v>3</v>
      </c>
      <c r="D127" s="160"/>
      <c r="E127" s="134"/>
      <c r="F127" s="134"/>
      <c r="G127" s="134" t="s">
        <v>1720</v>
      </c>
      <c r="H127" s="134"/>
      <c r="I127" s="134"/>
      <c r="J127" s="134"/>
      <c r="K127" s="134"/>
      <c r="L127" s="134"/>
      <c r="M127" s="134"/>
      <c r="N127" s="134"/>
      <c r="O127" s="134"/>
      <c r="P127" s="236"/>
      <c r="Q127" s="236"/>
      <c r="R127" s="134"/>
      <c r="S127" s="135"/>
      <c r="T127" s="135"/>
      <c r="U127" s="135">
        <v>0</v>
      </c>
      <c r="V127" s="135">
        <v>0</v>
      </c>
      <c r="W127" s="236"/>
      <c r="X127" s="236"/>
      <c r="Y127" s="136"/>
      <c r="Z127" s="137">
        <v>0</v>
      </c>
      <c r="AA127" s="135"/>
      <c r="AB127" s="134"/>
      <c r="AC127" s="138"/>
      <c r="AD127" s="159"/>
      <c r="AE127" s="240">
        <v>0</v>
      </c>
      <c r="AF127" s="165"/>
      <c r="AG127" s="166"/>
      <c r="AH127" s="166"/>
      <c r="AI127" s="166"/>
      <c r="AJ127" s="166"/>
      <c r="AK127" s="166"/>
      <c r="AL127" s="166"/>
      <c r="AM127" s="166"/>
      <c r="AN127" s="166"/>
      <c r="AO127" s="166"/>
      <c r="AP127" s="166"/>
      <c r="AQ127" s="166"/>
      <c r="AR127" s="166"/>
      <c r="AS127" s="166"/>
      <c r="AT127" s="166"/>
      <c r="AU127" s="166"/>
      <c r="AV127" s="166"/>
      <c r="AW127" s="166"/>
      <c r="AX127" s="166"/>
      <c r="AY127" s="166"/>
      <c r="AZ127" s="166"/>
      <c r="BA127" s="166"/>
      <c r="BB127" s="166"/>
      <c r="BC127" s="166"/>
      <c r="BD127" s="166"/>
      <c r="BE127" s="166"/>
      <c r="BF127" s="166"/>
      <c r="BG127" s="166"/>
      <c r="BH127" s="166"/>
      <c r="BI127" s="166"/>
      <c r="BJ127" s="166"/>
      <c r="BK127" s="166"/>
      <c r="BL127" s="166"/>
      <c r="BM127" s="166"/>
      <c r="BN127" s="166"/>
      <c r="BO127" s="166"/>
      <c r="BP127" s="166"/>
      <c r="BQ127" s="166"/>
      <c r="BR127" s="166"/>
      <c r="BS127" s="166"/>
      <c r="BT127" s="166"/>
      <c r="BU127" s="166"/>
      <c r="BV127" s="166"/>
      <c r="BW127" s="166"/>
      <c r="BX127" s="166"/>
      <c r="BY127" s="166"/>
      <c r="BZ127" s="166"/>
      <c r="CA127" s="166"/>
      <c r="CB127" s="166"/>
      <c r="CC127" s="166"/>
      <c r="CD127" s="166"/>
      <c r="CE127" s="166"/>
      <c r="CF127" s="166"/>
      <c r="CG127" s="166"/>
    </row>
    <row r="128" spans="1:85" ht="12" customHeight="1">
      <c r="A128" s="133"/>
      <c r="B128" s="133"/>
      <c r="C128" s="133">
        <v>3</v>
      </c>
      <c r="D128" s="160"/>
      <c r="E128" s="134"/>
      <c r="F128" s="134"/>
      <c r="G128" s="134" t="s">
        <v>1461</v>
      </c>
      <c r="H128" s="134"/>
      <c r="I128" s="134"/>
      <c r="J128" s="134"/>
      <c r="K128" s="134"/>
      <c r="L128" s="134"/>
      <c r="M128" s="134"/>
      <c r="N128" s="134"/>
      <c r="O128" s="134"/>
      <c r="P128" s="236">
        <v>45733</v>
      </c>
      <c r="Q128" s="236">
        <v>45793</v>
      </c>
      <c r="R128" s="134"/>
      <c r="S128" s="135">
        <v>45</v>
      </c>
      <c r="T128" s="135">
        <v>0</v>
      </c>
      <c r="U128" s="135">
        <v>45</v>
      </c>
      <c r="V128" s="135">
        <v>0</v>
      </c>
      <c r="W128" s="236"/>
      <c r="X128" s="236"/>
      <c r="Y128" s="136"/>
      <c r="Z128" s="137">
        <v>0</v>
      </c>
      <c r="AA128" s="135">
        <v>0.5</v>
      </c>
      <c r="AB128" s="134"/>
      <c r="AC128" s="138"/>
      <c r="AD128" s="159"/>
      <c r="AE128" s="241">
        <v>0</v>
      </c>
      <c r="AF128" s="165"/>
      <c r="AG128" s="166"/>
      <c r="AH128" s="166"/>
      <c r="AI128" s="166"/>
      <c r="AJ128" s="166"/>
      <c r="AK128" s="166"/>
      <c r="AL128" s="166"/>
      <c r="AM128" s="166"/>
      <c r="AN128" s="166"/>
      <c r="AO128" s="166"/>
      <c r="AP128" s="166"/>
      <c r="AQ128" s="166"/>
      <c r="AR128" s="166"/>
      <c r="AS128" s="166"/>
      <c r="AT128" s="166"/>
      <c r="AU128" s="166"/>
      <c r="AV128" s="166"/>
      <c r="AW128" s="166"/>
      <c r="AX128" s="166"/>
      <c r="AY128" s="166"/>
      <c r="AZ128" s="166"/>
      <c r="BA128" s="166"/>
      <c r="BB128" s="166"/>
      <c r="BC128" s="166"/>
      <c r="BD128" s="166"/>
      <c r="BE128" s="166"/>
      <c r="BF128" s="166"/>
      <c r="BG128" s="166"/>
      <c r="BH128" s="166"/>
      <c r="BI128" s="166"/>
      <c r="BJ128" s="166"/>
      <c r="BK128" s="166"/>
      <c r="BL128" s="166"/>
      <c r="BM128" s="166"/>
      <c r="BN128" s="166"/>
      <c r="BO128" s="166"/>
      <c r="BP128" s="166"/>
      <c r="BQ128" s="166"/>
      <c r="BR128" s="166"/>
      <c r="BS128" s="166"/>
      <c r="BT128" s="166"/>
      <c r="BU128" s="166"/>
      <c r="BV128" s="166"/>
      <c r="BW128" s="166"/>
      <c r="BX128" s="166"/>
      <c r="BY128" s="166"/>
      <c r="BZ128" s="166"/>
      <c r="CA128" s="166"/>
      <c r="CB128" s="166"/>
      <c r="CC128" s="166"/>
      <c r="CD128" s="166"/>
      <c r="CE128" s="166"/>
      <c r="CF128" s="166"/>
      <c r="CG128" s="166"/>
    </row>
    <row r="129" spans="1:85" ht="12" customHeight="1">
      <c r="A129" s="133"/>
      <c r="B129" s="133"/>
      <c r="C129" s="133">
        <v>3</v>
      </c>
      <c r="D129" s="160"/>
      <c r="E129" s="134"/>
      <c r="F129" s="134"/>
      <c r="G129" s="134" t="s">
        <v>1721</v>
      </c>
      <c r="H129" s="134"/>
      <c r="I129" s="134"/>
      <c r="J129" s="134"/>
      <c r="K129" s="134"/>
      <c r="L129" s="134"/>
      <c r="M129" s="134"/>
      <c r="N129" s="134"/>
      <c r="O129" s="134"/>
      <c r="P129" s="236">
        <v>45740</v>
      </c>
      <c r="Q129" s="236">
        <v>45849</v>
      </c>
      <c r="R129" s="134"/>
      <c r="S129" s="135">
        <v>80</v>
      </c>
      <c r="T129" s="135">
        <v>0</v>
      </c>
      <c r="U129" s="135">
        <v>80</v>
      </c>
      <c r="V129" s="135">
        <v>0</v>
      </c>
      <c r="W129" s="236"/>
      <c r="X129" s="236"/>
      <c r="Y129" s="136"/>
      <c r="Z129" s="137">
        <v>0</v>
      </c>
      <c r="AA129" s="135">
        <v>1</v>
      </c>
      <c r="AB129" s="134"/>
      <c r="AC129" s="138"/>
      <c r="AD129" s="159"/>
      <c r="AE129" s="241">
        <v>0</v>
      </c>
      <c r="AF129" s="165"/>
      <c r="AG129" s="166"/>
      <c r="AH129" s="166"/>
      <c r="AI129" s="166"/>
      <c r="AJ129" s="166"/>
      <c r="AK129" s="166"/>
      <c r="AL129" s="166"/>
      <c r="AM129" s="166"/>
      <c r="AN129" s="166"/>
      <c r="AO129" s="166"/>
      <c r="AP129" s="166"/>
      <c r="AQ129" s="166"/>
      <c r="AR129" s="166"/>
      <c r="AS129" s="166"/>
      <c r="AT129" s="166"/>
      <c r="AU129" s="166"/>
      <c r="AV129" s="166"/>
      <c r="AW129" s="166"/>
      <c r="AX129" s="166"/>
      <c r="AY129" s="166"/>
      <c r="AZ129" s="166"/>
      <c r="BA129" s="166"/>
      <c r="BB129" s="166"/>
      <c r="BC129" s="166"/>
      <c r="BD129" s="166"/>
      <c r="BE129" s="166"/>
      <c r="BF129" s="166"/>
      <c r="BG129" s="166"/>
      <c r="BH129" s="166"/>
      <c r="BI129" s="166"/>
      <c r="BJ129" s="166"/>
      <c r="BK129" s="166"/>
      <c r="BL129" s="166"/>
      <c r="BM129" s="166"/>
      <c r="BN129" s="166"/>
      <c r="BO129" s="166"/>
      <c r="BP129" s="166"/>
      <c r="BQ129" s="166"/>
      <c r="BR129" s="166"/>
      <c r="BS129" s="166"/>
      <c r="BT129" s="166"/>
      <c r="BU129" s="166"/>
      <c r="BV129" s="166"/>
      <c r="BW129" s="166"/>
      <c r="BX129" s="166"/>
      <c r="BY129" s="166"/>
      <c r="BZ129" s="166"/>
      <c r="CA129" s="166"/>
      <c r="CB129" s="166"/>
      <c r="CC129" s="166"/>
      <c r="CD129" s="166"/>
      <c r="CE129" s="166"/>
      <c r="CF129" s="166"/>
      <c r="CG129" s="166"/>
    </row>
    <row r="130" spans="1:85" ht="12" customHeight="1">
      <c r="A130" s="133"/>
      <c r="B130" s="133"/>
      <c r="C130" s="133">
        <v>3</v>
      </c>
      <c r="D130" s="160"/>
      <c r="E130" s="134"/>
      <c r="F130" s="134"/>
      <c r="G130" s="134" t="s">
        <v>1722</v>
      </c>
      <c r="H130" s="134"/>
      <c r="I130" s="134"/>
      <c r="J130" s="134"/>
      <c r="K130" s="134"/>
      <c r="L130" s="134"/>
      <c r="M130" s="134"/>
      <c r="N130" s="134"/>
      <c r="O130" s="134"/>
      <c r="P130" s="236">
        <v>45824</v>
      </c>
      <c r="Q130" s="236">
        <v>45856</v>
      </c>
      <c r="R130" s="134"/>
      <c r="S130" s="135">
        <v>25</v>
      </c>
      <c r="T130" s="135">
        <v>0</v>
      </c>
      <c r="U130" s="135">
        <v>25</v>
      </c>
      <c r="V130" s="135">
        <v>0</v>
      </c>
      <c r="W130" s="236"/>
      <c r="X130" s="236"/>
      <c r="Y130" s="136"/>
      <c r="Z130" s="137">
        <v>0</v>
      </c>
      <c r="AA130" s="135">
        <v>0.3</v>
      </c>
      <c r="AB130" s="134"/>
      <c r="AC130" s="138"/>
      <c r="AD130" s="159"/>
      <c r="AE130" s="241">
        <v>0</v>
      </c>
      <c r="AF130" s="165"/>
      <c r="AG130" s="166"/>
      <c r="AH130" s="166"/>
      <c r="AI130" s="166"/>
      <c r="AJ130" s="166"/>
      <c r="AK130" s="166"/>
      <c r="AL130" s="166"/>
      <c r="AM130" s="166"/>
      <c r="AN130" s="166"/>
      <c r="AO130" s="166"/>
      <c r="AP130" s="166"/>
      <c r="AQ130" s="166"/>
      <c r="AR130" s="166"/>
      <c r="AS130" s="166"/>
      <c r="AT130" s="166"/>
      <c r="AU130" s="166"/>
      <c r="AV130" s="166"/>
      <c r="AW130" s="166"/>
      <c r="AX130" s="166"/>
      <c r="AY130" s="166"/>
      <c r="AZ130" s="166"/>
      <c r="BA130" s="166"/>
      <c r="BB130" s="166"/>
      <c r="BC130" s="166"/>
      <c r="BD130" s="166"/>
      <c r="BE130" s="166"/>
      <c r="BF130" s="166"/>
      <c r="BG130" s="166"/>
      <c r="BH130" s="166"/>
      <c r="BI130" s="166"/>
      <c r="BJ130" s="166"/>
      <c r="BK130" s="166"/>
      <c r="BL130" s="166"/>
      <c r="BM130" s="166"/>
      <c r="BN130" s="166"/>
      <c r="BO130" s="166"/>
      <c r="BP130" s="166"/>
      <c r="BQ130" s="166"/>
      <c r="BR130" s="166"/>
      <c r="BS130" s="166"/>
      <c r="BT130" s="166"/>
      <c r="BU130" s="166"/>
      <c r="BV130" s="166"/>
      <c r="BW130" s="166"/>
      <c r="BX130" s="166"/>
      <c r="BY130" s="166"/>
      <c r="BZ130" s="166"/>
      <c r="CA130" s="166"/>
      <c r="CB130" s="166"/>
      <c r="CC130" s="166"/>
      <c r="CD130" s="166"/>
      <c r="CE130" s="166"/>
      <c r="CF130" s="166"/>
      <c r="CG130" s="166"/>
    </row>
    <row r="131" spans="1:85" ht="12" customHeight="1">
      <c r="A131" s="133"/>
      <c r="B131" s="133"/>
      <c r="C131" s="133">
        <v>2</v>
      </c>
      <c r="D131" s="160"/>
      <c r="E131" s="134"/>
      <c r="F131" s="134" t="s">
        <v>1732</v>
      </c>
      <c r="G131" s="134"/>
      <c r="H131" s="134"/>
      <c r="I131" s="134"/>
      <c r="J131" s="134"/>
      <c r="K131" s="134"/>
      <c r="L131" s="134"/>
      <c r="M131" s="134"/>
      <c r="N131" s="134"/>
      <c r="O131" s="134"/>
      <c r="P131" s="236">
        <v>45705</v>
      </c>
      <c r="Q131" s="236">
        <v>45898</v>
      </c>
      <c r="R131" s="134"/>
      <c r="S131" s="135">
        <v>140</v>
      </c>
      <c r="T131" s="135">
        <v>12</v>
      </c>
      <c r="U131" s="135">
        <v>140</v>
      </c>
      <c r="V131" s="135">
        <v>12</v>
      </c>
      <c r="W131" s="236"/>
      <c r="X131" s="236"/>
      <c r="Y131" s="136"/>
      <c r="Z131" s="137">
        <v>0</v>
      </c>
      <c r="AA131" s="135"/>
      <c r="AB131" s="134"/>
      <c r="AC131" s="138"/>
      <c r="AD131" s="159"/>
      <c r="AE131" s="168">
        <v>0</v>
      </c>
      <c r="AF131" s="165"/>
      <c r="AG131" s="166"/>
      <c r="AH131" s="166"/>
      <c r="AI131" s="166"/>
      <c r="AJ131" s="166"/>
      <c r="AK131" s="166"/>
      <c r="AL131" s="166"/>
      <c r="AM131" s="166"/>
      <c r="AN131" s="166"/>
      <c r="AO131" s="166"/>
      <c r="AP131" s="166"/>
      <c r="AQ131" s="166"/>
      <c r="AR131" s="166"/>
      <c r="AS131" s="166"/>
      <c r="AT131" s="166"/>
      <c r="AU131" s="166"/>
      <c r="AV131" s="166"/>
      <c r="AW131" s="166"/>
      <c r="AX131" s="166"/>
      <c r="AY131" s="166"/>
      <c r="AZ131" s="166"/>
      <c r="BA131" s="166"/>
      <c r="BB131" s="166"/>
      <c r="BC131" s="166"/>
      <c r="BD131" s="166"/>
      <c r="BE131" s="166"/>
      <c r="BF131" s="166"/>
      <c r="BG131" s="166"/>
      <c r="BH131" s="166"/>
      <c r="BI131" s="166"/>
      <c r="BJ131" s="166"/>
      <c r="BK131" s="166"/>
      <c r="BL131" s="166"/>
      <c r="BM131" s="166"/>
      <c r="BN131" s="166"/>
      <c r="BO131" s="166"/>
      <c r="BP131" s="166"/>
      <c r="BQ131" s="166"/>
      <c r="BR131" s="166"/>
      <c r="BS131" s="166"/>
      <c r="BT131" s="166"/>
      <c r="BU131" s="166"/>
      <c r="BV131" s="166"/>
      <c r="BW131" s="166"/>
      <c r="BX131" s="166"/>
      <c r="BY131" s="166"/>
      <c r="BZ131" s="166"/>
      <c r="CA131" s="166"/>
      <c r="CB131" s="166"/>
      <c r="CC131" s="166"/>
      <c r="CD131" s="166"/>
      <c r="CE131" s="166"/>
      <c r="CF131" s="166"/>
      <c r="CG131" s="166"/>
    </row>
    <row r="132" spans="1:85" ht="12" customHeight="1">
      <c r="A132" s="133"/>
      <c r="B132" s="133"/>
      <c r="C132" s="133">
        <v>3</v>
      </c>
      <c r="D132" s="160"/>
      <c r="E132" s="134"/>
      <c r="F132" s="134"/>
      <c r="G132" s="134" t="s">
        <v>1457</v>
      </c>
      <c r="H132" s="134"/>
      <c r="I132" s="134"/>
      <c r="J132" s="134"/>
      <c r="K132" s="134"/>
      <c r="L132" s="134"/>
      <c r="M132" s="134"/>
      <c r="N132" s="134"/>
      <c r="O132" s="134"/>
      <c r="P132" s="236">
        <v>45705</v>
      </c>
      <c r="Q132" s="236">
        <v>45730</v>
      </c>
      <c r="R132" s="134"/>
      <c r="S132" s="135">
        <v>20</v>
      </c>
      <c r="T132" s="135">
        <v>12</v>
      </c>
      <c r="U132" s="135">
        <v>20</v>
      </c>
      <c r="V132" s="135">
        <v>12</v>
      </c>
      <c r="W132" s="236"/>
      <c r="X132" s="236"/>
      <c r="Y132" s="136"/>
      <c r="Z132" s="137">
        <v>0</v>
      </c>
      <c r="AA132" s="135">
        <v>0.1</v>
      </c>
      <c r="AB132" s="134"/>
      <c r="AC132" s="138"/>
      <c r="AD132" s="159"/>
      <c r="AE132" s="167">
        <v>0</v>
      </c>
      <c r="AF132" s="165"/>
      <c r="AG132" s="166"/>
      <c r="AH132" s="166"/>
      <c r="AI132" s="166"/>
      <c r="AJ132" s="166"/>
      <c r="AK132" s="166"/>
      <c r="AL132" s="166"/>
      <c r="AM132" s="166"/>
      <c r="AN132" s="166"/>
      <c r="AO132" s="166"/>
      <c r="AP132" s="166"/>
      <c r="AQ132" s="166"/>
      <c r="AR132" s="166"/>
      <c r="AS132" s="166"/>
      <c r="AT132" s="166"/>
      <c r="AU132" s="166"/>
      <c r="AV132" s="166"/>
      <c r="AW132" s="166"/>
      <c r="AX132" s="166"/>
      <c r="AY132" s="166"/>
      <c r="AZ132" s="166"/>
      <c r="BA132" s="166"/>
      <c r="BB132" s="166"/>
      <c r="BC132" s="166"/>
      <c r="BD132" s="166"/>
      <c r="BE132" s="166"/>
      <c r="BF132" s="166"/>
      <c r="BG132" s="166"/>
      <c r="BH132" s="166"/>
      <c r="BI132" s="166"/>
      <c r="BJ132" s="166"/>
      <c r="BK132" s="166"/>
      <c r="BL132" s="166"/>
      <c r="BM132" s="166"/>
      <c r="BN132" s="166"/>
      <c r="BO132" s="166"/>
      <c r="BP132" s="166"/>
      <c r="BQ132" s="166"/>
      <c r="BR132" s="166"/>
      <c r="BS132" s="166"/>
      <c r="BT132" s="166"/>
      <c r="BU132" s="166"/>
      <c r="BV132" s="166"/>
      <c r="BW132" s="166"/>
      <c r="BX132" s="166"/>
      <c r="BY132" s="166"/>
      <c r="BZ132" s="166"/>
      <c r="CA132" s="166"/>
      <c r="CB132" s="166"/>
      <c r="CC132" s="166"/>
      <c r="CD132" s="166"/>
      <c r="CE132" s="166"/>
      <c r="CF132" s="166"/>
      <c r="CG132" s="166"/>
    </row>
    <row r="133" spans="1:85" ht="12" customHeight="1">
      <c r="A133" s="133"/>
      <c r="B133" s="133"/>
      <c r="C133" s="133">
        <v>3</v>
      </c>
      <c r="D133" s="160"/>
      <c r="E133" s="134"/>
      <c r="F133" s="134"/>
      <c r="G133" s="134" t="s">
        <v>1718</v>
      </c>
      <c r="H133" s="134"/>
      <c r="I133" s="134"/>
      <c r="J133" s="134"/>
      <c r="K133" s="134"/>
      <c r="L133" s="134"/>
      <c r="M133" s="134"/>
      <c r="N133" s="134"/>
      <c r="O133" s="134"/>
      <c r="P133" s="236"/>
      <c r="Q133" s="236"/>
      <c r="R133" s="134"/>
      <c r="S133" s="135"/>
      <c r="T133" s="135"/>
      <c r="U133" s="135">
        <v>0</v>
      </c>
      <c r="V133" s="135">
        <v>0</v>
      </c>
      <c r="W133" s="236"/>
      <c r="X133" s="236"/>
      <c r="Y133" s="136"/>
      <c r="Z133" s="137">
        <v>0</v>
      </c>
      <c r="AA133" s="135"/>
      <c r="AB133" s="134"/>
      <c r="AC133" s="138"/>
      <c r="AD133" s="159"/>
      <c r="AE133" s="240">
        <v>0</v>
      </c>
      <c r="AF133" s="165"/>
      <c r="AG133" s="166"/>
      <c r="AH133" s="166"/>
      <c r="AI133" s="166"/>
      <c r="AJ133" s="166"/>
      <c r="AK133" s="166"/>
      <c r="AL133" s="166"/>
      <c r="AM133" s="166"/>
      <c r="AN133" s="166"/>
      <c r="AO133" s="166"/>
      <c r="AP133" s="166"/>
      <c r="AQ133" s="166"/>
      <c r="AR133" s="166"/>
      <c r="AS133" s="166"/>
      <c r="AT133" s="166"/>
      <c r="AU133" s="166"/>
      <c r="AV133" s="166"/>
      <c r="AW133" s="166"/>
      <c r="AX133" s="166"/>
      <c r="AY133" s="166"/>
      <c r="AZ133" s="166"/>
      <c r="BA133" s="166"/>
      <c r="BB133" s="166"/>
      <c r="BC133" s="166"/>
      <c r="BD133" s="166"/>
      <c r="BE133" s="166"/>
      <c r="BF133" s="166"/>
      <c r="BG133" s="166"/>
      <c r="BH133" s="166"/>
      <c r="BI133" s="166"/>
      <c r="BJ133" s="166"/>
      <c r="BK133" s="166"/>
      <c r="BL133" s="166"/>
      <c r="BM133" s="166"/>
      <c r="BN133" s="166"/>
      <c r="BO133" s="166"/>
      <c r="BP133" s="166"/>
      <c r="BQ133" s="166"/>
      <c r="BR133" s="166"/>
      <c r="BS133" s="166"/>
      <c r="BT133" s="166"/>
      <c r="BU133" s="166"/>
      <c r="BV133" s="166"/>
      <c r="BW133" s="166"/>
      <c r="BX133" s="166"/>
      <c r="BY133" s="166"/>
      <c r="BZ133" s="166"/>
      <c r="CA133" s="166"/>
      <c r="CB133" s="166"/>
      <c r="CC133" s="166"/>
      <c r="CD133" s="166"/>
      <c r="CE133" s="166"/>
      <c r="CF133" s="166"/>
      <c r="CG133" s="166"/>
    </row>
    <row r="134" spans="1:85" ht="12" customHeight="1">
      <c r="A134" s="133"/>
      <c r="B134" s="133"/>
      <c r="C134" s="133">
        <v>3</v>
      </c>
      <c r="D134" s="160"/>
      <c r="E134" s="134"/>
      <c r="F134" s="134"/>
      <c r="G134" s="134" t="s">
        <v>1719</v>
      </c>
      <c r="H134" s="134"/>
      <c r="I134" s="134"/>
      <c r="J134" s="134"/>
      <c r="K134" s="134"/>
      <c r="L134" s="134"/>
      <c r="M134" s="134"/>
      <c r="N134" s="134"/>
      <c r="O134" s="134"/>
      <c r="P134" s="236"/>
      <c r="Q134" s="236"/>
      <c r="R134" s="134"/>
      <c r="S134" s="135"/>
      <c r="T134" s="135"/>
      <c r="U134" s="135">
        <v>0</v>
      </c>
      <c r="V134" s="135">
        <v>0</v>
      </c>
      <c r="W134" s="236"/>
      <c r="X134" s="236"/>
      <c r="Y134" s="136"/>
      <c r="Z134" s="137">
        <v>0</v>
      </c>
      <c r="AA134" s="135"/>
      <c r="AB134" s="134"/>
      <c r="AC134" s="138"/>
      <c r="AD134" s="159"/>
      <c r="AE134" s="240">
        <v>0</v>
      </c>
      <c r="AF134" s="165"/>
      <c r="AG134" s="166"/>
      <c r="AH134" s="166"/>
      <c r="AI134" s="166"/>
      <c r="AJ134" s="166"/>
      <c r="AK134" s="166"/>
      <c r="AL134" s="166"/>
      <c r="AM134" s="166"/>
      <c r="AN134" s="166"/>
      <c r="AO134" s="166"/>
      <c r="AP134" s="166"/>
      <c r="AQ134" s="166"/>
      <c r="AR134" s="166"/>
      <c r="AS134" s="166"/>
      <c r="AT134" s="166"/>
      <c r="AU134" s="166"/>
      <c r="AV134" s="166"/>
      <c r="AW134" s="166"/>
      <c r="AX134" s="166"/>
      <c r="AY134" s="166"/>
      <c r="AZ134" s="166"/>
      <c r="BA134" s="166"/>
      <c r="BB134" s="166"/>
      <c r="BC134" s="166"/>
      <c r="BD134" s="166"/>
      <c r="BE134" s="166"/>
      <c r="BF134" s="166"/>
      <c r="BG134" s="166"/>
      <c r="BH134" s="166"/>
      <c r="BI134" s="166"/>
      <c r="BJ134" s="166"/>
      <c r="BK134" s="166"/>
      <c r="BL134" s="166"/>
      <c r="BM134" s="166"/>
      <c r="BN134" s="166"/>
      <c r="BO134" s="166"/>
      <c r="BP134" s="166"/>
      <c r="BQ134" s="166"/>
      <c r="BR134" s="166"/>
      <c r="BS134" s="166"/>
      <c r="BT134" s="166"/>
      <c r="BU134" s="166"/>
      <c r="BV134" s="166"/>
      <c r="BW134" s="166"/>
      <c r="BX134" s="166"/>
      <c r="BY134" s="166"/>
      <c r="BZ134" s="166"/>
      <c r="CA134" s="166"/>
      <c r="CB134" s="166"/>
      <c r="CC134" s="166"/>
      <c r="CD134" s="166"/>
      <c r="CE134" s="166"/>
      <c r="CF134" s="166"/>
      <c r="CG134" s="166"/>
    </row>
    <row r="135" spans="1:85" ht="12" customHeight="1">
      <c r="A135" s="133"/>
      <c r="B135" s="133"/>
      <c r="C135" s="133">
        <v>3</v>
      </c>
      <c r="D135" s="160"/>
      <c r="E135" s="134"/>
      <c r="F135" s="134"/>
      <c r="G135" s="134" t="s">
        <v>1720</v>
      </c>
      <c r="H135" s="134"/>
      <c r="I135" s="134"/>
      <c r="J135" s="134"/>
      <c r="K135" s="134"/>
      <c r="L135" s="134"/>
      <c r="M135" s="134"/>
      <c r="N135" s="134"/>
      <c r="O135" s="134"/>
      <c r="P135" s="236"/>
      <c r="Q135" s="236"/>
      <c r="R135" s="134"/>
      <c r="S135" s="135"/>
      <c r="T135" s="135"/>
      <c r="U135" s="135">
        <v>0</v>
      </c>
      <c r="V135" s="135">
        <v>0</v>
      </c>
      <c r="W135" s="236"/>
      <c r="X135" s="236"/>
      <c r="Y135" s="136"/>
      <c r="Z135" s="137">
        <v>0</v>
      </c>
      <c r="AA135" s="135"/>
      <c r="AB135" s="134"/>
      <c r="AC135" s="138"/>
      <c r="AD135" s="159"/>
      <c r="AE135" s="240">
        <v>0</v>
      </c>
      <c r="AF135" s="165"/>
      <c r="AG135" s="166"/>
      <c r="AH135" s="166"/>
      <c r="AI135" s="166"/>
      <c r="AJ135" s="166"/>
      <c r="AK135" s="166"/>
      <c r="AL135" s="166"/>
      <c r="AM135" s="166"/>
      <c r="AN135" s="166"/>
      <c r="AO135" s="166"/>
      <c r="AP135" s="166"/>
      <c r="AQ135" s="166"/>
      <c r="AR135" s="166"/>
      <c r="AS135" s="166"/>
      <c r="AT135" s="166"/>
      <c r="AU135" s="166"/>
      <c r="AV135" s="166"/>
      <c r="AW135" s="166"/>
      <c r="AX135" s="166"/>
      <c r="AY135" s="166"/>
      <c r="AZ135" s="166"/>
      <c r="BA135" s="166"/>
      <c r="BB135" s="166"/>
      <c r="BC135" s="166"/>
      <c r="BD135" s="166"/>
      <c r="BE135" s="166"/>
      <c r="BF135" s="166"/>
      <c r="BG135" s="166"/>
      <c r="BH135" s="166"/>
      <c r="BI135" s="166"/>
      <c r="BJ135" s="166"/>
      <c r="BK135" s="166"/>
      <c r="BL135" s="166"/>
      <c r="BM135" s="166"/>
      <c r="BN135" s="166"/>
      <c r="BO135" s="166"/>
      <c r="BP135" s="166"/>
      <c r="BQ135" s="166"/>
      <c r="BR135" s="166"/>
      <c r="BS135" s="166"/>
      <c r="BT135" s="166"/>
      <c r="BU135" s="166"/>
      <c r="BV135" s="166"/>
      <c r="BW135" s="166"/>
      <c r="BX135" s="166"/>
      <c r="BY135" s="166"/>
      <c r="BZ135" s="166"/>
      <c r="CA135" s="166"/>
      <c r="CB135" s="166"/>
      <c r="CC135" s="166"/>
      <c r="CD135" s="166"/>
      <c r="CE135" s="166"/>
      <c r="CF135" s="166"/>
      <c r="CG135" s="166"/>
    </row>
    <row r="136" spans="1:85" ht="12" customHeight="1">
      <c r="A136" s="133"/>
      <c r="B136" s="133"/>
      <c r="C136" s="133">
        <v>3</v>
      </c>
      <c r="D136" s="160"/>
      <c r="E136" s="134"/>
      <c r="F136" s="134"/>
      <c r="G136" s="134" t="s">
        <v>1723</v>
      </c>
      <c r="H136" s="134"/>
      <c r="I136" s="134"/>
      <c r="J136" s="134"/>
      <c r="K136" s="134"/>
      <c r="L136" s="134"/>
      <c r="M136" s="134"/>
      <c r="N136" s="134"/>
      <c r="O136" s="134"/>
      <c r="P136" s="236">
        <v>45733</v>
      </c>
      <c r="Q136" s="236">
        <v>45793</v>
      </c>
      <c r="R136" s="134"/>
      <c r="S136" s="135">
        <v>45</v>
      </c>
      <c r="T136" s="135">
        <v>0</v>
      </c>
      <c r="U136" s="135">
        <v>45</v>
      </c>
      <c r="V136" s="135">
        <v>0</v>
      </c>
      <c r="W136" s="236"/>
      <c r="X136" s="236"/>
      <c r="Y136" s="136"/>
      <c r="Z136" s="137">
        <v>0</v>
      </c>
      <c r="AA136" s="135">
        <v>0.5</v>
      </c>
      <c r="AB136" s="134"/>
      <c r="AC136" s="138"/>
      <c r="AD136" s="159"/>
      <c r="AE136" s="241">
        <v>0</v>
      </c>
      <c r="AF136" s="165"/>
      <c r="AG136" s="166"/>
      <c r="AH136" s="166"/>
      <c r="AI136" s="166"/>
      <c r="AJ136" s="166"/>
      <c r="AK136" s="166"/>
      <c r="AL136" s="166"/>
      <c r="AM136" s="166"/>
      <c r="AN136" s="166"/>
      <c r="AO136" s="166"/>
      <c r="AP136" s="166"/>
      <c r="AQ136" s="166"/>
      <c r="AR136" s="166"/>
      <c r="AS136" s="166"/>
      <c r="AT136" s="166"/>
      <c r="AU136" s="166"/>
      <c r="AV136" s="166"/>
      <c r="AW136" s="166"/>
      <c r="AX136" s="166"/>
      <c r="AY136" s="166"/>
      <c r="AZ136" s="166"/>
      <c r="BA136" s="166"/>
      <c r="BB136" s="166"/>
      <c r="BC136" s="166"/>
      <c r="BD136" s="166"/>
      <c r="BE136" s="166"/>
      <c r="BF136" s="166"/>
      <c r="BG136" s="166"/>
      <c r="BH136" s="166"/>
      <c r="BI136" s="166"/>
      <c r="BJ136" s="166"/>
      <c r="BK136" s="166"/>
      <c r="BL136" s="166"/>
      <c r="BM136" s="166"/>
      <c r="BN136" s="166"/>
      <c r="BO136" s="166"/>
      <c r="BP136" s="166"/>
      <c r="BQ136" s="166"/>
      <c r="BR136" s="166"/>
      <c r="BS136" s="166"/>
      <c r="BT136" s="166"/>
      <c r="BU136" s="166"/>
      <c r="BV136" s="166"/>
      <c r="BW136" s="166"/>
      <c r="BX136" s="166"/>
      <c r="BY136" s="166"/>
      <c r="BZ136" s="166"/>
      <c r="CA136" s="166"/>
      <c r="CB136" s="166"/>
      <c r="CC136" s="166"/>
      <c r="CD136" s="166"/>
      <c r="CE136" s="166"/>
      <c r="CF136" s="166"/>
      <c r="CG136" s="166"/>
    </row>
    <row r="137" spans="1:85" ht="12" customHeight="1">
      <c r="A137" s="133"/>
      <c r="B137" s="133"/>
      <c r="C137" s="133">
        <v>3</v>
      </c>
      <c r="D137" s="160"/>
      <c r="E137" s="134"/>
      <c r="F137" s="134"/>
      <c r="G137" s="134" t="s">
        <v>1724</v>
      </c>
      <c r="H137" s="134"/>
      <c r="I137" s="134"/>
      <c r="J137" s="134"/>
      <c r="K137" s="134"/>
      <c r="L137" s="134"/>
      <c r="M137" s="134"/>
      <c r="N137" s="134"/>
      <c r="O137" s="134"/>
      <c r="P137" s="236">
        <v>45740</v>
      </c>
      <c r="Q137" s="236">
        <v>45849</v>
      </c>
      <c r="R137" s="134"/>
      <c r="S137" s="135">
        <v>80</v>
      </c>
      <c r="T137" s="135">
        <v>0</v>
      </c>
      <c r="U137" s="135">
        <v>80</v>
      </c>
      <c r="V137" s="135">
        <v>0</v>
      </c>
      <c r="W137" s="236"/>
      <c r="X137" s="236"/>
      <c r="Y137" s="136"/>
      <c r="Z137" s="137">
        <v>0</v>
      </c>
      <c r="AA137" s="135">
        <v>1</v>
      </c>
      <c r="AB137" s="134"/>
      <c r="AC137" s="138"/>
      <c r="AD137" s="159"/>
      <c r="AE137" s="241">
        <v>0</v>
      </c>
      <c r="AF137" s="165"/>
      <c r="AG137" s="166"/>
      <c r="AH137" s="166"/>
      <c r="AI137" s="166"/>
      <c r="AJ137" s="166"/>
      <c r="AK137" s="166"/>
      <c r="AL137" s="166"/>
      <c r="AM137" s="166"/>
      <c r="AN137" s="166"/>
      <c r="AO137" s="166"/>
      <c r="AP137" s="166"/>
      <c r="AQ137" s="166"/>
      <c r="AR137" s="166"/>
      <c r="AS137" s="166"/>
      <c r="AT137" s="166"/>
      <c r="AU137" s="166"/>
      <c r="AV137" s="166"/>
      <c r="AW137" s="166"/>
      <c r="AX137" s="166"/>
      <c r="AY137" s="166"/>
      <c r="AZ137" s="166"/>
      <c r="BA137" s="166"/>
      <c r="BB137" s="166"/>
      <c r="BC137" s="166"/>
      <c r="BD137" s="166"/>
      <c r="BE137" s="166"/>
      <c r="BF137" s="166"/>
      <c r="BG137" s="166"/>
      <c r="BH137" s="166"/>
      <c r="BI137" s="166"/>
      <c r="BJ137" s="166"/>
      <c r="BK137" s="166"/>
      <c r="BL137" s="166"/>
      <c r="BM137" s="166"/>
      <c r="BN137" s="166"/>
      <c r="BO137" s="166"/>
      <c r="BP137" s="166"/>
      <c r="BQ137" s="166"/>
      <c r="BR137" s="166"/>
      <c r="BS137" s="166"/>
      <c r="BT137" s="166"/>
      <c r="BU137" s="166"/>
      <c r="BV137" s="166"/>
      <c r="BW137" s="166"/>
      <c r="BX137" s="166"/>
      <c r="BY137" s="166"/>
      <c r="BZ137" s="166"/>
      <c r="CA137" s="166"/>
      <c r="CB137" s="166"/>
      <c r="CC137" s="166"/>
      <c r="CD137" s="166"/>
      <c r="CE137" s="166"/>
      <c r="CF137" s="166"/>
      <c r="CG137" s="166"/>
    </row>
    <row r="138" spans="1:85" ht="12" customHeight="1">
      <c r="A138" s="133"/>
      <c r="B138" s="133"/>
      <c r="C138" s="133">
        <v>3</v>
      </c>
      <c r="D138" s="160"/>
      <c r="E138" s="134"/>
      <c r="F138" s="134"/>
      <c r="G138" s="134" t="s">
        <v>1725</v>
      </c>
      <c r="H138" s="134"/>
      <c r="I138" s="134"/>
      <c r="J138" s="134"/>
      <c r="K138" s="134"/>
      <c r="L138" s="134"/>
      <c r="M138" s="134"/>
      <c r="N138" s="134"/>
      <c r="O138" s="134"/>
      <c r="P138" s="236">
        <v>45824</v>
      </c>
      <c r="Q138" s="236">
        <v>45856</v>
      </c>
      <c r="R138" s="134"/>
      <c r="S138" s="135">
        <v>25</v>
      </c>
      <c r="T138" s="135">
        <v>0</v>
      </c>
      <c r="U138" s="135">
        <v>25</v>
      </c>
      <c r="V138" s="135">
        <v>0</v>
      </c>
      <c r="W138" s="236"/>
      <c r="X138" s="236"/>
      <c r="Y138" s="136"/>
      <c r="Z138" s="137">
        <v>0</v>
      </c>
      <c r="AA138" s="135">
        <v>0.3</v>
      </c>
      <c r="AB138" s="134"/>
      <c r="AC138" s="138"/>
      <c r="AD138" s="159"/>
      <c r="AE138" s="241">
        <v>0</v>
      </c>
      <c r="AF138" s="165"/>
      <c r="AG138" s="166"/>
      <c r="AH138" s="166"/>
      <c r="AI138" s="166"/>
      <c r="AJ138" s="166"/>
      <c r="AK138" s="166"/>
      <c r="AL138" s="166"/>
      <c r="AM138" s="166"/>
      <c r="AN138" s="166"/>
      <c r="AO138" s="166"/>
      <c r="AP138" s="166"/>
      <c r="AQ138" s="166"/>
      <c r="AR138" s="166"/>
      <c r="AS138" s="166"/>
      <c r="AT138" s="166"/>
      <c r="AU138" s="166"/>
      <c r="AV138" s="166"/>
      <c r="AW138" s="166"/>
      <c r="AX138" s="166"/>
      <c r="AY138" s="166"/>
      <c r="AZ138" s="166"/>
      <c r="BA138" s="166"/>
      <c r="BB138" s="166"/>
      <c r="BC138" s="166"/>
      <c r="BD138" s="166"/>
      <c r="BE138" s="166"/>
      <c r="BF138" s="166"/>
      <c r="BG138" s="166"/>
      <c r="BH138" s="166"/>
      <c r="BI138" s="166"/>
      <c r="BJ138" s="166"/>
      <c r="BK138" s="166"/>
      <c r="BL138" s="166"/>
      <c r="BM138" s="166"/>
      <c r="BN138" s="166"/>
      <c r="BO138" s="166"/>
      <c r="BP138" s="166"/>
      <c r="BQ138" s="166"/>
      <c r="BR138" s="166"/>
      <c r="BS138" s="166"/>
      <c r="BT138" s="166"/>
      <c r="BU138" s="166"/>
      <c r="BV138" s="166"/>
      <c r="BW138" s="166"/>
      <c r="BX138" s="166"/>
      <c r="BY138" s="166"/>
      <c r="BZ138" s="166"/>
      <c r="CA138" s="166"/>
      <c r="CB138" s="166"/>
      <c r="CC138" s="166"/>
      <c r="CD138" s="166"/>
      <c r="CE138" s="166"/>
      <c r="CF138" s="166"/>
      <c r="CG138" s="166"/>
    </row>
    <row r="139" spans="1:85" ht="12" customHeight="1">
      <c r="A139" s="133"/>
      <c r="B139" s="133"/>
      <c r="C139" s="133">
        <v>3</v>
      </c>
      <c r="D139" s="160"/>
      <c r="E139" s="134"/>
      <c r="F139" s="134"/>
      <c r="G139" s="134" t="s">
        <v>1726</v>
      </c>
      <c r="H139" s="134"/>
      <c r="I139" s="134"/>
      <c r="J139" s="134"/>
      <c r="K139" s="134"/>
      <c r="L139" s="134"/>
      <c r="M139" s="134"/>
      <c r="N139" s="134"/>
      <c r="O139" s="134"/>
      <c r="P139" s="236">
        <v>45796</v>
      </c>
      <c r="Q139" s="236">
        <v>45821</v>
      </c>
      <c r="R139" s="134"/>
      <c r="S139" s="135">
        <v>20</v>
      </c>
      <c r="T139" s="135">
        <v>0</v>
      </c>
      <c r="U139" s="135">
        <v>20</v>
      </c>
      <c r="V139" s="135">
        <v>0</v>
      </c>
      <c r="W139" s="236"/>
      <c r="X139" s="236"/>
      <c r="Y139" s="136"/>
      <c r="Z139" s="137">
        <v>0</v>
      </c>
      <c r="AA139" s="135">
        <v>0.5</v>
      </c>
      <c r="AB139" s="134"/>
      <c r="AC139" s="138"/>
      <c r="AD139" s="159"/>
      <c r="AE139" s="241">
        <v>0</v>
      </c>
      <c r="AF139" s="165"/>
      <c r="AG139" s="166"/>
      <c r="AH139" s="166"/>
      <c r="AI139" s="166"/>
      <c r="AJ139" s="166"/>
      <c r="AK139" s="166"/>
      <c r="AL139" s="166"/>
      <c r="AM139" s="166"/>
      <c r="AN139" s="166"/>
      <c r="AO139" s="166"/>
      <c r="AP139" s="166"/>
      <c r="AQ139" s="166"/>
      <c r="AR139" s="166"/>
      <c r="AS139" s="166"/>
      <c r="AT139" s="166"/>
      <c r="AU139" s="166"/>
      <c r="AV139" s="166"/>
      <c r="AW139" s="166"/>
      <c r="AX139" s="166"/>
      <c r="AY139" s="166"/>
      <c r="AZ139" s="166"/>
      <c r="BA139" s="166"/>
      <c r="BB139" s="166"/>
      <c r="BC139" s="166"/>
      <c r="BD139" s="166"/>
      <c r="BE139" s="166"/>
      <c r="BF139" s="166"/>
      <c r="BG139" s="166"/>
      <c r="BH139" s="166"/>
      <c r="BI139" s="166"/>
      <c r="BJ139" s="166"/>
      <c r="BK139" s="166"/>
      <c r="BL139" s="166"/>
      <c r="BM139" s="166"/>
      <c r="BN139" s="166"/>
      <c r="BO139" s="166"/>
      <c r="BP139" s="166"/>
      <c r="BQ139" s="166"/>
      <c r="BR139" s="166"/>
      <c r="BS139" s="166"/>
      <c r="BT139" s="166"/>
      <c r="BU139" s="166"/>
      <c r="BV139" s="166"/>
      <c r="BW139" s="166"/>
      <c r="BX139" s="166"/>
      <c r="BY139" s="166"/>
      <c r="BZ139" s="166"/>
      <c r="CA139" s="166"/>
      <c r="CB139" s="166"/>
      <c r="CC139" s="166"/>
      <c r="CD139" s="166"/>
      <c r="CE139" s="166"/>
      <c r="CF139" s="166"/>
      <c r="CG139" s="166"/>
    </row>
    <row r="140" spans="1:85" ht="12" customHeight="1">
      <c r="A140" s="133"/>
      <c r="B140" s="133"/>
      <c r="C140" s="133">
        <v>3</v>
      </c>
      <c r="D140" s="160"/>
      <c r="E140" s="134"/>
      <c r="F140" s="134"/>
      <c r="G140" s="134" t="s">
        <v>1727</v>
      </c>
      <c r="H140" s="134"/>
      <c r="I140" s="134"/>
      <c r="J140" s="134"/>
      <c r="K140" s="134"/>
      <c r="L140" s="134"/>
      <c r="M140" s="134"/>
      <c r="N140" s="134"/>
      <c r="O140" s="134"/>
      <c r="P140" s="236">
        <v>45859</v>
      </c>
      <c r="Q140" s="236">
        <v>45898</v>
      </c>
      <c r="R140" s="134"/>
      <c r="S140" s="135">
        <v>30</v>
      </c>
      <c r="T140" s="135">
        <v>0</v>
      </c>
      <c r="U140" s="135">
        <v>30</v>
      </c>
      <c r="V140" s="135">
        <v>0</v>
      </c>
      <c r="W140" s="236"/>
      <c r="X140" s="236"/>
      <c r="Y140" s="136"/>
      <c r="Z140" s="137">
        <v>0</v>
      </c>
      <c r="AA140" s="135">
        <v>1</v>
      </c>
      <c r="AB140" s="134"/>
      <c r="AC140" s="138"/>
      <c r="AD140" s="159"/>
      <c r="AE140" s="241">
        <v>0</v>
      </c>
      <c r="AF140" s="165"/>
      <c r="AG140" s="166"/>
      <c r="AH140" s="166"/>
      <c r="AI140" s="166"/>
      <c r="AJ140" s="166"/>
      <c r="AK140" s="166"/>
      <c r="AL140" s="166"/>
      <c r="AM140" s="166"/>
      <c r="AN140" s="166"/>
      <c r="AO140" s="166"/>
      <c r="AP140" s="166"/>
      <c r="AQ140" s="166"/>
      <c r="AR140" s="166"/>
      <c r="AS140" s="166"/>
      <c r="AT140" s="166"/>
      <c r="AU140" s="166"/>
      <c r="AV140" s="166"/>
      <c r="AW140" s="166"/>
      <c r="AX140" s="166"/>
      <c r="AY140" s="166"/>
      <c r="AZ140" s="166"/>
      <c r="BA140" s="166"/>
      <c r="BB140" s="166"/>
      <c r="BC140" s="166"/>
      <c r="BD140" s="166"/>
      <c r="BE140" s="166"/>
      <c r="BF140" s="166"/>
      <c r="BG140" s="166"/>
      <c r="BH140" s="166"/>
      <c r="BI140" s="166"/>
      <c r="BJ140" s="166"/>
      <c r="BK140" s="166"/>
      <c r="BL140" s="166"/>
      <c r="BM140" s="166"/>
      <c r="BN140" s="166"/>
      <c r="BO140" s="166"/>
      <c r="BP140" s="166"/>
      <c r="BQ140" s="166"/>
      <c r="BR140" s="166"/>
      <c r="BS140" s="166"/>
      <c r="BT140" s="166"/>
      <c r="BU140" s="166"/>
      <c r="BV140" s="166"/>
      <c r="BW140" s="166"/>
      <c r="BX140" s="166"/>
      <c r="BY140" s="166"/>
      <c r="BZ140" s="166"/>
      <c r="CA140" s="166"/>
      <c r="CB140" s="166"/>
      <c r="CC140" s="166"/>
      <c r="CD140" s="166"/>
      <c r="CE140" s="166"/>
      <c r="CF140" s="166"/>
      <c r="CG140" s="166"/>
    </row>
    <row r="141" spans="1:85" ht="12" customHeight="1">
      <c r="A141" s="133"/>
      <c r="B141" s="133"/>
      <c r="C141" s="133">
        <v>3</v>
      </c>
      <c r="D141" s="160"/>
      <c r="E141" s="134"/>
      <c r="F141" s="134"/>
      <c r="G141" s="134" t="s">
        <v>1728</v>
      </c>
      <c r="H141" s="134"/>
      <c r="I141" s="134"/>
      <c r="J141" s="134"/>
      <c r="K141" s="134"/>
      <c r="L141" s="134"/>
      <c r="M141" s="134"/>
      <c r="N141" s="134"/>
      <c r="O141" s="134"/>
      <c r="P141" s="236">
        <v>45887</v>
      </c>
      <c r="Q141" s="236">
        <v>45898</v>
      </c>
      <c r="R141" s="134"/>
      <c r="S141" s="135">
        <v>10</v>
      </c>
      <c r="T141" s="135">
        <v>0</v>
      </c>
      <c r="U141" s="135">
        <v>10</v>
      </c>
      <c r="V141" s="135">
        <v>0</v>
      </c>
      <c r="W141" s="236"/>
      <c r="X141" s="236"/>
      <c r="Y141" s="136"/>
      <c r="Z141" s="137">
        <v>0</v>
      </c>
      <c r="AA141" s="135">
        <v>0.3</v>
      </c>
      <c r="AB141" s="134"/>
      <c r="AC141" s="138"/>
      <c r="AD141" s="159"/>
      <c r="AE141" s="241">
        <v>0</v>
      </c>
      <c r="AF141" s="165"/>
      <c r="AG141" s="166"/>
      <c r="AH141" s="166"/>
      <c r="AI141" s="166"/>
      <c r="AJ141" s="166"/>
      <c r="AK141" s="166"/>
      <c r="AL141" s="166"/>
      <c r="AM141" s="166"/>
      <c r="AN141" s="166"/>
      <c r="AO141" s="166"/>
      <c r="AP141" s="166"/>
      <c r="AQ141" s="166"/>
      <c r="AR141" s="166"/>
      <c r="AS141" s="166"/>
      <c r="AT141" s="166"/>
      <c r="AU141" s="166"/>
      <c r="AV141" s="166"/>
      <c r="AW141" s="166"/>
      <c r="AX141" s="166"/>
      <c r="AY141" s="166"/>
      <c r="AZ141" s="166"/>
      <c r="BA141" s="166"/>
      <c r="BB141" s="166"/>
      <c r="BC141" s="166"/>
      <c r="BD141" s="166"/>
      <c r="BE141" s="166"/>
      <c r="BF141" s="166"/>
      <c r="BG141" s="166"/>
      <c r="BH141" s="166"/>
      <c r="BI141" s="166"/>
      <c r="BJ141" s="166"/>
      <c r="BK141" s="166"/>
      <c r="BL141" s="166"/>
      <c r="BM141" s="166"/>
      <c r="BN141" s="166"/>
      <c r="BO141" s="166"/>
      <c r="BP141" s="166"/>
      <c r="BQ141" s="166"/>
      <c r="BR141" s="166"/>
      <c r="BS141" s="166"/>
      <c r="BT141" s="166"/>
      <c r="BU141" s="166"/>
      <c r="BV141" s="166"/>
      <c r="BW141" s="166"/>
      <c r="BX141" s="166"/>
      <c r="BY141" s="166"/>
      <c r="BZ141" s="166"/>
      <c r="CA141" s="166"/>
      <c r="CB141" s="166"/>
      <c r="CC141" s="166"/>
      <c r="CD141" s="166"/>
      <c r="CE141" s="166"/>
      <c r="CF141" s="166"/>
      <c r="CG141" s="166"/>
    </row>
    <row r="142" spans="1:85" ht="12" customHeight="1">
      <c r="A142" s="133"/>
      <c r="B142" s="133"/>
      <c r="C142" s="133">
        <v>2</v>
      </c>
      <c r="D142" s="160"/>
      <c r="E142" s="134"/>
      <c r="F142" s="134" t="s">
        <v>1696</v>
      </c>
      <c r="G142" s="134"/>
      <c r="H142" s="134"/>
      <c r="I142" s="134"/>
      <c r="J142" s="134"/>
      <c r="K142" s="134"/>
      <c r="L142" s="134"/>
      <c r="M142" s="134"/>
      <c r="N142" s="134"/>
      <c r="O142" s="134"/>
      <c r="P142" s="236">
        <v>45824</v>
      </c>
      <c r="Q142" s="236">
        <v>45947</v>
      </c>
      <c r="R142" s="134"/>
      <c r="S142" s="135">
        <v>90</v>
      </c>
      <c r="T142" s="135">
        <v>0</v>
      </c>
      <c r="U142" s="135">
        <v>90</v>
      </c>
      <c r="V142" s="135">
        <v>0</v>
      </c>
      <c r="W142" s="236"/>
      <c r="X142" s="236"/>
      <c r="Y142" s="136"/>
      <c r="Z142" s="137">
        <v>0</v>
      </c>
      <c r="AA142" s="135"/>
      <c r="AB142" s="134"/>
      <c r="AC142" s="138"/>
      <c r="AD142" s="159"/>
      <c r="AE142" s="242">
        <v>0</v>
      </c>
      <c r="AF142" s="165"/>
      <c r="AG142" s="166"/>
      <c r="AH142" s="166"/>
      <c r="AI142" s="166"/>
      <c r="AJ142" s="166"/>
      <c r="AK142" s="166"/>
      <c r="AL142" s="166"/>
      <c r="AM142" s="166"/>
      <c r="AN142" s="166"/>
      <c r="AO142" s="166"/>
      <c r="AP142" s="166"/>
      <c r="AQ142" s="166"/>
      <c r="AR142" s="166"/>
      <c r="AS142" s="166"/>
      <c r="AT142" s="166"/>
      <c r="AU142" s="166"/>
      <c r="AV142" s="166"/>
      <c r="AW142" s="166"/>
      <c r="AX142" s="166"/>
      <c r="AY142" s="166"/>
      <c r="AZ142" s="166"/>
      <c r="BA142" s="166"/>
      <c r="BB142" s="166"/>
      <c r="BC142" s="166"/>
      <c r="BD142" s="166"/>
      <c r="BE142" s="166"/>
      <c r="BF142" s="166"/>
      <c r="BG142" s="166"/>
      <c r="BH142" s="166"/>
      <c r="BI142" s="166"/>
      <c r="BJ142" s="166"/>
      <c r="BK142" s="166"/>
      <c r="BL142" s="166"/>
      <c r="BM142" s="166"/>
      <c r="BN142" s="166"/>
      <c r="BO142" s="166"/>
      <c r="BP142" s="166"/>
      <c r="BQ142" s="166"/>
      <c r="BR142" s="166"/>
      <c r="BS142" s="166"/>
      <c r="BT142" s="166"/>
      <c r="BU142" s="166"/>
      <c r="BV142" s="166"/>
      <c r="BW142" s="166"/>
      <c r="BX142" s="166"/>
      <c r="BY142" s="166"/>
      <c r="BZ142" s="166"/>
      <c r="CA142" s="166"/>
      <c r="CB142" s="166"/>
      <c r="CC142" s="166"/>
      <c r="CD142" s="166"/>
      <c r="CE142" s="166"/>
      <c r="CF142" s="166"/>
      <c r="CG142" s="166"/>
    </row>
    <row r="143" spans="1:85" ht="12" customHeight="1">
      <c r="A143" s="133"/>
      <c r="B143" s="133"/>
      <c r="C143" s="133">
        <v>3</v>
      </c>
      <c r="D143" s="160"/>
      <c r="E143" s="134"/>
      <c r="F143" s="134"/>
      <c r="G143" s="134" t="s">
        <v>1697</v>
      </c>
      <c r="H143" s="134"/>
      <c r="I143" s="134"/>
      <c r="J143" s="134"/>
      <c r="K143" s="134"/>
      <c r="L143" s="134"/>
      <c r="M143" s="134"/>
      <c r="N143" s="134"/>
      <c r="O143" s="134"/>
      <c r="P143" s="236">
        <v>45824</v>
      </c>
      <c r="Q143" s="236">
        <v>45870</v>
      </c>
      <c r="R143" s="134"/>
      <c r="S143" s="135">
        <v>35</v>
      </c>
      <c r="T143" s="135">
        <v>0</v>
      </c>
      <c r="U143" s="135">
        <v>35</v>
      </c>
      <c r="V143" s="135">
        <v>0</v>
      </c>
      <c r="W143" s="236"/>
      <c r="X143" s="236"/>
      <c r="Y143" s="136"/>
      <c r="Z143" s="137">
        <v>0</v>
      </c>
      <c r="AA143" s="135"/>
      <c r="AB143" s="134"/>
      <c r="AC143" s="138"/>
      <c r="AD143" s="159"/>
      <c r="AE143" s="242">
        <v>0</v>
      </c>
      <c r="AF143" s="165"/>
      <c r="AG143" s="166"/>
      <c r="AH143" s="166"/>
      <c r="AI143" s="166"/>
      <c r="AJ143" s="166"/>
      <c r="AK143" s="166"/>
      <c r="AL143" s="166"/>
      <c r="AM143" s="166"/>
      <c r="AN143" s="166"/>
      <c r="AO143" s="166"/>
      <c r="AP143" s="166"/>
      <c r="AQ143" s="166"/>
      <c r="AR143" s="166"/>
      <c r="AS143" s="166"/>
      <c r="AT143" s="166"/>
      <c r="AU143" s="166"/>
      <c r="AV143" s="166"/>
      <c r="AW143" s="166"/>
      <c r="AX143" s="166"/>
      <c r="AY143" s="166"/>
      <c r="AZ143" s="166"/>
      <c r="BA143" s="166"/>
      <c r="BB143" s="166"/>
      <c r="BC143" s="166"/>
      <c r="BD143" s="166"/>
      <c r="BE143" s="166"/>
      <c r="BF143" s="166"/>
      <c r="BG143" s="166"/>
      <c r="BH143" s="166"/>
      <c r="BI143" s="166"/>
      <c r="BJ143" s="166"/>
      <c r="BK143" s="166"/>
      <c r="BL143" s="166"/>
      <c r="BM143" s="166"/>
      <c r="BN143" s="166"/>
      <c r="BO143" s="166"/>
      <c r="BP143" s="166"/>
      <c r="BQ143" s="166"/>
      <c r="BR143" s="166"/>
      <c r="BS143" s="166"/>
      <c r="BT143" s="166"/>
      <c r="BU143" s="166"/>
      <c r="BV143" s="166"/>
      <c r="BW143" s="166"/>
      <c r="BX143" s="166"/>
      <c r="BY143" s="166"/>
      <c r="BZ143" s="166"/>
      <c r="CA143" s="166"/>
      <c r="CB143" s="166"/>
      <c r="CC143" s="166"/>
      <c r="CD143" s="166"/>
      <c r="CE143" s="166"/>
      <c r="CF143" s="166"/>
      <c r="CG143" s="166"/>
    </row>
    <row r="144" spans="1:85" ht="12" customHeight="1">
      <c r="A144" s="133"/>
      <c r="B144" s="133"/>
      <c r="C144" s="133">
        <v>4</v>
      </c>
      <c r="D144" s="160"/>
      <c r="E144" s="134"/>
      <c r="F144" s="134"/>
      <c r="G144" s="134"/>
      <c r="H144" s="134" t="s">
        <v>1698</v>
      </c>
      <c r="I144" s="134"/>
      <c r="J144" s="134"/>
      <c r="K144" s="134"/>
      <c r="L144" s="134"/>
      <c r="M144" s="134"/>
      <c r="N144" s="134"/>
      <c r="O144" s="134"/>
      <c r="P144" s="236">
        <v>45824</v>
      </c>
      <c r="Q144" s="236">
        <v>45856</v>
      </c>
      <c r="R144" s="134"/>
      <c r="S144" s="135">
        <v>25</v>
      </c>
      <c r="T144" s="135">
        <v>0</v>
      </c>
      <c r="U144" s="135">
        <v>25</v>
      </c>
      <c r="V144" s="135">
        <v>0</v>
      </c>
      <c r="W144" s="236"/>
      <c r="X144" s="236"/>
      <c r="Y144" s="136"/>
      <c r="Z144" s="137">
        <v>0</v>
      </c>
      <c r="AA144" s="135">
        <v>0.1</v>
      </c>
      <c r="AB144" s="134"/>
      <c r="AC144" s="138"/>
      <c r="AD144" s="159"/>
      <c r="AE144" s="241">
        <v>0</v>
      </c>
      <c r="AF144" s="165"/>
      <c r="AG144" s="166"/>
      <c r="AH144" s="166"/>
      <c r="AI144" s="166"/>
      <c r="AJ144" s="166"/>
      <c r="AK144" s="166"/>
      <c r="AL144" s="166"/>
      <c r="AM144" s="166"/>
      <c r="AN144" s="166"/>
      <c r="AO144" s="166"/>
      <c r="AP144" s="166"/>
      <c r="AQ144" s="166"/>
      <c r="AR144" s="166"/>
      <c r="AS144" s="166"/>
      <c r="AT144" s="166"/>
      <c r="AU144" s="166"/>
      <c r="AV144" s="166"/>
      <c r="AW144" s="166"/>
      <c r="AX144" s="166"/>
      <c r="AY144" s="166"/>
      <c r="AZ144" s="166"/>
      <c r="BA144" s="166"/>
      <c r="BB144" s="166"/>
      <c r="BC144" s="166"/>
      <c r="BD144" s="166"/>
      <c r="BE144" s="166"/>
      <c r="BF144" s="166"/>
      <c r="BG144" s="166"/>
      <c r="BH144" s="166"/>
      <c r="BI144" s="166"/>
      <c r="BJ144" s="166"/>
      <c r="BK144" s="166"/>
      <c r="BL144" s="166"/>
      <c r="BM144" s="166"/>
      <c r="BN144" s="166"/>
      <c r="BO144" s="166"/>
      <c r="BP144" s="166"/>
      <c r="BQ144" s="166"/>
      <c r="BR144" s="166"/>
      <c r="BS144" s="166"/>
      <c r="BT144" s="166"/>
      <c r="BU144" s="166"/>
      <c r="BV144" s="166"/>
      <c r="BW144" s="166"/>
      <c r="BX144" s="166"/>
      <c r="BY144" s="166"/>
      <c r="BZ144" s="166"/>
      <c r="CA144" s="166"/>
      <c r="CB144" s="166"/>
      <c r="CC144" s="166"/>
      <c r="CD144" s="166"/>
      <c r="CE144" s="166"/>
      <c r="CF144" s="166"/>
      <c r="CG144" s="166"/>
    </row>
    <row r="145" spans="1:85" ht="12" customHeight="1">
      <c r="A145" s="133"/>
      <c r="B145" s="133"/>
      <c r="C145" s="133">
        <v>4</v>
      </c>
      <c r="D145" s="160"/>
      <c r="E145" s="134"/>
      <c r="F145" s="134"/>
      <c r="G145" s="134"/>
      <c r="H145" s="134" t="s">
        <v>1699</v>
      </c>
      <c r="I145" s="134"/>
      <c r="J145" s="134"/>
      <c r="K145" s="134"/>
      <c r="L145" s="134"/>
      <c r="M145" s="134"/>
      <c r="N145" s="134"/>
      <c r="O145" s="134"/>
      <c r="P145" s="236">
        <v>45859</v>
      </c>
      <c r="Q145" s="236">
        <v>45863</v>
      </c>
      <c r="R145" s="134"/>
      <c r="S145" s="135">
        <v>5</v>
      </c>
      <c r="T145" s="135">
        <v>0</v>
      </c>
      <c r="U145" s="135">
        <v>5</v>
      </c>
      <c r="V145" s="135">
        <v>0</v>
      </c>
      <c r="W145" s="236"/>
      <c r="X145" s="236"/>
      <c r="Y145" s="136"/>
      <c r="Z145" s="137">
        <v>0</v>
      </c>
      <c r="AA145" s="135">
        <v>0.5</v>
      </c>
      <c r="AB145" s="134"/>
      <c r="AC145" s="138"/>
      <c r="AD145" s="159"/>
      <c r="AE145" s="241">
        <v>0</v>
      </c>
      <c r="AF145" s="165"/>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66"/>
      <c r="BF145" s="166"/>
      <c r="BG145" s="166"/>
      <c r="BH145" s="166"/>
      <c r="BI145" s="166"/>
      <c r="BJ145" s="166"/>
      <c r="BK145" s="166"/>
      <c r="BL145" s="166"/>
      <c r="BM145" s="166"/>
      <c r="BN145" s="166"/>
      <c r="BO145" s="166"/>
      <c r="BP145" s="166"/>
      <c r="BQ145" s="166"/>
      <c r="BR145" s="166"/>
      <c r="BS145" s="166"/>
      <c r="BT145" s="166"/>
      <c r="BU145" s="166"/>
      <c r="BV145" s="166"/>
      <c r="BW145" s="166"/>
      <c r="BX145" s="166"/>
      <c r="BY145" s="166"/>
      <c r="BZ145" s="166"/>
      <c r="CA145" s="166"/>
      <c r="CB145" s="166"/>
      <c r="CC145" s="166"/>
      <c r="CD145" s="166"/>
      <c r="CE145" s="166"/>
      <c r="CF145" s="166"/>
      <c r="CG145" s="166"/>
    </row>
    <row r="146" spans="1:85" ht="12" customHeight="1">
      <c r="A146" s="133"/>
      <c r="B146" s="133"/>
      <c r="C146" s="133">
        <v>4</v>
      </c>
      <c r="D146" s="160"/>
      <c r="E146" s="134"/>
      <c r="F146" s="134"/>
      <c r="G146" s="134"/>
      <c r="H146" s="134" t="s">
        <v>1700</v>
      </c>
      <c r="I146" s="134"/>
      <c r="J146" s="134"/>
      <c r="K146" s="134"/>
      <c r="L146" s="134"/>
      <c r="M146" s="134"/>
      <c r="N146" s="134"/>
      <c r="O146" s="134"/>
      <c r="P146" s="236">
        <v>45866</v>
      </c>
      <c r="Q146" s="236">
        <v>45870</v>
      </c>
      <c r="R146" s="134"/>
      <c r="S146" s="135">
        <v>5</v>
      </c>
      <c r="T146" s="135">
        <v>0</v>
      </c>
      <c r="U146" s="135">
        <v>5</v>
      </c>
      <c r="V146" s="135">
        <v>0</v>
      </c>
      <c r="W146" s="236"/>
      <c r="X146" s="236"/>
      <c r="Y146" s="136"/>
      <c r="Z146" s="137">
        <v>0</v>
      </c>
      <c r="AA146" s="135">
        <v>0.5</v>
      </c>
      <c r="AB146" s="134"/>
      <c r="AC146" s="138"/>
      <c r="AD146" s="159"/>
      <c r="AE146" s="241">
        <v>0</v>
      </c>
      <c r="AF146" s="165"/>
      <c r="AG146" s="166"/>
      <c r="AH146" s="166"/>
      <c r="AI146" s="166"/>
      <c r="AJ146" s="166"/>
      <c r="AK146" s="166"/>
      <c r="AL146" s="166"/>
      <c r="AM146" s="166"/>
      <c r="AN146" s="166"/>
      <c r="AO146" s="166"/>
      <c r="AP146" s="166"/>
      <c r="AQ146" s="166"/>
      <c r="AR146" s="166"/>
      <c r="AS146" s="166"/>
      <c r="AT146" s="166"/>
      <c r="AU146" s="166"/>
      <c r="AV146" s="166"/>
      <c r="AW146" s="166"/>
      <c r="AX146" s="166"/>
      <c r="AY146" s="166"/>
      <c r="AZ146" s="166"/>
      <c r="BA146" s="166"/>
      <c r="BB146" s="166"/>
      <c r="BC146" s="166"/>
      <c r="BD146" s="166"/>
      <c r="BE146" s="166"/>
      <c r="BF146" s="166"/>
      <c r="BG146" s="166"/>
      <c r="BH146" s="166"/>
      <c r="BI146" s="166"/>
      <c r="BJ146" s="166"/>
      <c r="BK146" s="166"/>
      <c r="BL146" s="166"/>
      <c r="BM146" s="166"/>
      <c r="BN146" s="166"/>
      <c r="BO146" s="166"/>
      <c r="BP146" s="166"/>
      <c r="BQ146" s="166"/>
      <c r="BR146" s="166"/>
      <c r="BS146" s="166"/>
      <c r="BT146" s="166"/>
      <c r="BU146" s="166"/>
      <c r="BV146" s="166"/>
      <c r="BW146" s="166"/>
      <c r="BX146" s="166"/>
      <c r="BY146" s="166"/>
      <c r="BZ146" s="166"/>
      <c r="CA146" s="166"/>
      <c r="CB146" s="166"/>
      <c r="CC146" s="166"/>
      <c r="CD146" s="166"/>
      <c r="CE146" s="166"/>
      <c r="CF146" s="166"/>
      <c r="CG146" s="166"/>
    </row>
    <row r="147" spans="1:85" ht="12" customHeight="1">
      <c r="A147" s="133"/>
      <c r="B147" s="133"/>
      <c r="C147" s="133">
        <v>3</v>
      </c>
      <c r="D147" s="160"/>
      <c r="E147" s="134"/>
      <c r="F147" s="134"/>
      <c r="G147" s="134" t="s">
        <v>1701</v>
      </c>
      <c r="H147" s="134"/>
      <c r="I147" s="134"/>
      <c r="J147" s="134"/>
      <c r="K147" s="134"/>
      <c r="L147" s="134"/>
      <c r="M147" s="134"/>
      <c r="N147" s="134"/>
      <c r="O147" s="134"/>
      <c r="P147" s="236">
        <v>45873</v>
      </c>
      <c r="Q147" s="236">
        <v>45883</v>
      </c>
      <c r="R147" s="134"/>
      <c r="S147" s="135">
        <v>9</v>
      </c>
      <c r="T147" s="135">
        <v>0</v>
      </c>
      <c r="U147" s="135">
        <v>9</v>
      </c>
      <c r="V147" s="135">
        <v>0</v>
      </c>
      <c r="W147" s="236"/>
      <c r="X147" s="236"/>
      <c r="Y147" s="136"/>
      <c r="Z147" s="137">
        <v>0</v>
      </c>
      <c r="AA147" s="135"/>
      <c r="AB147" s="134"/>
      <c r="AC147" s="138"/>
      <c r="AD147" s="159"/>
      <c r="AE147" s="242">
        <v>0</v>
      </c>
      <c r="AF147" s="165"/>
      <c r="AG147" s="166"/>
      <c r="AH147" s="166"/>
      <c r="AI147" s="166"/>
      <c r="AJ147" s="166"/>
      <c r="AK147" s="166"/>
      <c r="AL147" s="166"/>
      <c r="AM147" s="166"/>
      <c r="AN147" s="166"/>
      <c r="AO147" s="166"/>
      <c r="AP147" s="166"/>
      <c r="AQ147" s="166"/>
      <c r="AR147" s="166"/>
      <c r="AS147" s="166"/>
      <c r="AT147" s="166"/>
      <c r="AU147" s="166"/>
      <c r="AV147" s="166"/>
      <c r="AW147" s="166"/>
      <c r="AX147" s="166"/>
      <c r="AY147" s="166"/>
      <c r="AZ147" s="166"/>
      <c r="BA147" s="166"/>
      <c r="BB147" s="166"/>
      <c r="BC147" s="166"/>
      <c r="BD147" s="166"/>
      <c r="BE147" s="166"/>
      <c r="BF147" s="166"/>
      <c r="BG147" s="166"/>
      <c r="BH147" s="166"/>
      <c r="BI147" s="166"/>
      <c r="BJ147" s="166"/>
      <c r="BK147" s="166"/>
      <c r="BL147" s="166"/>
      <c r="BM147" s="166"/>
      <c r="BN147" s="166"/>
      <c r="BO147" s="166"/>
      <c r="BP147" s="166"/>
      <c r="BQ147" s="166"/>
      <c r="BR147" s="166"/>
      <c r="BS147" s="166"/>
      <c r="BT147" s="166"/>
      <c r="BU147" s="166"/>
      <c r="BV147" s="166"/>
      <c r="BW147" s="166"/>
      <c r="BX147" s="166"/>
      <c r="BY147" s="166"/>
      <c r="BZ147" s="166"/>
      <c r="CA147" s="166"/>
      <c r="CB147" s="166"/>
      <c r="CC147" s="166"/>
      <c r="CD147" s="166"/>
      <c r="CE147" s="166"/>
      <c r="CF147" s="166"/>
      <c r="CG147" s="166"/>
    </row>
    <row r="148" spans="1:85" ht="12" customHeight="1">
      <c r="A148" s="133"/>
      <c r="B148" s="133"/>
      <c r="C148" s="133">
        <v>4</v>
      </c>
      <c r="D148" s="160"/>
      <c r="E148" s="134"/>
      <c r="F148" s="134"/>
      <c r="G148" s="134"/>
      <c r="H148" s="134" t="s">
        <v>1699</v>
      </c>
      <c r="I148" s="134"/>
      <c r="J148" s="134"/>
      <c r="K148" s="134"/>
      <c r="L148" s="134"/>
      <c r="M148" s="134"/>
      <c r="N148" s="134"/>
      <c r="O148" s="134"/>
      <c r="P148" s="236">
        <v>45873</v>
      </c>
      <c r="Q148" s="236">
        <v>45877</v>
      </c>
      <c r="R148" s="134"/>
      <c r="S148" s="135">
        <v>5</v>
      </c>
      <c r="T148" s="135">
        <v>0</v>
      </c>
      <c r="U148" s="135">
        <v>5</v>
      </c>
      <c r="V148" s="135">
        <v>0</v>
      </c>
      <c r="W148" s="236"/>
      <c r="X148" s="236"/>
      <c r="Y148" s="136"/>
      <c r="Z148" s="137">
        <v>0</v>
      </c>
      <c r="AA148" s="135">
        <v>0.5</v>
      </c>
      <c r="AB148" s="134"/>
      <c r="AC148" s="138"/>
      <c r="AD148" s="159"/>
      <c r="AE148" s="241">
        <v>0</v>
      </c>
      <c r="AF148" s="165"/>
      <c r="AG148" s="166"/>
      <c r="AH148" s="166"/>
      <c r="AI148" s="166"/>
      <c r="AJ148" s="166"/>
      <c r="AK148" s="166"/>
      <c r="AL148" s="166"/>
      <c r="AM148" s="166"/>
      <c r="AN148" s="166"/>
      <c r="AO148" s="166"/>
      <c r="AP148" s="166"/>
      <c r="AQ148" s="166"/>
      <c r="AR148" s="166"/>
      <c r="AS148" s="166"/>
      <c r="AT148" s="166"/>
      <c r="AU148" s="166"/>
      <c r="AV148" s="166"/>
      <c r="AW148" s="166"/>
      <c r="AX148" s="166"/>
      <c r="AY148" s="166"/>
      <c r="AZ148" s="166"/>
      <c r="BA148" s="166"/>
      <c r="BB148" s="166"/>
      <c r="BC148" s="166"/>
      <c r="BD148" s="166"/>
      <c r="BE148" s="166"/>
      <c r="BF148" s="166"/>
      <c r="BG148" s="166"/>
      <c r="BH148" s="166"/>
      <c r="BI148" s="166"/>
      <c r="BJ148" s="166"/>
      <c r="BK148" s="166"/>
      <c r="BL148" s="166"/>
      <c r="BM148" s="166"/>
      <c r="BN148" s="166"/>
      <c r="BO148" s="166"/>
      <c r="BP148" s="166"/>
      <c r="BQ148" s="166"/>
      <c r="BR148" s="166"/>
      <c r="BS148" s="166"/>
      <c r="BT148" s="166"/>
      <c r="BU148" s="166"/>
      <c r="BV148" s="166"/>
      <c r="BW148" s="166"/>
      <c r="BX148" s="166"/>
      <c r="BY148" s="166"/>
      <c r="BZ148" s="166"/>
      <c r="CA148" s="166"/>
      <c r="CB148" s="166"/>
      <c r="CC148" s="166"/>
      <c r="CD148" s="166"/>
      <c r="CE148" s="166"/>
      <c r="CF148" s="166"/>
      <c r="CG148" s="166"/>
    </row>
    <row r="149" spans="1:85" ht="12" customHeight="1">
      <c r="A149" s="133"/>
      <c r="B149" s="133"/>
      <c r="C149" s="133">
        <v>4</v>
      </c>
      <c r="D149" s="160"/>
      <c r="E149" s="134"/>
      <c r="F149" s="134"/>
      <c r="G149" s="134"/>
      <c r="H149" s="134" t="s">
        <v>1700</v>
      </c>
      <c r="I149" s="134"/>
      <c r="J149" s="134"/>
      <c r="K149" s="134"/>
      <c r="L149" s="134"/>
      <c r="M149" s="134"/>
      <c r="N149" s="134"/>
      <c r="O149" s="134"/>
      <c r="P149" s="236">
        <v>45880</v>
      </c>
      <c r="Q149" s="236">
        <v>45883</v>
      </c>
      <c r="R149" s="134"/>
      <c r="S149" s="135">
        <v>4</v>
      </c>
      <c r="T149" s="135">
        <v>0</v>
      </c>
      <c r="U149" s="135">
        <v>4</v>
      </c>
      <c r="V149" s="135">
        <v>0</v>
      </c>
      <c r="W149" s="236"/>
      <c r="X149" s="236"/>
      <c r="Y149" s="136"/>
      <c r="Z149" s="137">
        <v>0</v>
      </c>
      <c r="AA149" s="135">
        <v>0.5</v>
      </c>
      <c r="AB149" s="134"/>
      <c r="AC149" s="138"/>
      <c r="AD149" s="159"/>
      <c r="AE149" s="241">
        <v>0</v>
      </c>
      <c r="AF149" s="165"/>
      <c r="AG149" s="166"/>
      <c r="AH149" s="166"/>
      <c r="AI149" s="166"/>
      <c r="AJ149" s="166"/>
      <c r="AK149" s="166"/>
      <c r="AL149" s="166"/>
      <c r="AM149" s="166"/>
      <c r="AN149" s="166"/>
      <c r="AO149" s="166"/>
      <c r="AP149" s="166"/>
      <c r="AQ149" s="166"/>
      <c r="AR149" s="166"/>
      <c r="AS149" s="166"/>
      <c r="AT149" s="166"/>
      <c r="AU149" s="166"/>
      <c r="AV149" s="166"/>
      <c r="AW149" s="166"/>
      <c r="AX149" s="166"/>
      <c r="AY149" s="166"/>
      <c r="AZ149" s="166"/>
      <c r="BA149" s="166"/>
      <c r="BB149" s="166"/>
      <c r="BC149" s="166"/>
      <c r="BD149" s="166"/>
      <c r="BE149" s="166"/>
      <c r="BF149" s="166"/>
      <c r="BG149" s="166"/>
      <c r="BH149" s="166"/>
      <c r="BI149" s="166"/>
      <c r="BJ149" s="166"/>
      <c r="BK149" s="166"/>
      <c r="BL149" s="166"/>
      <c r="BM149" s="166"/>
      <c r="BN149" s="166"/>
      <c r="BO149" s="166"/>
      <c r="BP149" s="166"/>
      <c r="BQ149" s="166"/>
      <c r="BR149" s="166"/>
      <c r="BS149" s="166"/>
      <c r="BT149" s="166"/>
      <c r="BU149" s="166"/>
      <c r="BV149" s="166"/>
      <c r="BW149" s="166"/>
      <c r="BX149" s="166"/>
      <c r="BY149" s="166"/>
      <c r="BZ149" s="166"/>
      <c r="CA149" s="166"/>
      <c r="CB149" s="166"/>
      <c r="CC149" s="166"/>
      <c r="CD149" s="166"/>
      <c r="CE149" s="166"/>
      <c r="CF149" s="166"/>
      <c r="CG149" s="166"/>
    </row>
    <row r="150" spans="1:85" ht="12" customHeight="1">
      <c r="A150" s="133"/>
      <c r="B150" s="133"/>
      <c r="C150" s="133">
        <v>3</v>
      </c>
      <c r="D150" s="160"/>
      <c r="E150" s="134"/>
      <c r="F150" s="134"/>
      <c r="G150" s="134" t="s">
        <v>1750</v>
      </c>
      <c r="H150" s="134"/>
      <c r="I150" s="134"/>
      <c r="J150" s="134"/>
      <c r="K150" s="134"/>
      <c r="L150" s="134"/>
      <c r="M150" s="134"/>
      <c r="N150" s="134"/>
      <c r="O150" s="134"/>
      <c r="P150" s="236">
        <v>45887</v>
      </c>
      <c r="Q150" s="236">
        <v>45912</v>
      </c>
      <c r="R150" s="134"/>
      <c r="S150" s="135">
        <v>20</v>
      </c>
      <c r="T150" s="135">
        <v>0</v>
      </c>
      <c r="U150" s="135">
        <v>20</v>
      </c>
      <c r="V150" s="135">
        <v>0</v>
      </c>
      <c r="W150" s="236"/>
      <c r="X150" s="236"/>
      <c r="Y150" s="136"/>
      <c r="Z150" s="137">
        <v>0</v>
      </c>
      <c r="AA150" s="135"/>
      <c r="AB150" s="134"/>
      <c r="AC150" s="138"/>
      <c r="AD150" s="159"/>
      <c r="AE150" s="242">
        <v>0</v>
      </c>
      <c r="AF150" s="165"/>
      <c r="AG150" s="166"/>
      <c r="AH150" s="166"/>
      <c r="AI150" s="166"/>
      <c r="AJ150" s="166"/>
      <c r="AK150" s="166"/>
      <c r="AL150" s="166"/>
      <c r="AM150" s="166"/>
      <c r="AN150" s="166"/>
      <c r="AO150" s="166"/>
      <c r="AP150" s="166"/>
      <c r="AQ150" s="166"/>
      <c r="AR150" s="166"/>
      <c r="AS150" s="166"/>
      <c r="AT150" s="166"/>
      <c r="AU150" s="166"/>
      <c r="AV150" s="166"/>
      <c r="AW150" s="166"/>
      <c r="AX150" s="166"/>
      <c r="AY150" s="166"/>
      <c r="AZ150" s="166"/>
      <c r="BA150" s="166"/>
      <c r="BB150" s="166"/>
      <c r="BC150" s="166"/>
      <c r="BD150" s="166"/>
      <c r="BE150" s="166"/>
      <c r="BF150" s="166"/>
      <c r="BG150" s="166"/>
      <c r="BH150" s="166"/>
      <c r="BI150" s="166"/>
      <c r="BJ150" s="166"/>
      <c r="BK150" s="166"/>
      <c r="BL150" s="166"/>
      <c r="BM150" s="166"/>
      <c r="BN150" s="166"/>
      <c r="BO150" s="166"/>
      <c r="BP150" s="166"/>
      <c r="BQ150" s="166"/>
      <c r="BR150" s="166"/>
      <c r="BS150" s="166"/>
      <c r="BT150" s="166"/>
      <c r="BU150" s="166"/>
      <c r="BV150" s="166"/>
      <c r="BW150" s="166"/>
      <c r="BX150" s="166"/>
      <c r="BY150" s="166"/>
      <c r="BZ150" s="166"/>
      <c r="CA150" s="166"/>
      <c r="CB150" s="166"/>
      <c r="CC150" s="166"/>
      <c r="CD150" s="166"/>
      <c r="CE150" s="166"/>
      <c r="CF150" s="166"/>
      <c r="CG150" s="166"/>
    </row>
    <row r="151" spans="1:85" ht="12" customHeight="1">
      <c r="A151" s="133"/>
      <c r="B151" s="133"/>
      <c r="C151" s="133">
        <v>4</v>
      </c>
      <c r="D151" s="160"/>
      <c r="E151" s="134"/>
      <c r="F151" s="134"/>
      <c r="G151" s="134"/>
      <c r="H151" s="134" t="s">
        <v>1698</v>
      </c>
      <c r="I151" s="134"/>
      <c r="J151" s="134"/>
      <c r="K151" s="134"/>
      <c r="L151" s="134"/>
      <c r="M151" s="134"/>
      <c r="N151" s="134"/>
      <c r="O151" s="134"/>
      <c r="P151" s="236">
        <v>45887</v>
      </c>
      <c r="Q151" s="236">
        <v>45898</v>
      </c>
      <c r="R151" s="134"/>
      <c r="S151" s="135">
        <v>10</v>
      </c>
      <c r="T151" s="135">
        <v>0</v>
      </c>
      <c r="U151" s="135">
        <v>10</v>
      </c>
      <c r="V151" s="135">
        <v>0</v>
      </c>
      <c r="W151" s="236"/>
      <c r="X151" s="236"/>
      <c r="Y151" s="136"/>
      <c r="Z151" s="137">
        <v>0</v>
      </c>
      <c r="AA151" s="135">
        <v>0.1</v>
      </c>
      <c r="AB151" s="134"/>
      <c r="AC151" s="138"/>
      <c r="AD151" s="159"/>
      <c r="AE151" s="241">
        <v>0</v>
      </c>
      <c r="AF151" s="165"/>
      <c r="AG151" s="166"/>
      <c r="AH151" s="166"/>
      <c r="AI151" s="166"/>
      <c r="AJ151" s="166"/>
      <c r="AK151" s="166"/>
      <c r="AL151" s="166"/>
      <c r="AM151" s="166"/>
      <c r="AN151" s="166"/>
      <c r="AO151" s="166"/>
      <c r="AP151" s="166"/>
      <c r="AQ151" s="166"/>
      <c r="AR151" s="166"/>
      <c r="AS151" s="166"/>
      <c r="AT151" s="166"/>
      <c r="AU151" s="166"/>
      <c r="AV151" s="166"/>
      <c r="AW151" s="166"/>
      <c r="AX151" s="166"/>
      <c r="AY151" s="166"/>
      <c r="AZ151" s="166"/>
      <c r="BA151" s="166"/>
      <c r="BB151" s="166"/>
      <c r="BC151" s="166"/>
      <c r="BD151" s="166"/>
      <c r="BE151" s="166"/>
      <c r="BF151" s="166"/>
      <c r="BG151" s="166"/>
      <c r="BH151" s="166"/>
      <c r="BI151" s="166"/>
      <c r="BJ151" s="166"/>
      <c r="BK151" s="166"/>
      <c r="BL151" s="166"/>
      <c r="BM151" s="166"/>
      <c r="BN151" s="166"/>
      <c r="BO151" s="166"/>
      <c r="BP151" s="166"/>
      <c r="BQ151" s="166"/>
      <c r="BR151" s="166"/>
      <c r="BS151" s="166"/>
      <c r="BT151" s="166"/>
      <c r="BU151" s="166"/>
      <c r="BV151" s="166"/>
      <c r="BW151" s="166"/>
      <c r="BX151" s="166"/>
      <c r="BY151" s="166"/>
      <c r="BZ151" s="166"/>
      <c r="CA151" s="166"/>
      <c r="CB151" s="166"/>
      <c r="CC151" s="166"/>
      <c r="CD151" s="166"/>
      <c r="CE151" s="166"/>
      <c r="CF151" s="166"/>
      <c r="CG151" s="166"/>
    </row>
    <row r="152" spans="1:85" ht="12" customHeight="1">
      <c r="A152" s="133"/>
      <c r="B152" s="133"/>
      <c r="C152" s="133">
        <v>4</v>
      </c>
      <c r="D152" s="160"/>
      <c r="E152" s="134"/>
      <c r="F152" s="134"/>
      <c r="G152" s="134"/>
      <c r="H152" s="134" t="s">
        <v>1699</v>
      </c>
      <c r="I152" s="134"/>
      <c r="J152" s="134"/>
      <c r="K152" s="134"/>
      <c r="L152" s="134"/>
      <c r="M152" s="134"/>
      <c r="N152" s="134"/>
      <c r="O152" s="134"/>
      <c r="P152" s="236">
        <v>45901</v>
      </c>
      <c r="Q152" s="236">
        <v>45905</v>
      </c>
      <c r="R152" s="134"/>
      <c r="S152" s="135">
        <v>5</v>
      </c>
      <c r="T152" s="135">
        <v>0</v>
      </c>
      <c r="U152" s="135">
        <v>5</v>
      </c>
      <c r="V152" s="135">
        <v>0</v>
      </c>
      <c r="W152" s="236"/>
      <c r="X152" s="236"/>
      <c r="Y152" s="136"/>
      <c r="Z152" s="137">
        <v>0</v>
      </c>
      <c r="AA152" s="135">
        <v>0.5</v>
      </c>
      <c r="AB152" s="134"/>
      <c r="AC152" s="138"/>
      <c r="AD152" s="159"/>
      <c r="AE152" s="241">
        <v>0</v>
      </c>
      <c r="AF152" s="165"/>
      <c r="AG152" s="166"/>
      <c r="AH152" s="166"/>
      <c r="AI152" s="166"/>
      <c r="AJ152" s="166"/>
      <c r="AK152" s="166"/>
      <c r="AL152" s="166"/>
      <c r="AM152" s="166"/>
      <c r="AN152" s="166"/>
      <c r="AO152" s="166"/>
      <c r="AP152" s="166"/>
      <c r="AQ152" s="166"/>
      <c r="AR152" s="166"/>
      <c r="AS152" s="166"/>
      <c r="AT152" s="166"/>
      <c r="AU152" s="166"/>
      <c r="AV152" s="166"/>
      <c r="AW152" s="166"/>
      <c r="AX152" s="166"/>
      <c r="AY152" s="166"/>
      <c r="AZ152" s="166"/>
      <c r="BA152" s="166"/>
      <c r="BB152" s="166"/>
      <c r="BC152" s="166"/>
      <c r="BD152" s="166"/>
      <c r="BE152" s="166"/>
      <c r="BF152" s="166"/>
      <c r="BG152" s="166"/>
      <c r="BH152" s="166"/>
      <c r="BI152" s="166"/>
      <c r="BJ152" s="166"/>
      <c r="BK152" s="166"/>
      <c r="BL152" s="166"/>
      <c r="BM152" s="166"/>
      <c r="BN152" s="166"/>
      <c r="BO152" s="166"/>
      <c r="BP152" s="166"/>
      <c r="BQ152" s="166"/>
      <c r="BR152" s="166"/>
      <c r="BS152" s="166"/>
      <c r="BT152" s="166"/>
      <c r="BU152" s="166"/>
      <c r="BV152" s="166"/>
      <c r="BW152" s="166"/>
      <c r="BX152" s="166"/>
      <c r="BY152" s="166"/>
      <c r="BZ152" s="166"/>
      <c r="CA152" s="166"/>
      <c r="CB152" s="166"/>
      <c r="CC152" s="166"/>
      <c r="CD152" s="166"/>
      <c r="CE152" s="166"/>
      <c r="CF152" s="166"/>
      <c r="CG152" s="166"/>
    </row>
    <row r="153" spans="1:85" ht="12" customHeight="1">
      <c r="A153" s="133"/>
      <c r="B153" s="133"/>
      <c r="C153" s="133">
        <v>4</v>
      </c>
      <c r="D153" s="160"/>
      <c r="E153" s="134"/>
      <c r="F153" s="134"/>
      <c r="G153" s="134"/>
      <c r="H153" s="134" t="s">
        <v>1700</v>
      </c>
      <c r="I153" s="134"/>
      <c r="J153" s="134"/>
      <c r="K153" s="134"/>
      <c r="L153" s="134"/>
      <c r="M153" s="134"/>
      <c r="N153" s="134"/>
      <c r="O153" s="134"/>
      <c r="P153" s="236">
        <v>45908</v>
      </c>
      <c r="Q153" s="236">
        <v>45912</v>
      </c>
      <c r="R153" s="134"/>
      <c r="S153" s="135">
        <v>5</v>
      </c>
      <c r="T153" s="135">
        <v>0</v>
      </c>
      <c r="U153" s="135">
        <v>5</v>
      </c>
      <c r="V153" s="135">
        <v>0</v>
      </c>
      <c r="W153" s="236"/>
      <c r="X153" s="236"/>
      <c r="Y153" s="136"/>
      <c r="Z153" s="137">
        <v>0</v>
      </c>
      <c r="AA153" s="135">
        <v>0.5</v>
      </c>
      <c r="AB153" s="134"/>
      <c r="AC153" s="138"/>
      <c r="AD153" s="159"/>
      <c r="AE153" s="241">
        <v>0</v>
      </c>
      <c r="AF153" s="165"/>
      <c r="AG153" s="166"/>
      <c r="AH153" s="166"/>
      <c r="AI153" s="166"/>
      <c r="AJ153" s="166"/>
      <c r="AK153" s="166"/>
      <c r="AL153" s="166"/>
      <c r="AM153" s="166"/>
      <c r="AN153" s="166"/>
      <c r="AO153" s="166"/>
      <c r="AP153" s="166"/>
      <c r="AQ153" s="166"/>
      <c r="AR153" s="166"/>
      <c r="AS153" s="166"/>
      <c r="AT153" s="166"/>
      <c r="AU153" s="166"/>
      <c r="AV153" s="166"/>
      <c r="AW153" s="166"/>
      <c r="AX153" s="166"/>
      <c r="AY153" s="166"/>
      <c r="AZ153" s="166"/>
      <c r="BA153" s="166"/>
      <c r="BB153" s="166"/>
      <c r="BC153" s="166"/>
      <c r="BD153" s="166"/>
      <c r="BE153" s="166"/>
      <c r="BF153" s="166"/>
      <c r="BG153" s="166"/>
      <c r="BH153" s="166"/>
      <c r="BI153" s="166"/>
      <c r="BJ153" s="166"/>
      <c r="BK153" s="166"/>
      <c r="BL153" s="166"/>
      <c r="BM153" s="166"/>
      <c r="BN153" s="166"/>
      <c r="BO153" s="166"/>
      <c r="BP153" s="166"/>
      <c r="BQ153" s="166"/>
      <c r="BR153" s="166"/>
      <c r="BS153" s="166"/>
      <c r="BT153" s="166"/>
      <c r="BU153" s="166"/>
      <c r="BV153" s="166"/>
      <c r="BW153" s="166"/>
      <c r="BX153" s="166"/>
      <c r="BY153" s="166"/>
      <c r="BZ153" s="166"/>
      <c r="CA153" s="166"/>
      <c r="CB153" s="166"/>
      <c r="CC153" s="166"/>
      <c r="CD153" s="166"/>
      <c r="CE153" s="166"/>
      <c r="CF153" s="166"/>
      <c r="CG153" s="166"/>
    </row>
    <row r="154" spans="1:85" ht="12" customHeight="1">
      <c r="A154" s="133"/>
      <c r="B154" s="133"/>
      <c r="C154" s="133">
        <v>3</v>
      </c>
      <c r="D154" s="160"/>
      <c r="E154" s="134"/>
      <c r="F154" s="134"/>
      <c r="G154" s="134" t="s">
        <v>1751</v>
      </c>
      <c r="H154" s="134"/>
      <c r="I154" s="134"/>
      <c r="J154" s="134"/>
      <c r="K154" s="134"/>
      <c r="L154" s="134"/>
      <c r="M154" s="134"/>
      <c r="N154" s="134"/>
      <c r="O154" s="134"/>
      <c r="P154" s="236">
        <v>45929</v>
      </c>
      <c r="Q154" s="236">
        <v>45947</v>
      </c>
      <c r="R154" s="134"/>
      <c r="S154" s="135">
        <v>15</v>
      </c>
      <c r="T154" s="135">
        <v>0</v>
      </c>
      <c r="U154" s="135">
        <v>15</v>
      </c>
      <c r="V154" s="135">
        <v>0</v>
      </c>
      <c r="W154" s="236"/>
      <c r="X154" s="236"/>
      <c r="Y154" s="136"/>
      <c r="Z154" s="137">
        <v>0</v>
      </c>
      <c r="AA154" s="135"/>
      <c r="AB154" s="134"/>
      <c r="AC154" s="138"/>
      <c r="AD154" s="159"/>
      <c r="AE154" s="242">
        <v>0</v>
      </c>
      <c r="AF154" s="165"/>
      <c r="AG154" s="166"/>
      <c r="AH154" s="166"/>
      <c r="AI154" s="166"/>
      <c r="AJ154" s="166"/>
      <c r="AK154" s="166"/>
      <c r="AL154" s="166"/>
      <c r="AM154" s="166"/>
      <c r="AN154" s="166"/>
      <c r="AO154" s="166"/>
      <c r="AP154" s="166"/>
      <c r="AQ154" s="166"/>
      <c r="AR154" s="166"/>
      <c r="AS154" s="166"/>
      <c r="AT154" s="166"/>
      <c r="AU154" s="166"/>
      <c r="AV154" s="166"/>
      <c r="AW154" s="166"/>
      <c r="AX154" s="166"/>
      <c r="AY154" s="166"/>
      <c r="AZ154" s="166"/>
      <c r="BA154" s="166"/>
      <c r="BB154" s="166"/>
      <c r="BC154" s="166"/>
      <c r="BD154" s="166"/>
      <c r="BE154" s="166"/>
      <c r="BF154" s="166"/>
      <c r="BG154" s="166"/>
      <c r="BH154" s="166"/>
      <c r="BI154" s="166"/>
      <c r="BJ154" s="166"/>
      <c r="BK154" s="166"/>
      <c r="BL154" s="166"/>
      <c r="BM154" s="166"/>
      <c r="BN154" s="166"/>
      <c r="BO154" s="166"/>
      <c r="BP154" s="166"/>
      <c r="BQ154" s="166"/>
      <c r="BR154" s="166"/>
      <c r="BS154" s="166"/>
      <c r="BT154" s="166"/>
      <c r="BU154" s="166"/>
      <c r="BV154" s="166"/>
      <c r="BW154" s="166"/>
      <c r="BX154" s="166"/>
      <c r="BY154" s="166"/>
      <c r="BZ154" s="166"/>
      <c r="CA154" s="166"/>
      <c r="CB154" s="166"/>
      <c r="CC154" s="166"/>
      <c r="CD154" s="166"/>
      <c r="CE154" s="166"/>
      <c r="CF154" s="166"/>
      <c r="CG154" s="166"/>
    </row>
    <row r="155" spans="1:85" ht="12" customHeight="1">
      <c r="A155" s="133"/>
      <c r="B155" s="133"/>
      <c r="C155" s="133">
        <v>4</v>
      </c>
      <c r="D155" s="160"/>
      <c r="E155" s="134"/>
      <c r="F155" s="134"/>
      <c r="G155" s="134"/>
      <c r="H155" s="134" t="s">
        <v>1699</v>
      </c>
      <c r="I155" s="134"/>
      <c r="J155" s="134"/>
      <c r="K155" s="134"/>
      <c r="L155" s="134"/>
      <c r="M155" s="134"/>
      <c r="N155" s="134"/>
      <c r="O155" s="134"/>
      <c r="P155" s="236">
        <v>45929</v>
      </c>
      <c r="Q155" s="236">
        <v>45932</v>
      </c>
      <c r="R155" s="134"/>
      <c r="S155" s="135">
        <v>4</v>
      </c>
      <c r="T155" s="135">
        <v>0</v>
      </c>
      <c r="U155" s="135">
        <v>4</v>
      </c>
      <c r="V155" s="135">
        <v>0</v>
      </c>
      <c r="W155" s="236"/>
      <c r="X155" s="236"/>
      <c r="Y155" s="136"/>
      <c r="Z155" s="137">
        <v>0</v>
      </c>
      <c r="AA155" s="135">
        <v>0.5</v>
      </c>
      <c r="AB155" s="134"/>
      <c r="AC155" s="138"/>
      <c r="AD155" s="159"/>
      <c r="AE155" s="241">
        <v>0</v>
      </c>
      <c r="AF155" s="165"/>
      <c r="AG155" s="166"/>
      <c r="AH155" s="166"/>
      <c r="AI155" s="166"/>
      <c r="AJ155" s="166"/>
      <c r="AK155" s="166"/>
      <c r="AL155" s="166"/>
      <c r="AM155" s="166"/>
      <c r="AN155" s="166"/>
      <c r="AO155" s="166"/>
      <c r="AP155" s="166"/>
      <c r="AQ155" s="166"/>
      <c r="AR155" s="166"/>
      <c r="AS155" s="166"/>
      <c r="AT155" s="166"/>
      <c r="AU155" s="166"/>
      <c r="AV155" s="166"/>
      <c r="AW155" s="166"/>
      <c r="AX155" s="166"/>
      <c r="AY155" s="166"/>
      <c r="AZ155" s="166"/>
      <c r="BA155" s="166"/>
      <c r="BB155" s="166"/>
      <c r="BC155" s="166"/>
      <c r="BD155" s="166"/>
      <c r="BE155" s="166"/>
      <c r="BF155" s="166"/>
      <c r="BG155" s="166"/>
      <c r="BH155" s="166"/>
      <c r="BI155" s="166"/>
      <c r="BJ155" s="166"/>
      <c r="BK155" s="166"/>
      <c r="BL155" s="166"/>
      <c r="BM155" s="166"/>
      <c r="BN155" s="166"/>
      <c r="BO155" s="166"/>
      <c r="BP155" s="166"/>
      <c r="BQ155" s="166"/>
      <c r="BR155" s="166"/>
      <c r="BS155" s="166"/>
      <c r="BT155" s="166"/>
      <c r="BU155" s="166"/>
      <c r="BV155" s="166"/>
      <c r="BW155" s="166"/>
      <c r="BX155" s="166"/>
      <c r="BY155" s="166"/>
      <c r="BZ155" s="166"/>
      <c r="CA155" s="166"/>
      <c r="CB155" s="166"/>
      <c r="CC155" s="166"/>
      <c r="CD155" s="166"/>
      <c r="CE155" s="166"/>
      <c r="CF155" s="166"/>
      <c r="CG155" s="166"/>
    </row>
    <row r="156" spans="1:85" ht="12" customHeight="1">
      <c r="A156" s="133"/>
      <c r="B156" s="133"/>
      <c r="C156" s="133">
        <v>4</v>
      </c>
      <c r="D156" s="160"/>
      <c r="E156" s="134"/>
      <c r="F156" s="134"/>
      <c r="G156" s="134"/>
      <c r="H156" s="134" t="s">
        <v>1700</v>
      </c>
      <c r="I156" s="134"/>
      <c r="J156" s="134"/>
      <c r="K156" s="134"/>
      <c r="L156" s="134"/>
      <c r="M156" s="134"/>
      <c r="N156" s="134"/>
      <c r="O156" s="134"/>
      <c r="P156" s="236">
        <v>45943</v>
      </c>
      <c r="Q156" s="236">
        <v>45947</v>
      </c>
      <c r="R156" s="134"/>
      <c r="S156" s="135">
        <v>5</v>
      </c>
      <c r="T156" s="135">
        <v>0</v>
      </c>
      <c r="U156" s="135">
        <v>5</v>
      </c>
      <c r="V156" s="135">
        <v>0</v>
      </c>
      <c r="W156" s="236"/>
      <c r="X156" s="236"/>
      <c r="Y156" s="136"/>
      <c r="Z156" s="137">
        <v>0</v>
      </c>
      <c r="AA156" s="135">
        <v>0.5</v>
      </c>
      <c r="AB156" s="134"/>
      <c r="AC156" s="138"/>
      <c r="AD156" s="159"/>
      <c r="AE156" s="241">
        <v>0</v>
      </c>
      <c r="AF156" s="165"/>
      <c r="AG156" s="166"/>
      <c r="AH156" s="166"/>
      <c r="AI156" s="166"/>
      <c r="AJ156" s="166"/>
      <c r="AK156" s="166"/>
      <c r="AL156" s="166"/>
      <c r="AM156" s="166"/>
      <c r="AN156" s="166"/>
      <c r="AO156" s="166"/>
      <c r="AP156" s="166"/>
      <c r="AQ156" s="166"/>
      <c r="AR156" s="166"/>
      <c r="AS156" s="166"/>
      <c r="AT156" s="166"/>
      <c r="AU156" s="166"/>
      <c r="AV156" s="166"/>
      <c r="AW156" s="166"/>
      <c r="AX156" s="166"/>
      <c r="AY156" s="166"/>
      <c r="AZ156" s="166"/>
      <c r="BA156" s="166"/>
      <c r="BB156" s="166"/>
      <c r="BC156" s="166"/>
      <c r="BD156" s="166"/>
      <c r="BE156" s="166"/>
      <c r="BF156" s="166"/>
      <c r="BG156" s="166"/>
      <c r="BH156" s="166"/>
      <c r="BI156" s="166"/>
      <c r="BJ156" s="166"/>
      <c r="BK156" s="166"/>
      <c r="BL156" s="166"/>
      <c r="BM156" s="166"/>
      <c r="BN156" s="166"/>
      <c r="BO156" s="166"/>
      <c r="BP156" s="166"/>
      <c r="BQ156" s="166"/>
      <c r="BR156" s="166"/>
      <c r="BS156" s="166"/>
      <c r="BT156" s="166"/>
      <c r="BU156" s="166"/>
      <c r="BV156" s="166"/>
      <c r="BW156" s="166"/>
      <c r="BX156" s="166"/>
      <c r="BY156" s="166"/>
      <c r="BZ156" s="166"/>
      <c r="CA156" s="166"/>
      <c r="CB156" s="166"/>
      <c r="CC156" s="166"/>
      <c r="CD156" s="166"/>
      <c r="CE156" s="166"/>
      <c r="CF156" s="166"/>
      <c r="CG156" s="166"/>
    </row>
    <row r="157" spans="1:85" ht="12" customHeight="1">
      <c r="A157" s="133"/>
      <c r="B157" s="133"/>
      <c r="C157" s="133">
        <v>2</v>
      </c>
      <c r="D157" s="160"/>
      <c r="E157" s="134"/>
      <c r="F157" s="134" t="s">
        <v>1702</v>
      </c>
      <c r="G157" s="134"/>
      <c r="H157" s="134"/>
      <c r="I157" s="134"/>
      <c r="J157" s="134"/>
      <c r="K157" s="134"/>
      <c r="L157" s="134"/>
      <c r="M157" s="134"/>
      <c r="N157" s="134"/>
      <c r="O157" s="134"/>
      <c r="P157" s="236">
        <v>45870</v>
      </c>
      <c r="Q157" s="236">
        <v>45926</v>
      </c>
      <c r="R157" s="134"/>
      <c r="S157" s="135">
        <v>41</v>
      </c>
      <c r="T157" s="135">
        <v>0</v>
      </c>
      <c r="U157" s="135">
        <v>41</v>
      </c>
      <c r="V157" s="135">
        <v>0</v>
      </c>
      <c r="W157" s="236"/>
      <c r="X157" s="236"/>
      <c r="Y157" s="136"/>
      <c r="Z157" s="137">
        <v>0</v>
      </c>
      <c r="AA157" s="135"/>
      <c r="AB157" s="134"/>
      <c r="AC157" s="138"/>
      <c r="AD157" s="159"/>
      <c r="AE157" s="242">
        <v>0</v>
      </c>
      <c r="AF157" s="165"/>
      <c r="AG157" s="166"/>
      <c r="AH157" s="166"/>
      <c r="AI157" s="166"/>
      <c r="AJ157" s="166"/>
      <c r="AK157" s="166"/>
      <c r="AL157" s="166"/>
      <c r="AM157" s="166"/>
      <c r="AN157" s="166"/>
      <c r="AO157" s="166"/>
      <c r="AP157" s="166"/>
      <c r="AQ157" s="166"/>
      <c r="AR157" s="166"/>
      <c r="AS157" s="166"/>
      <c r="AT157" s="166"/>
      <c r="AU157" s="166"/>
      <c r="AV157" s="166"/>
      <c r="AW157" s="166"/>
      <c r="AX157" s="166"/>
      <c r="AY157" s="166"/>
      <c r="AZ157" s="166"/>
      <c r="BA157" s="166"/>
      <c r="BB157" s="166"/>
      <c r="BC157" s="166"/>
      <c r="BD157" s="166"/>
      <c r="BE157" s="166"/>
      <c r="BF157" s="166"/>
      <c r="BG157" s="166"/>
      <c r="BH157" s="166"/>
      <c r="BI157" s="166"/>
      <c r="BJ157" s="166"/>
      <c r="BK157" s="166"/>
      <c r="BL157" s="166"/>
      <c r="BM157" s="166"/>
      <c r="BN157" s="166"/>
      <c r="BO157" s="166"/>
      <c r="BP157" s="166"/>
      <c r="BQ157" s="166"/>
      <c r="BR157" s="166"/>
      <c r="BS157" s="166"/>
      <c r="BT157" s="166"/>
      <c r="BU157" s="166"/>
      <c r="BV157" s="166"/>
      <c r="BW157" s="166"/>
      <c r="BX157" s="166"/>
      <c r="BY157" s="166"/>
      <c r="BZ157" s="166"/>
      <c r="CA157" s="166"/>
      <c r="CB157" s="166"/>
      <c r="CC157" s="166"/>
      <c r="CD157" s="166"/>
      <c r="CE157" s="166"/>
      <c r="CF157" s="166"/>
      <c r="CG157" s="166"/>
    </row>
    <row r="158" spans="1:85" ht="12" customHeight="1">
      <c r="A158" s="133"/>
      <c r="B158" s="133"/>
      <c r="C158" s="133">
        <v>3</v>
      </c>
      <c r="D158" s="160"/>
      <c r="E158" s="134"/>
      <c r="F158" s="134"/>
      <c r="G158" s="134" t="s">
        <v>1703</v>
      </c>
      <c r="H158" s="134"/>
      <c r="I158" s="134"/>
      <c r="J158" s="134"/>
      <c r="K158" s="134"/>
      <c r="L158" s="134"/>
      <c r="M158" s="134"/>
      <c r="N158" s="134"/>
      <c r="O158" s="134"/>
      <c r="P158" s="236">
        <v>45870</v>
      </c>
      <c r="Q158" s="236">
        <v>45891</v>
      </c>
      <c r="R158" s="134"/>
      <c r="S158" s="135">
        <v>16</v>
      </c>
      <c r="T158" s="135">
        <v>0</v>
      </c>
      <c r="U158" s="135">
        <v>16</v>
      </c>
      <c r="V158" s="135">
        <v>0</v>
      </c>
      <c r="W158" s="236"/>
      <c r="X158" s="236"/>
      <c r="Y158" s="136"/>
      <c r="Z158" s="137">
        <v>0</v>
      </c>
      <c r="AA158" s="135">
        <v>0.1</v>
      </c>
      <c r="AB158" s="134"/>
      <c r="AC158" s="138"/>
      <c r="AD158" s="159"/>
      <c r="AE158" s="241">
        <v>0</v>
      </c>
      <c r="AF158" s="165"/>
      <c r="AG158" s="166"/>
      <c r="AH158" s="166"/>
      <c r="AI158" s="166"/>
      <c r="AJ158" s="166"/>
      <c r="AK158" s="166"/>
      <c r="AL158" s="166"/>
      <c r="AM158" s="166"/>
      <c r="AN158" s="166"/>
      <c r="AO158" s="166"/>
      <c r="AP158" s="166"/>
      <c r="AQ158" s="166"/>
      <c r="AR158" s="166"/>
      <c r="AS158" s="166"/>
      <c r="AT158" s="166"/>
      <c r="AU158" s="166"/>
      <c r="AV158" s="166"/>
      <c r="AW158" s="166"/>
      <c r="AX158" s="166"/>
      <c r="AY158" s="166"/>
      <c r="AZ158" s="166"/>
      <c r="BA158" s="166"/>
      <c r="BB158" s="166"/>
      <c r="BC158" s="166"/>
      <c r="BD158" s="166"/>
      <c r="BE158" s="166"/>
      <c r="BF158" s="166"/>
      <c r="BG158" s="166"/>
      <c r="BH158" s="166"/>
      <c r="BI158" s="166"/>
      <c r="BJ158" s="166"/>
      <c r="BK158" s="166"/>
      <c r="BL158" s="166"/>
      <c r="BM158" s="166"/>
      <c r="BN158" s="166"/>
      <c r="BO158" s="166"/>
      <c r="BP158" s="166"/>
      <c r="BQ158" s="166"/>
      <c r="BR158" s="166"/>
      <c r="BS158" s="166"/>
      <c r="BT158" s="166"/>
      <c r="BU158" s="166"/>
      <c r="BV158" s="166"/>
      <c r="BW158" s="166"/>
      <c r="BX158" s="166"/>
      <c r="BY158" s="166"/>
      <c r="BZ158" s="166"/>
      <c r="CA158" s="166"/>
      <c r="CB158" s="166"/>
      <c r="CC158" s="166"/>
      <c r="CD158" s="166"/>
      <c r="CE158" s="166"/>
      <c r="CF158" s="166"/>
      <c r="CG158" s="166"/>
    </row>
    <row r="159" spans="1:85" ht="12" customHeight="1">
      <c r="A159" s="133"/>
      <c r="B159" s="133"/>
      <c r="C159" s="133">
        <v>3</v>
      </c>
      <c r="D159" s="160"/>
      <c r="E159" s="134"/>
      <c r="F159" s="134"/>
      <c r="G159" s="134" t="s">
        <v>1684</v>
      </c>
      <c r="H159" s="134"/>
      <c r="I159" s="134"/>
      <c r="J159" s="134"/>
      <c r="K159" s="134"/>
      <c r="L159" s="134"/>
      <c r="M159" s="134"/>
      <c r="N159" s="134"/>
      <c r="O159" s="134"/>
      <c r="P159" s="236">
        <v>45915</v>
      </c>
      <c r="Q159" s="236">
        <v>45919</v>
      </c>
      <c r="R159" s="134"/>
      <c r="S159" s="135">
        <v>5</v>
      </c>
      <c r="T159" s="135">
        <v>0</v>
      </c>
      <c r="U159" s="135">
        <v>5</v>
      </c>
      <c r="V159" s="135">
        <v>0</v>
      </c>
      <c r="W159" s="236"/>
      <c r="X159" s="236"/>
      <c r="Y159" s="136"/>
      <c r="Z159" s="137">
        <v>0</v>
      </c>
      <c r="AA159" s="135">
        <v>0.5</v>
      </c>
      <c r="AB159" s="134"/>
      <c r="AC159" s="138"/>
      <c r="AD159" s="159"/>
      <c r="AE159" s="241">
        <v>0</v>
      </c>
      <c r="AF159" s="165"/>
      <c r="AG159" s="166"/>
      <c r="AH159" s="166"/>
      <c r="AI159" s="166"/>
      <c r="AJ159" s="166"/>
      <c r="AK159" s="166"/>
      <c r="AL159" s="166"/>
      <c r="AM159" s="166"/>
      <c r="AN159" s="166"/>
      <c r="AO159" s="166"/>
      <c r="AP159" s="166"/>
      <c r="AQ159" s="166"/>
      <c r="AR159" s="166"/>
      <c r="AS159" s="166"/>
      <c r="AT159" s="166"/>
      <c r="AU159" s="166"/>
      <c r="AV159" s="166"/>
      <c r="AW159" s="166"/>
      <c r="AX159" s="166"/>
      <c r="AY159" s="166"/>
      <c r="AZ159" s="166"/>
      <c r="BA159" s="166"/>
      <c r="BB159" s="166"/>
      <c r="BC159" s="166"/>
      <c r="BD159" s="166"/>
      <c r="BE159" s="166"/>
      <c r="BF159" s="166"/>
      <c r="BG159" s="166"/>
      <c r="BH159" s="166"/>
      <c r="BI159" s="166"/>
      <c r="BJ159" s="166"/>
      <c r="BK159" s="166"/>
      <c r="BL159" s="166"/>
      <c r="BM159" s="166"/>
      <c r="BN159" s="166"/>
      <c r="BO159" s="166"/>
      <c r="BP159" s="166"/>
      <c r="BQ159" s="166"/>
      <c r="BR159" s="166"/>
      <c r="BS159" s="166"/>
      <c r="BT159" s="166"/>
      <c r="BU159" s="166"/>
      <c r="BV159" s="166"/>
      <c r="BW159" s="166"/>
      <c r="BX159" s="166"/>
      <c r="BY159" s="166"/>
      <c r="BZ159" s="166"/>
      <c r="CA159" s="166"/>
      <c r="CB159" s="166"/>
      <c r="CC159" s="166"/>
      <c r="CD159" s="166"/>
      <c r="CE159" s="166"/>
      <c r="CF159" s="166"/>
      <c r="CG159" s="166"/>
    </row>
    <row r="160" spans="1:85" ht="12" customHeight="1">
      <c r="A160" s="133"/>
      <c r="B160" s="133"/>
      <c r="C160" s="133">
        <v>3</v>
      </c>
      <c r="D160" s="160"/>
      <c r="E160" s="134"/>
      <c r="F160" s="134"/>
      <c r="G160" s="134" t="s">
        <v>1685</v>
      </c>
      <c r="H160" s="134"/>
      <c r="I160" s="134"/>
      <c r="J160" s="134"/>
      <c r="K160" s="134"/>
      <c r="L160" s="134"/>
      <c r="M160" s="134"/>
      <c r="N160" s="134"/>
      <c r="O160" s="134"/>
      <c r="P160" s="236">
        <v>45922</v>
      </c>
      <c r="Q160" s="236">
        <v>45926</v>
      </c>
      <c r="R160" s="134"/>
      <c r="S160" s="135">
        <v>5</v>
      </c>
      <c r="T160" s="135">
        <v>0</v>
      </c>
      <c r="U160" s="135">
        <v>5</v>
      </c>
      <c r="V160" s="135">
        <v>0</v>
      </c>
      <c r="W160" s="236"/>
      <c r="X160" s="236"/>
      <c r="Y160" s="136"/>
      <c r="Z160" s="137">
        <v>0</v>
      </c>
      <c r="AA160" s="135">
        <v>0.5</v>
      </c>
      <c r="AB160" s="134"/>
      <c r="AC160" s="138"/>
      <c r="AD160" s="159"/>
      <c r="AE160" s="241">
        <v>0</v>
      </c>
      <c r="AF160" s="165"/>
      <c r="AG160" s="166"/>
      <c r="AH160" s="166"/>
      <c r="AI160" s="166"/>
      <c r="AJ160" s="166"/>
      <c r="AK160" s="166"/>
      <c r="AL160" s="166"/>
      <c r="AM160" s="166"/>
      <c r="AN160" s="166"/>
      <c r="AO160" s="166"/>
      <c r="AP160" s="166"/>
      <c r="AQ160" s="166"/>
      <c r="AR160" s="166"/>
      <c r="AS160" s="166"/>
      <c r="AT160" s="166"/>
      <c r="AU160" s="166"/>
      <c r="AV160" s="166"/>
      <c r="AW160" s="166"/>
      <c r="AX160" s="166"/>
      <c r="AY160" s="166"/>
      <c r="AZ160" s="166"/>
      <c r="BA160" s="166"/>
      <c r="BB160" s="166"/>
      <c r="BC160" s="166"/>
      <c r="BD160" s="166"/>
      <c r="BE160" s="166"/>
      <c r="BF160" s="166"/>
      <c r="BG160" s="166"/>
      <c r="BH160" s="166"/>
      <c r="BI160" s="166"/>
      <c r="BJ160" s="166"/>
      <c r="BK160" s="166"/>
      <c r="BL160" s="166"/>
      <c r="BM160" s="166"/>
      <c r="BN160" s="166"/>
      <c r="BO160" s="166"/>
      <c r="BP160" s="166"/>
      <c r="BQ160" s="166"/>
      <c r="BR160" s="166"/>
      <c r="BS160" s="166"/>
      <c r="BT160" s="166"/>
      <c r="BU160" s="166"/>
      <c r="BV160" s="166"/>
      <c r="BW160" s="166"/>
      <c r="BX160" s="166"/>
      <c r="BY160" s="166"/>
      <c r="BZ160" s="166"/>
      <c r="CA160" s="166"/>
      <c r="CB160" s="166"/>
      <c r="CC160" s="166"/>
      <c r="CD160" s="166"/>
      <c r="CE160" s="166"/>
      <c r="CF160" s="166"/>
      <c r="CG160" s="166"/>
    </row>
    <row r="161" spans="1:85" ht="12" customHeight="1">
      <c r="A161" s="133"/>
      <c r="B161" s="133"/>
      <c r="C161" s="133">
        <v>2</v>
      </c>
      <c r="D161" s="160"/>
      <c r="E161" s="134"/>
      <c r="F161" s="134" t="s">
        <v>1692</v>
      </c>
      <c r="G161" s="134"/>
      <c r="H161" s="134"/>
      <c r="I161" s="134"/>
      <c r="J161" s="134"/>
      <c r="K161" s="134"/>
      <c r="L161" s="134"/>
      <c r="M161" s="134"/>
      <c r="N161" s="134"/>
      <c r="O161" s="134"/>
      <c r="P161" s="236">
        <v>45870</v>
      </c>
      <c r="Q161" s="236">
        <v>46020</v>
      </c>
      <c r="R161" s="134"/>
      <c r="S161" s="135">
        <v>107</v>
      </c>
      <c r="T161" s="135">
        <v>0</v>
      </c>
      <c r="U161" s="135">
        <v>107</v>
      </c>
      <c r="V161" s="135">
        <v>0</v>
      </c>
      <c r="W161" s="236"/>
      <c r="X161" s="236"/>
      <c r="Y161" s="136"/>
      <c r="Z161" s="137">
        <v>0</v>
      </c>
      <c r="AA161" s="135"/>
      <c r="AB161" s="134"/>
      <c r="AC161" s="138"/>
      <c r="AD161" s="159"/>
      <c r="AE161" s="242">
        <v>0</v>
      </c>
      <c r="AF161" s="165"/>
      <c r="AG161" s="166"/>
      <c r="AH161" s="166"/>
      <c r="AI161" s="166"/>
      <c r="AJ161" s="166"/>
      <c r="AK161" s="166"/>
      <c r="AL161" s="166"/>
      <c r="AM161" s="166"/>
      <c r="AN161" s="166"/>
      <c r="AO161" s="166"/>
      <c r="AP161" s="166"/>
      <c r="AQ161" s="166"/>
      <c r="AR161" s="166"/>
      <c r="AS161" s="166"/>
      <c r="AT161" s="166"/>
      <c r="AU161" s="166"/>
      <c r="AV161" s="166"/>
      <c r="AW161" s="166"/>
      <c r="AX161" s="166"/>
      <c r="AY161" s="166"/>
      <c r="AZ161" s="166"/>
      <c r="BA161" s="166"/>
      <c r="BB161" s="166"/>
      <c r="BC161" s="166"/>
      <c r="BD161" s="166"/>
      <c r="BE161" s="166"/>
      <c r="BF161" s="166"/>
      <c r="BG161" s="166"/>
      <c r="BH161" s="166"/>
      <c r="BI161" s="166"/>
      <c r="BJ161" s="166"/>
      <c r="BK161" s="166"/>
      <c r="BL161" s="166"/>
      <c r="BM161" s="166"/>
      <c r="BN161" s="166"/>
      <c r="BO161" s="166"/>
      <c r="BP161" s="166"/>
      <c r="BQ161" s="166"/>
      <c r="BR161" s="166"/>
      <c r="BS161" s="166"/>
      <c r="BT161" s="166"/>
      <c r="BU161" s="166"/>
      <c r="BV161" s="166"/>
      <c r="BW161" s="166"/>
      <c r="BX161" s="166"/>
      <c r="BY161" s="166"/>
      <c r="BZ161" s="166"/>
      <c r="CA161" s="166"/>
      <c r="CB161" s="166"/>
      <c r="CC161" s="166"/>
      <c r="CD161" s="166"/>
      <c r="CE161" s="166"/>
      <c r="CF161" s="166"/>
      <c r="CG161" s="166"/>
    </row>
    <row r="162" spans="1:85" ht="12" customHeight="1">
      <c r="A162" s="133"/>
      <c r="B162" s="133"/>
      <c r="C162" s="133">
        <v>3</v>
      </c>
      <c r="D162" s="160"/>
      <c r="E162" s="134"/>
      <c r="F162" s="134"/>
      <c r="G162" s="134" t="s">
        <v>1693</v>
      </c>
      <c r="H162" s="134"/>
      <c r="I162" s="134"/>
      <c r="J162" s="134"/>
      <c r="K162" s="134"/>
      <c r="L162" s="134"/>
      <c r="M162" s="134"/>
      <c r="N162" s="134"/>
      <c r="O162" s="134"/>
      <c r="P162" s="236">
        <v>45870</v>
      </c>
      <c r="Q162" s="236">
        <v>46010</v>
      </c>
      <c r="R162" s="134"/>
      <c r="S162" s="135">
        <v>101</v>
      </c>
      <c r="T162" s="135">
        <v>0</v>
      </c>
      <c r="U162" s="135">
        <v>101</v>
      </c>
      <c r="V162" s="135">
        <v>0</v>
      </c>
      <c r="W162" s="236"/>
      <c r="X162" s="236"/>
      <c r="Y162" s="136"/>
      <c r="Z162" s="137">
        <v>0</v>
      </c>
      <c r="AA162" s="135">
        <v>0.1</v>
      </c>
      <c r="AB162" s="134"/>
      <c r="AC162" s="138"/>
      <c r="AD162" s="159"/>
      <c r="AE162" s="241">
        <v>0</v>
      </c>
      <c r="AF162" s="165"/>
      <c r="AG162" s="166"/>
      <c r="AH162" s="166"/>
      <c r="AI162" s="166"/>
      <c r="AJ162" s="166"/>
      <c r="AK162" s="166"/>
      <c r="AL162" s="166"/>
      <c r="AM162" s="166"/>
      <c r="AN162" s="166"/>
      <c r="AO162" s="166"/>
      <c r="AP162" s="166"/>
      <c r="AQ162" s="166"/>
      <c r="AR162" s="166"/>
      <c r="AS162" s="166"/>
      <c r="AT162" s="166"/>
      <c r="AU162" s="166"/>
      <c r="AV162" s="166"/>
      <c r="AW162" s="166"/>
      <c r="AX162" s="166"/>
      <c r="AY162" s="166"/>
      <c r="AZ162" s="166"/>
      <c r="BA162" s="166"/>
      <c r="BB162" s="166"/>
      <c r="BC162" s="166"/>
      <c r="BD162" s="166"/>
      <c r="BE162" s="166"/>
      <c r="BF162" s="166"/>
      <c r="BG162" s="166"/>
      <c r="BH162" s="166"/>
      <c r="BI162" s="166"/>
      <c r="BJ162" s="166"/>
      <c r="BK162" s="166"/>
      <c r="BL162" s="166"/>
      <c r="BM162" s="166"/>
      <c r="BN162" s="166"/>
      <c r="BO162" s="166"/>
      <c r="BP162" s="166"/>
      <c r="BQ162" s="166"/>
      <c r="BR162" s="166"/>
      <c r="BS162" s="166"/>
      <c r="BT162" s="166"/>
      <c r="BU162" s="166"/>
      <c r="BV162" s="166"/>
      <c r="BW162" s="166"/>
      <c r="BX162" s="166"/>
      <c r="BY162" s="166"/>
      <c r="BZ162" s="166"/>
      <c r="CA162" s="166"/>
      <c r="CB162" s="166"/>
      <c r="CC162" s="166"/>
      <c r="CD162" s="166"/>
      <c r="CE162" s="166"/>
      <c r="CF162" s="166"/>
      <c r="CG162" s="166"/>
    </row>
    <row r="163" spans="1:85" ht="12" customHeight="1">
      <c r="A163" s="133"/>
      <c r="B163" s="133"/>
      <c r="C163" s="133">
        <v>3</v>
      </c>
      <c r="D163" s="160"/>
      <c r="E163" s="134"/>
      <c r="F163" s="134"/>
      <c r="G163" s="134" t="s">
        <v>1694</v>
      </c>
      <c r="H163" s="134"/>
      <c r="I163" s="134"/>
      <c r="J163" s="134"/>
      <c r="K163" s="134"/>
      <c r="L163" s="134"/>
      <c r="M163" s="134"/>
      <c r="N163" s="134"/>
      <c r="O163" s="134"/>
      <c r="P163" s="236">
        <v>45870</v>
      </c>
      <c r="Q163" s="236">
        <v>45883</v>
      </c>
      <c r="R163" s="134"/>
      <c r="S163" s="135">
        <v>10</v>
      </c>
      <c r="T163" s="135">
        <v>0</v>
      </c>
      <c r="U163" s="135">
        <v>10</v>
      </c>
      <c r="V163" s="135">
        <v>0</v>
      </c>
      <c r="W163" s="236"/>
      <c r="X163" s="236"/>
      <c r="Y163" s="136"/>
      <c r="Z163" s="137">
        <v>0</v>
      </c>
      <c r="AA163" s="135">
        <v>0.3</v>
      </c>
      <c r="AB163" s="134"/>
      <c r="AC163" s="138"/>
      <c r="AD163" s="159"/>
      <c r="AE163" s="241">
        <v>0</v>
      </c>
      <c r="AF163" s="165"/>
      <c r="AG163" s="166"/>
      <c r="AH163" s="166"/>
      <c r="AI163" s="166"/>
      <c r="AJ163" s="166"/>
      <c r="AK163" s="166"/>
      <c r="AL163" s="166"/>
      <c r="AM163" s="166"/>
      <c r="AN163" s="166"/>
      <c r="AO163" s="166"/>
      <c r="AP163" s="166"/>
      <c r="AQ163" s="166"/>
      <c r="AR163" s="166"/>
      <c r="AS163" s="166"/>
      <c r="AT163" s="166"/>
      <c r="AU163" s="166"/>
      <c r="AV163" s="166"/>
      <c r="AW163" s="166"/>
      <c r="AX163" s="166"/>
      <c r="AY163" s="166"/>
      <c r="AZ163" s="166"/>
      <c r="BA163" s="166"/>
      <c r="BB163" s="166"/>
      <c r="BC163" s="166"/>
      <c r="BD163" s="166"/>
      <c r="BE163" s="166"/>
      <c r="BF163" s="166"/>
      <c r="BG163" s="166"/>
      <c r="BH163" s="166"/>
      <c r="BI163" s="166"/>
      <c r="BJ163" s="166"/>
      <c r="BK163" s="166"/>
      <c r="BL163" s="166"/>
      <c r="BM163" s="166"/>
      <c r="BN163" s="166"/>
      <c r="BO163" s="166"/>
      <c r="BP163" s="166"/>
      <c r="BQ163" s="166"/>
      <c r="BR163" s="166"/>
      <c r="BS163" s="166"/>
      <c r="BT163" s="166"/>
      <c r="BU163" s="166"/>
      <c r="BV163" s="166"/>
      <c r="BW163" s="166"/>
      <c r="BX163" s="166"/>
      <c r="BY163" s="166"/>
      <c r="BZ163" s="166"/>
      <c r="CA163" s="166"/>
      <c r="CB163" s="166"/>
      <c r="CC163" s="166"/>
      <c r="CD163" s="166"/>
      <c r="CE163" s="166"/>
      <c r="CF163" s="166"/>
      <c r="CG163" s="166"/>
    </row>
    <row r="164" spans="1:85" ht="12" customHeight="1">
      <c r="A164" s="133"/>
      <c r="B164" s="133"/>
      <c r="C164" s="133">
        <v>3</v>
      </c>
      <c r="D164" s="160"/>
      <c r="E164" s="134"/>
      <c r="F164" s="134"/>
      <c r="G164" s="134" t="s">
        <v>1695</v>
      </c>
      <c r="H164" s="134"/>
      <c r="I164" s="134"/>
      <c r="J164" s="134"/>
      <c r="K164" s="134"/>
      <c r="L164" s="134"/>
      <c r="M164" s="134"/>
      <c r="N164" s="134"/>
      <c r="O164" s="134"/>
      <c r="P164" s="236">
        <v>45887</v>
      </c>
      <c r="Q164" s="236">
        <v>45898</v>
      </c>
      <c r="R164" s="134"/>
      <c r="S164" s="135">
        <v>10</v>
      </c>
      <c r="T164" s="135">
        <v>0</v>
      </c>
      <c r="U164" s="135">
        <v>10</v>
      </c>
      <c r="V164" s="135">
        <v>0</v>
      </c>
      <c r="W164" s="236"/>
      <c r="X164" s="236"/>
      <c r="Y164" s="136"/>
      <c r="Z164" s="137">
        <v>0</v>
      </c>
      <c r="AA164" s="135">
        <v>0.5</v>
      </c>
      <c r="AB164" s="134"/>
      <c r="AC164" s="138"/>
      <c r="AD164" s="159"/>
      <c r="AE164" s="241">
        <v>0</v>
      </c>
      <c r="AF164" s="165"/>
      <c r="AG164" s="166"/>
      <c r="AH164" s="166"/>
      <c r="AI164" s="166"/>
      <c r="AJ164" s="166"/>
      <c r="AK164" s="166"/>
      <c r="AL164" s="166"/>
      <c r="AM164" s="166"/>
      <c r="AN164" s="166"/>
      <c r="AO164" s="166"/>
      <c r="AP164" s="166"/>
      <c r="AQ164" s="166"/>
      <c r="AR164" s="166"/>
      <c r="AS164" s="166"/>
      <c r="AT164" s="166"/>
      <c r="AU164" s="166"/>
      <c r="AV164" s="166"/>
      <c r="AW164" s="166"/>
      <c r="AX164" s="166"/>
      <c r="AY164" s="166"/>
      <c r="AZ164" s="166"/>
      <c r="BA164" s="166"/>
      <c r="BB164" s="166"/>
      <c r="BC164" s="166"/>
      <c r="BD164" s="166"/>
      <c r="BE164" s="166"/>
      <c r="BF164" s="166"/>
      <c r="BG164" s="166"/>
      <c r="BH164" s="166"/>
      <c r="BI164" s="166"/>
      <c r="BJ164" s="166"/>
      <c r="BK164" s="166"/>
      <c r="BL164" s="166"/>
      <c r="BM164" s="166"/>
      <c r="BN164" s="166"/>
      <c r="BO164" s="166"/>
      <c r="BP164" s="166"/>
      <c r="BQ164" s="166"/>
      <c r="BR164" s="166"/>
      <c r="BS164" s="166"/>
      <c r="BT164" s="166"/>
      <c r="BU164" s="166"/>
      <c r="BV164" s="166"/>
      <c r="BW164" s="166"/>
      <c r="BX164" s="166"/>
      <c r="BY164" s="166"/>
      <c r="BZ164" s="166"/>
      <c r="CA164" s="166"/>
      <c r="CB164" s="166"/>
      <c r="CC164" s="166"/>
      <c r="CD164" s="166"/>
      <c r="CE164" s="166"/>
      <c r="CF164" s="166"/>
      <c r="CG164" s="166"/>
    </row>
    <row r="165" spans="1:85" ht="12" customHeight="1">
      <c r="A165" s="133"/>
      <c r="B165" s="133"/>
      <c r="C165" s="133">
        <v>3</v>
      </c>
      <c r="D165" s="160"/>
      <c r="E165" s="134"/>
      <c r="F165" s="134"/>
      <c r="G165" s="134" t="s">
        <v>1755</v>
      </c>
      <c r="H165" s="134"/>
      <c r="I165" s="134"/>
      <c r="J165" s="134"/>
      <c r="K165" s="134"/>
      <c r="L165" s="134"/>
      <c r="M165" s="134"/>
      <c r="N165" s="134"/>
      <c r="O165" s="134"/>
      <c r="P165" s="236">
        <v>45901</v>
      </c>
      <c r="Q165" s="236">
        <v>46020</v>
      </c>
      <c r="R165" s="134"/>
      <c r="S165" s="135">
        <v>86</v>
      </c>
      <c r="T165" s="135">
        <v>0</v>
      </c>
      <c r="U165" s="135">
        <v>86</v>
      </c>
      <c r="V165" s="135">
        <v>0</v>
      </c>
      <c r="W165" s="236"/>
      <c r="X165" s="236"/>
      <c r="Y165" s="136"/>
      <c r="Z165" s="137">
        <v>0</v>
      </c>
      <c r="AA165" s="135">
        <v>0.5</v>
      </c>
      <c r="AB165" s="134"/>
      <c r="AC165" s="138"/>
      <c r="AD165" s="159"/>
      <c r="AE165" s="241">
        <v>0</v>
      </c>
      <c r="AF165" s="165"/>
      <c r="AG165" s="166"/>
      <c r="AH165" s="166"/>
      <c r="AI165" s="166"/>
      <c r="AJ165" s="166"/>
      <c r="AK165" s="166"/>
      <c r="AL165" s="166"/>
      <c r="AM165" s="166"/>
      <c r="AN165" s="166"/>
      <c r="AO165" s="166"/>
      <c r="AP165" s="166"/>
      <c r="AQ165" s="166"/>
      <c r="AR165" s="166"/>
      <c r="AS165" s="166"/>
      <c r="AT165" s="166"/>
      <c r="AU165" s="166"/>
      <c r="AV165" s="166"/>
      <c r="AW165" s="166"/>
      <c r="AX165" s="166"/>
      <c r="AY165" s="166"/>
      <c r="AZ165" s="166"/>
      <c r="BA165" s="166"/>
      <c r="BB165" s="166"/>
      <c r="BC165" s="166"/>
      <c r="BD165" s="166"/>
      <c r="BE165" s="166"/>
      <c r="BF165" s="166"/>
      <c r="BG165" s="166"/>
      <c r="BH165" s="166"/>
      <c r="BI165" s="166"/>
      <c r="BJ165" s="166"/>
      <c r="BK165" s="166"/>
      <c r="BL165" s="166"/>
      <c r="BM165" s="166"/>
      <c r="BN165" s="166"/>
      <c r="BO165" s="166"/>
      <c r="BP165" s="166"/>
      <c r="BQ165" s="166"/>
      <c r="BR165" s="166"/>
      <c r="BS165" s="166"/>
      <c r="BT165" s="166"/>
      <c r="BU165" s="166"/>
      <c r="BV165" s="166"/>
      <c r="BW165" s="166"/>
      <c r="BX165" s="166"/>
      <c r="BY165" s="166"/>
      <c r="BZ165" s="166"/>
      <c r="CA165" s="166"/>
      <c r="CB165" s="166"/>
      <c r="CC165" s="166"/>
      <c r="CD165" s="166"/>
      <c r="CE165" s="166"/>
      <c r="CF165" s="166"/>
      <c r="CG165" s="166"/>
    </row>
    <row r="166" spans="1:85" ht="12" customHeight="1">
      <c r="A166" s="133"/>
      <c r="B166" s="133"/>
      <c r="C166" s="133">
        <v>1</v>
      </c>
      <c r="D166" s="160"/>
      <c r="E166" s="134" t="s">
        <v>1704</v>
      </c>
      <c r="F166" s="134"/>
      <c r="G166" s="134"/>
      <c r="H166" s="134"/>
      <c r="I166" s="134"/>
      <c r="J166" s="134"/>
      <c r="K166" s="134"/>
      <c r="L166" s="134"/>
      <c r="M166" s="134"/>
      <c r="N166" s="134"/>
      <c r="O166" s="134"/>
      <c r="P166" s="236">
        <v>45870</v>
      </c>
      <c r="Q166" s="236">
        <v>46069</v>
      </c>
      <c r="R166" s="134"/>
      <c r="S166" s="135">
        <v>142</v>
      </c>
      <c r="T166" s="135">
        <v>0</v>
      </c>
      <c r="U166" s="135">
        <v>142</v>
      </c>
      <c r="V166" s="135">
        <v>0</v>
      </c>
      <c r="W166" s="236"/>
      <c r="X166" s="236"/>
      <c r="Y166" s="136"/>
      <c r="Z166" s="137">
        <v>0</v>
      </c>
      <c r="AA166" s="135"/>
      <c r="AB166" s="134"/>
      <c r="AC166" s="138"/>
      <c r="AD166" s="159"/>
      <c r="AE166" s="242">
        <v>0</v>
      </c>
      <c r="AF166" s="165"/>
      <c r="AG166" s="166"/>
      <c r="AH166" s="166"/>
      <c r="AI166" s="166"/>
      <c r="AJ166" s="166"/>
      <c r="AK166" s="166"/>
      <c r="AL166" s="166"/>
      <c r="AM166" s="166"/>
      <c r="AN166" s="166"/>
      <c r="AO166" s="166"/>
      <c r="AP166" s="166"/>
      <c r="AQ166" s="166"/>
      <c r="AR166" s="166"/>
      <c r="AS166" s="166"/>
      <c r="AT166" s="166"/>
      <c r="AU166" s="166"/>
      <c r="AV166" s="166"/>
      <c r="AW166" s="166"/>
      <c r="AX166" s="166"/>
      <c r="AY166" s="166"/>
      <c r="AZ166" s="166"/>
      <c r="BA166" s="166"/>
      <c r="BB166" s="166"/>
      <c r="BC166" s="166"/>
      <c r="BD166" s="166"/>
      <c r="BE166" s="166"/>
      <c r="BF166" s="166"/>
      <c r="BG166" s="166"/>
      <c r="BH166" s="166"/>
      <c r="BI166" s="166"/>
      <c r="BJ166" s="166"/>
      <c r="BK166" s="166"/>
      <c r="BL166" s="166"/>
      <c r="BM166" s="166"/>
      <c r="BN166" s="166"/>
      <c r="BO166" s="166"/>
      <c r="BP166" s="166"/>
      <c r="BQ166" s="166"/>
      <c r="BR166" s="166"/>
      <c r="BS166" s="166"/>
      <c r="BT166" s="166"/>
      <c r="BU166" s="166"/>
      <c r="BV166" s="166"/>
      <c r="BW166" s="166"/>
      <c r="BX166" s="166"/>
      <c r="BY166" s="166"/>
      <c r="BZ166" s="166"/>
      <c r="CA166" s="166"/>
      <c r="CB166" s="166"/>
      <c r="CC166" s="166"/>
      <c r="CD166" s="166"/>
      <c r="CE166" s="166"/>
      <c r="CF166" s="166"/>
      <c r="CG166" s="166"/>
    </row>
    <row r="167" spans="1:85" ht="12" customHeight="1">
      <c r="A167" s="133"/>
      <c r="B167" s="133"/>
      <c r="C167" s="133">
        <v>2</v>
      </c>
      <c r="D167" s="160"/>
      <c r="E167" s="134"/>
      <c r="F167" s="134" t="s">
        <v>1752</v>
      </c>
      <c r="G167" s="134"/>
      <c r="H167" s="134"/>
      <c r="I167" s="134"/>
      <c r="J167" s="134"/>
      <c r="K167" s="134"/>
      <c r="L167" s="134"/>
      <c r="M167" s="134"/>
      <c r="N167" s="134"/>
      <c r="O167" s="134"/>
      <c r="P167" s="236">
        <v>45870</v>
      </c>
      <c r="Q167" s="236">
        <v>45930</v>
      </c>
      <c r="R167" s="134"/>
      <c r="S167" s="135">
        <v>43</v>
      </c>
      <c r="T167" s="135">
        <v>0</v>
      </c>
      <c r="U167" s="135">
        <v>43</v>
      </c>
      <c r="V167" s="135">
        <v>0</v>
      </c>
      <c r="W167" s="236"/>
      <c r="X167" s="236"/>
      <c r="Y167" s="136"/>
      <c r="Z167" s="137">
        <v>0</v>
      </c>
      <c r="AA167" s="135"/>
      <c r="AB167" s="134"/>
      <c r="AC167" s="138"/>
      <c r="AD167" s="159"/>
      <c r="AE167" s="242">
        <v>0</v>
      </c>
      <c r="AF167" s="165"/>
      <c r="AG167" s="166"/>
      <c r="AH167" s="166"/>
      <c r="AI167" s="166"/>
      <c r="AJ167" s="166"/>
      <c r="AK167" s="166"/>
      <c r="AL167" s="166"/>
      <c r="AM167" s="166"/>
      <c r="AN167" s="166"/>
      <c r="AO167" s="166"/>
      <c r="AP167" s="166"/>
      <c r="AQ167" s="166"/>
      <c r="AR167" s="166"/>
      <c r="AS167" s="166"/>
      <c r="AT167" s="166"/>
      <c r="AU167" s="166"/>
      <c r="AV167" s="166"/>
      <c r="AW167" s="166"/>
      <c r="AX167" s="166"/>
      <c r="AY167" s="166"/>
      <c r="AZ167" s="166"/>
      <c r="BA167" s="166"/>
      <c r="BB167" s="166"/>
      <c r="BC167" s="166"/>
      <c r="BD167" s="166"/>
      <c r="BE167" s="166"/>
      <c r="BF167" s="166"/>
      <c r="BG167" s="166"/>
      <c r="BH167" s="166"/>
      <c r="BI167" s="166"/>
      <c r="BJ167" s="166"/>
      <c r="BK167" s="166"/>
      <c r="BL167" s="166"/>
      <c r="BM167" s="166"/>
      <c r="BN167" s="166"/>
      <c r="BO167" s="166"/>
      <c r="BP167" s="166"/>
      <c r="BQ167" s="166"/>
      <c r="BR167" s="166"/>
      <c r="BS167" s="166"/>
      <c r="BT167" s="166"/>
      <c r="BU167" s="166"/>
      <c r="BV167" s="166"/>
      <c r="BW167" s="166"/>
      <c r="BX167" s="166"/>
      <c r="BY167" s="166"/>
      <c r="BZ167" s="166"/>
      <c r="CA167" s="166"/>
      <c r="CB167" s="166"/>
      <c r="CC167" s="166"/>
      <c r="CD167" s="166"/>
      <c r="CE167" s="166"/>
      <c r="CF167" s="166"/>
      <c r="CG167" s="166"/>
    </row>
    <row r="168" spans="1:85" ht="12" customHeight="1">
      <c r="A168" s="133"/>
      <c r="B168" s="133"/>
      <c r="C168" s="133">
        <v>3</v>
      </c>
      <c r="D168" s="160"/>
      <c r="E168" s="134"/>
      <c r="F168" s="134"/>
      <c r="G168" s="134" t="s">
        <v>1705</v>
      </c>
      <c r="H168" s="134"/>
      <c r="I168" s="134"/>
      <c r="J168" s="134"/>
      <c r="K168" s="134"/>
      <c r="L168" s="134"/>
      <c r="M168" s="134"/>
      <c r="N168" s="134"/>
      <c r="O168" s="134"/>
      <c r="P168" s="236">
        <v>45870</v>
      </c>
      <c r="Q168" s="236">
        <v>45891</v>
      </c>
      <c r="R168" s="134"/>
      <c r="S168" s="135">
        <v>16</v>
      </c>
      <c r="T168" s="135">
        <v>0</v>
      </c>
      <c r="U168" s="135">
        <v>16</v>
      </c>
      <c r="V168" s="135">
        <v>0</v>
      </c>
      <c r="W168" s="236"/>
      <c r="X168" s="236"/>
      <c r="Y168" s="136"/>
      <c r="Z168" s="137">
        <v>0</v>
      </c>
      <c r="AA168" s="135">
        <v>0.1</v>
      </c>
      <c r="AB168" s="134"/>
      <c r="AC168" s="138"/>
      <c r="AD168" s="159"/>
      <c r="AE168" s="241">
        <v>0</v>
      </c>
      <c r="AF168" s="165"/>
      <c r="AG168" s="166"/>
      <c r="AH168" s="166"/>
      <c r="AI168" s="166"/>
      <c r="AJ168" s="166"/>
      <c r="AK168" s="166"/>
      <c r="AL168" s="166"/>
      <c r="AM168" s="166"/>
      <c r="AN168" s="166"/>
      <c r="AO168" s="166"/>
      <c r="AP168" s="166"/>
      <c r="AQ168" s="166"/>
      <c r="AR168" s="166"/>
      <c r="AS168" s="166"/>
      <c r="AT168" s="166"/>
      <c r="AU168" s="166"/>
      <c r="AV168" s="166"/>
      <c r="AW168" s="166"/>
      <c r="AX168" s="166"/>
      <c r="AY168" s="166"/>
      <c r="AZ168" s="166"/>
      <c r="BA168" s="166"/>
      <c r="BB168" s="166"/>
      <c r="BC168" s="166"/>
      <c r="BD168" s="166"/>
      <c r="BE168" s="166"/>
      <c r="BF168" s="166"/>
      <c r="BG168" s="166"/>
      <c r="BH168" s="166"/>
      <c r="BI168" s="166"/>
      <c r="BJ168" s="166"/>
      <c r="BK168" s="166"/>
      <c r="BL168" s="166"/>
      <c r="BM168" s="166"/>
      <c r="BN168" s="166"/>
      <c r="BO168" s="166"/>
      <c r="BP168" s="166"/>
      <c r="BQ168" s="166"/>
      <c r="BR168" s="166"/>
      <c r="BS168" s="166"/>
      <c r="BT168" s="166"/>
      <c r="BU168" s="166"/>
      <c r="BV168" s="166"/>
      <c r="BW168" s="166"/>
      <c r="BX168" s="166"/>
      <c r="BY168" s="166"/>
      <c r="BZ168" s="166"/>
      <c r="CA168" s="166"/>
      <c r="CB168" s="166"/>
      <c r="CC168" s="166"/>
      <c r="CD168" s="166"/>
      <c r="CE168" s="166"/>
      <c r="CF168" s="166"/>
      <c r="CG168" s="166"/>
    </row>
    <row r="169" spans="1:85" ht="12" customHeight="1">
      <c r="A169" s="133"/>
      <c r="B169" s="133"/>
      <c r="C169" s="133">
        <v>3</v>
      </c>
      <c r="D169" s="160"/>
      <c r="E169" s="134"/>
      <c r="F169" s="134"/>
      <c r="G169" s="134" t="s">
        <v>1706</v>
      </c>
      <c r="H169" s="134"/>
      <c r="I169" s="134"/>
      <c r="J169" s="134"/>
      <c r="K169" s="134"/>
      <c r="L169" s="134"/>
      <c r="M169" s="134"/>
      <c r="N169" s="134"/>
      <c r="O169" s="134"/>
      <c r="P169" s="236">
        <v>45901</v>
      </c>
      <c r="Q169" s="236">
        <v>45930</v>
      </c>
      <c r="R169" s="134"/>
      <c r="S169" s="135">
        <v>22</v>
      </c>
      <c r="T169" s="135">
        <v>0</v>
      </c>
      <c r="U169" s="135">
        <v>22</v>
      </c>
      <c r="V169" s="135">
        <v>0</v>
      </c>
      <c r="W169" s="236"/>
      <c r="X169" s="236"/>
      <c r="Y169" s="136"/>
      <c r="Z169" s="137">
        <v>0</v>
      </c>
      <c r="AA169" s="135">
        <v>0.5</v>
      </c>
      <c r="AB169" s="134"/>
      <c r="AC169" s="138"/>
      <c r="AD169" s="159"/>
      <c r="AE169" s="241">
        <v>0</v>
      </c>
      <c r="AF169" s="165"/>
      <c r="AG169" s="166"/>
      <c r="AH169" s="166"/>
      <c r="AI169" s="166"/>
      <c r="AJ169" s="166"/>
      <c r="AK169" s="166"/>
      <c r="AL169" s="166"/>
      <c r="AM169" s="166"/>
      <c r="AN169" s="166"/>
      <c r="AO169" s="166"/>
      <c r="AP169" s="166"/>
      <c r="AQ169" s="166"/>
      <c r="AR169" s="166"/>
      <c r="AS169" s="166"/>
      <c r="AT169" s="166"/>
      <c r="AU169" s="166"/>
      <c r="AV169" s="166"/>
      <c r="AW169" s="166"/>
      <c r="AX169" s="166"/>
      <c r="AY169" s="166"/>
      <c r="AZ169" s="166"/>
      <c r="BA169" s="166"/>
      <c r="BB169" s="166"/>
      <c r="BC169" s="166"/>
      <c r="BD169" s="166"/>
      <c r="BE169" s="166"/>
      <c r="BF169" s="166"/>
      <c r="BG169" s="166"/>
      <c r="BH169" s="166"/>
      <c r="BI169" s="166"/>
      <c r="BJ169" s="166"/>
      <c r="BK169" s="166"/>
      <c r="BL169" s="166"/>
      <c r="BM169" s="166"/>
      <c r="BN169" s="166"/>
      <c r="BO169" s="166"/>
      <c r="BP169" s="166"/>
      <c r="BQ169" s="166"/>
      <c r="BR169" s="166"/>
      <c r="BS169" s="166"/>
      <c r="BT169" s="166"/>
      <c r="BU169" s="166"/>
      <c r="BV169" s="166"/>
      <c r="BW169" s="166"/>
      <c r="BX169" s="166"/>
      <c r="BY169" s="166"/>
      <c r="BZ169" s="166"/>
      <c r="CA169" s="166"/>
      <c r="CB169" s="166"/>
      <c r="CC169" s="166"/>
      <c r="CD169" s="166"/>
      <c r="CE169" s="166"/>
      <c r="CF169" s="166"/>
      <c r="CG169" s="166"/>
    </row>
    <row r="170" spans="1:85" ht="12" customHeight="1">
      <c r="A170" s="133"/>
      <c r="B170" s="133"/>
      <c r="C170" s="133">
        <v>2</v>
      </c>
      <c r="D170" s="160"/>
      <c r="E170" s="134"/>
      <c r="F170" s="134" t="s">
        <v>1753</v>
      </c>
      <c r="G170" s="134"/>
      <c r="H170" s="134"/>
      <c r="I170" s="134"/>
      <c r="J170" s="134"/>
      <c r="K170" s="134"/>
      <c r="L170" s="134"/>
      <c r="M170" s="134"/>
      <c r="N170" s="134"/>
      <c r="O170" s="134"/>
      <c r="P170" s="236">
        <v>45931</v>
      </c>
      <c r="Q170" s="236">
        <v>46017</v>
      </c>
      <c r="R170" s="134"/>
      <c r="S170" s="135">
        <v>63</v>
      </c>
      <c r="T170" s="135">
        <v>0</v>
      </c>
      <c r="U170" s="135">
        <v>63</v>
      </c>
      <c r="V170" s="135">
        <v>0</v>
      </c>
      <c r="W170" s="236"/>
      <c r="X170" s="236"/>
      <c r="Y170" s="136"/>
      <c r="Z170" s="137">
        <v>0</v>
      </c>
      <c r="AA170" s="135"/>
      <c r="AB170" s="134"/>
      <c r="AC170" s="138"/>
      <c r="AD170" s="159"/>
      <c r="AE170" s="242">
        <v>0</v>
      </c>
      <c r="AF170" s="165"/>
      <c r="AG170" s="166"/>
      <c r="AH170" s="166"/>
      <c r="AI170" s="166"/>
      <c r="AJ170" s="166"/>
      <c r="AK170" s="166"/>
      <c r="AL170" s="166"/>
      <c r="AM170" s="166"/>
      <c r="AN170" s="166"/>
      <c r="AO170" s="166"/>
      <c r="AP170" s="166"/>
      <c r="AQ170" s="166"/>
      <c r="AR170" s="166"/>
      <c r="AS170" s="166"/>
      <c r="AT170" s="166"/>
      <c r="AU170" s="166"/>
      <c r="AV170" s="166"/>
      <c r="AW170" s="166"/>
      <c r="AX170" s="166"/>
      <c r="AY170" s="166"/>
      <c r="AZ170" s="166"/>
      <c r="BA170" s="166"/>
      <c r="BB170" s="166"/>
      <c r="BC170" s="166"/>
      <c r="BD170" s="166"/>
      <c r="BE170" s="166"/>
      <c r="BF170" s="166"/>
      <c r="BG170" s="166"/>
      <c r="BH170" s="166"/>
      <c r="BI170" s="166"/>
      <c r="BJ170" s="166"/>
      <c r="BK170" s="166"/>
      <c r="BL170" s="166"/>
      <c r="BM170" s="166"/>
      <c r="BN170" s="166"/>
      <c r="BO170" s="166"/>
      <c r="BP170" s="166"/>
      <c r="BQ170" s="166"/>
      <c r="BR170" s="166"/>
      <c r="BS170" s="166"/>
      <c r="BT170" s="166"/>
      <c r="BU170" s="166"/>
      <c r="BV170" s="166"/>
      <c r="BW170" s="166"/>
      <c r="BX170" s="166"/>
      <c r="BY170" s="166"/>
      <c r="BZ170" s="166"/>
      <c r="CA170" s="166"/>
      <c r="CB170" s="166"/>
      <c r="CC170" s="166"/>
      <c r="CD170" s="166"/>
      <c r="CE170" s="166"/>
      <c r="CF170" s="166"/>
      <c r="CG170" s="166"/>
    </row>
    <row r="171" spans="1:85" ht="12" customHeight="1">
      <c r="A171" s="133"/>
      <c r="B171" s="133"/>
      <c r="C171" s="133">
        <v>3</v>
      </c>
      <c r="D171" s="160"/>
      <c r="E171" s="134"/>
      <c r="F171" s="134"/>
      <c r="G171" s="134" t="s">
        <v>1705</v>
      </c>
      <c r="H171" s="134"/>
      <c r="I171" s="134"/>
      <c r="J171" s="134"/>
      <c r="K171" s="134"/>
      <c r="L171" s="134"/>
      <c r="M171" s="134"/>
      <c r="N171" s="134"/>
      <c r="O171" s="134"/>
      <c r="P171" s="236">
        <v>45931</v>
      </c>
      <c r="Q171" s="236">
        <v>45961</v>
      </c>
      <c r="R171" s="134"/>
      <c r="S171" s="135">
        <v>23</v>
      </c>
      <c r="T171" s="135">
        <v>0</v>
      </c>
      <c r="U171" s="135">
        <v>23</v>
      </c>
      <c r="V171" s="135">
        <v>0</v>
      </c>
      <c r="W171" s="236"/>
      <c r="X171" s="236"/>
      <c r="Y171" s="136"/>
      <c r="Z171" s="137">
        <v>0</v>
      </c>
      <c r="AA171" s="135">
        <v>0.1</v>
      </c>
      <c r="AB171" s="134"/>
      <c r="AC171" s="138"/>
      <c r="AD171" s="159"/>
      <c r="AE171" s="241">
        <v>0</v>
      </c>
      <c r="AF171" s="165"/>
      <c r="AG171" s="166"/>
      <c r="AH171" s="166"/>
      <c r="AI171" s="166"/>
      <c r="AJ171" s="166"/>
      <c r="AK171" s="166"/>
      <c r="AL171" s="166"/>
      <c r="AM171" s="166"/>
      <c r="AN171" s="166"/>
      <c r="AO171" s="166"/>
      <c r="AP171" s="166"/>
      <c r="AQ171" s="166"/>
      <c r="AR171" s="166"/>
      <c r="AS171" s="166"/>
      <c r="AT171" s="166"/>
      <c r="AU171" s="166"/>
      <c r="AV171" s="166"/>
      <c r="AW171" s="166"/>
      <c r="AX171" s="166"/>
      <c r="AY171" s="166"/>
      <c r="AZ171" s="166"/>
      <c r="BA171" s="166"/>
      <c r="BB171" s="166"/>
      <c r="BC171" s="166"/>
      <c r="BD171" s="166"/>
      <c r="BE171" s="166"/>
      <c r="BF171" s="166"/>
      <c r="BG171" s="166"/>
      <c r="BH171" s="166"/>
      <c r="BI171" s="166"/>
      <c r="BJ171" s="166"/>
      <c r="BK171" s="166"/>
      <c r="BL171" s="166"/>
      <c r="BM171" s="166"/>
      <c r="BN171" s="166"/>
      <c r="BO171" s="166"/>
      <c r="BP171" s="166"/>
      <c r="BQ171" s="166"/>
      <c r="BR171" s="166"/>
      <c r="BS171" s="166"/>
      <c r="BT171" s="166"/>
      <c r="BU171" s="166"/>
      <c r="BV171" s="166"/>
      <c r="BW171" s="166"/>
      <c r="BX171" s="166"/>
      <c r="BY171" s="166"/>
      <c r="BZ171" s="166"/>
      <c r="CA171" s="166"/>
      <c r="CB171" s="166"/>
      <c r="CC171" s="166"/>
      <c r="CD171" s="166"/>
      <c r="CE171" s="166"/>
      <c r="CF171" s="166"/>
      <c r="CG171" s="166"/>
    </row>
    <row r="172" spans="1:85" ht="12" customHeight="1">
      <c r="A172" s="133"/>
      <c r="B172" s="133"/>
      <c r="C172" s="133">
        <v>3</v>
      </c>
      <c r="D172" s="160"/>
      <c r="E172" s="134"/>
      <c r="F172" s="134"/>
      <c r="G172" s="134" t="s">
        <v>1706</v>
      </c>
      <c r="H172" s="134"/>
      <c r="I172" s="134"/>
      <c r="J172" s="134"/>
      <c r="K172" s="134"/>
      <c r="L172" s="134"/>
      <c r="M172" s="134"/>
      <c r="N172" s="134"/>
      <c r="O172" s="134"/>
      <c r="P172" s="236">
        <v>45964</v>
      </c>
      <c r="Q172" s="236">
        <v>46017</v>
      </c>
      <c r="R172" s="134"/>
      <c r="S172" s="135">
        <v>40</v>
      </c>
      <c r="T172" s="135">
        <v>0</v>
      </c>
      <c r="U172" s="135">
        <v>40</v>
      </c>
      <c r="V172" s="135">
        <v>0</v>
      </c>
      <c r="W172" s="236"/>
      <c r="X172" s="236"/>
      <c r="Y172" s="136"/>
      <c r="Z172" s="137">
        <v>0</v>
      </c>
      <c r="AA172" s="135">
        <v>0.5</v>
      </c>
      <c r="AB172" s="134"/>
      <c r="AC172" s="138"/>
      <c r="AD172" s="159"/>
      <c r="AE172" s="241">
        <v>0</v>
      </c>
      <c r="AF172" s="165"/>
      <c r="AG172" s="166"/>
      <c r="AH172" s="166"/>
      <c r="AI172" s="166"/>
      <c r="AJ172" s="166"/>
      <c r="AK172" s="166"/>
      <c r="AL172" s="166"/>
      <c r="AM172" s="166"/>
      <c r="AN172" s="166"/>
      <c r="AO172" s="166"/>
      <c r="AP172" s="166"/>
      <c r="AQ172" s="166"/>
      <c r="AR172" s="166"/>
      <c r="AS172" s="166"/>
      <c r="AT172" s="166"/>
      <c r="AU172" s="166"/>
      <c r="AV172" s="166"/>
      <c r="AW172" s="166"/>
      <c r="AX172" s="166"/>
      <c r="AY172" s="166"/>
      <c r="AZ172" s="166"/>
      <c r="BA172" s="166"/>
      <c r="BB172" s="166"/>
      <c r="BC172" s="166"/>
      <c r="BD172" s="166"/>
      <c r="BE172" s="166"/>
      <c r="BF172" s="166"/>
      <c r="BG172" s="166"/>
      <c r="BH172" s="166"/>
      <c r="BI172" s="166"/>
      <c r="BJ172" s="166"/>
      <c r="BK172" s="166"/>
      <c r="BL172" s="166"/>
      <c r="BM172" s="166"/>
      <c r="BN172" s="166"/>
      <c r="BO172" s="166"/>
      <c r="BP172" s="166"/>
      <c r="BQ172" s="166"/>
      <c r="BR172" s="166"/>
      <c r="BS172" s="166"/>
      <c r="BT172" s="166"/>
      <c r="BU172" s="166"/>
      <c r="BV172" s="166"/>
      <c r="BW172" s="166"/>
      <c r="BX172" s="166"/>
      <c r="BY172" s="166"/>
      <c r="BZ172" s="166"/>
      <c r="CA172" s="166"/>
      <c r="CB172" s="166"/>
      <c r="CC172" s="166"/>
      <c r="CD172" s="166"/>
      <c r="CE172" s="166"/>
      <c r="CF172" s="166"/>
      <c r="CG172" s="166"/>
    </row>
    <row r="173" spans="1:85" ht="12" customHeight="1">
      <c r="A173" s="133"/>
      <c r="B173" s="133"/>
      <c r="C173" s="133">
        <v>2</v>
      </c>
      <c r="D173" s="160"/>
      <c r="E173" s="134"/>
      <c r="F173" s="134" t="s">
        <v>1754</v>
      </c>
      <c r="G173" s="134"/>
      <c r="H173" s="134"/>
      <c r="I173" s="134"/>
      <c r="J173" s="134"/>
      <c r="K173" s="134"/>
      <c r="L173" s="134"/>
      <c r="M173" s="134"/>
      <c r="N173" s="134"/>
      <c r="O173" s="134"/>
      <c r="P173" s="236">
        <v>45992</v>
      </c>
      <c r="Q173" s="236">
        <v>46052</v>
      </c>
      <c r="R173" s="134"/>
      <c r="S173" s="135">
        <v>45</v>
      </c>
      <c r="T173" s="135">
        <v>0</v>
      </c>
      <c r="U173" s="135">
        <v>45</v>
      </c>
      <c r="V173" s="135">
        <v>0</v>
      </c>
      <c r="W173" s="236"/>
      <c r="X173" s="236"/>
      <c r="Y173" s="136"/>
      <c r="Z173" s="137">
        <v>0</v>
      </c>
      <c r="AA173" s="135"/>
      <c r="AB173" s="134"/>
      <c r="AC173" s="138"/>
      <c r="AD173" s="159"/>
      <c r="AE173" s="242">
        <v>0</v>
      </c>
      <c r="AF173" s="165"/>
      <c r="AG173" s="166"/>
      <c r="AH173" s="166"/>
      <c r="AI173" s="166"/>
      <c r="AJ173" s="166"/>
      <c r="AK173" s="166"/>
      <c r="AL173" s="166"/>
      <c r="AM173" s="166"/>
      <c r="AN173" s="166"/>
      <c r="AO173" s="166"/>
      <c r="AP173" s="166"/>
      <c r="AQ173" s="166"/>
      <c r="AR173" s="166"/>
      <c r="AS173" s="166"/>
      <c r="AT173" s="166"/>
      <c r="AU173" s="166"/>
      <c r="AV173" s="166"/>
      <c r="AW173" s="166"/>
      <c r="AX173" s="166"/>
      <c r="AY173" s="166"/>
      <c r="AZ173" s="166"/>
      <c r="BA173" s="166"/>
      <c r="BB173" s="166"/>
      <c r="BC173" s="166"/>
      <c r="BD173" s="166"/>
      <c r="BE173" s="166"/>
      <c r="BF173" s="166"/>
      <c r="BG173" s="166"/>
      <c r="BH173" s="166"/>
      <c r="BI173" s="166"/>
      <c r="BJ173" s="166"/>
      <c r="BK173" s="166"/>
      <c r="BL173" s="166"/>
      <c r="BM173" s="166"/>
      <c r="BN173" s="166"/>
      <c r="BO173" s="166"/>
      <c r="BP173" s="166"/>
      <c r="BQ173" s="166"/>
      <c r="BR173" s="166"/>
      <c r="BS173" s="166"/>
      <c r="BT173" s="166"/>
      <c r="BU173" s="166"/>
      <c r="BV173" s="166"/>
      <c r="BW173" s="166"/>
      <c r="BX173" s="166"/>
      <c r="BY173" s="166"/>
      <c r="BZ173" s="166"/>
      <c r="CA173" s="166"/>
      <c r="CB173" s="166"/>
      <c r="CC173" s="166"/>
      <c r="CD173" s="166"/>
      <c r="CE173" s="166"/>
      <c r="CF173" s="166"/>
      <c r="CG173" s="166"/>
    </row>
    <row r="174" spans="1:85" ht="12" customHeight="1">
      <c r="A174" s="133"/>
      <c r="B174" s="133"/>
      <c r="C174" s="133">
        <v>3</v>
      </c>
      <c r="D174" s="160"/>
      <c r="E174" s="134"/>
      <c r="F174" s="134"/>
      <c r="G174" s="134" t="s">
        <v>1705</v>
      </c>
      <c r="H174" s="134"/>
      <c r="I174" s="134"/>
      <c r="J174" s="134"/>
      <c r="K174" s="134"/>
      <c r="L174" s="134"/>
      <c r="M174" s="134"/>
      <c r="N174" s="134"/>
      <c r="O174" s="134"/>
      <c r="P174" s="236">
        <v>45992</v>
      </c>
      <c r="Q174" s="236">
        <v>46010</v>
      </c>
      <c r="R174" s="134"/>
      <c r="S174" s="135">
        <v>15</v>
      </c>
      <c r="T174" s="135">
        <v>0</v>
      </c>
      <c r="U174" s="135">
        <v>15</v>
      </c>
      <c r="V174" s="135">
        <v>0</v>
      </c>
      <c r="W174" s="236"/>
      <c r="X174" s="236"/>
      <c r="Y174" s="136"/>
      <c r="Z174" s="137">
        <v>0</v>
      </c>
      <c r="AA174" s="135">
        <v>0.1</v>
      </c>
      <c r="AB174" s="134"/>
      <c r="AC174" s="138"/>
      <c r="AD174" s="159"/>
      <c r="AE174" s="241">
        <v>0</v>
      </c>
      <c r="AF174" s="165"/>
      <c r="AG174" s="166"/>
      <c r="AH174" s="166"/>
      <c r="AI174" s="166"/>
      <c r="AJ174" s="166"/>
      <c r="AK174" s="166"/>
      <c r="AL174" s="166"/>
      <c r="AM174" s="166"/>
      <c r="AN174" s="166"/>
      <c r="AO174" s="166"/>
      <c r="AP174" s="166"/>
      <c r="AQ174" s="166"/>
      <c r="AR174" s="166"/>
      <c r="AS174" s="166"/>
      <c r="AT174" s="166"/>
      <c r="AU174" s="166"/>
      <c r="AV174" s="166"/>
      <c r="AW174" s="166"/>
      <c r="AX174" s="166"/>
      <c r="AY174" s="166"/>
      <c r="AZ174" s="166"/>
      <c r="BA174" s="166"/>
      <c r="BB174" s="166"/>
      <c r="BC174" s="166"/>
      <c r="BD174" s="166"/>
      <c r="BE174" s="166"/>
      <c r="BF174" s="166"/>
      <c r="BG174" s="166"/>
      <c r="BH174" s="166"/>
      <c r="BI174" s="166"/>
      <c r="BJ174" s="166"/>
      <c r="BK174" s="166"/>
      <c r="BL174" s="166"/>
      <c r="BM174" s="166"/>
      <c r="BN174" s="166"/>
      <c r="BO174" s="166"/>
      <c r="BP174" s="166"/>
      <c r="BQ174" s="166"/>
      <c r="BR174" s="166"/>
      <c r="BS174" s="166"/>
      <c r="BT174" s="166"/>
      <c r="BU174" s="166"/>
      <c r="BV174" s="166"/>
      <c r="BW174" s="166"/>
      <c r="BX174" s="166"/>
      <c r="BY174" s="166"/>
      <c r="BZ174" s="166"/>
      <c r="CA174" s="166"/>
      <c r="CB174" s="166"/>
      <c r="CC174" s="166"/>
      <c r="CD174" s="166"/>
      <c r="CE174" s="166"/>
      <c r="CF174" s="166"/>
      <c r="CG174" s="166"/>
    </row>
    <row r="175" spans="1:85" ht="12" customHeight="1">
      <c r="A175" s="133"/>
      <c r="B175" s="133"/>
      <c r="C175" s="133">
        <v>3</v>
      </c>
      <c r="D175" s="160"/>
      <c r="E175" s="134"/>
      <c r="F175" s="134"/>
      <c r="G175" s="134" t="s">
        <v>1706</v>
      </c>
      <c r="H175" s="134"/>
      <c r="I175" s="134"/>
      <c r="J175" s="134"/>
      <c r="K175" s="134"/>
      <c r="L175" s="134"/>
      <c r="M175" s="134"/>
      <c r="N175" s="134"/>
      <c r="O175" s="134"/>
      <c r="P175" s="236">
        <v>46020</v>
      </c>
      <c r="Q175" s="236">
        <v>46052</v>
      </c>
      <c r="R175" s="134"/>
      <c r="S175" s="135">
        <v>25</v>
      </c>
      <c r="T175" s="135">
        <v>0</v>
      </c>
      <c r="U175" s="135">
        <v>25</v>
      </c>
      <c r="V175" s="135">
        <v>0</v>
      </c>
      <c r="W175" s="236"/>
      <c r="X175" s="236"/>
      <c r="Y175" s="136"/>
      <c r="Z175" s="137">
        <v>0</v>
      </c>
      <c r="AA175" s="135">
        <v>0.5</v>
      </c>
      <c r="AB175" s="134"/>
      <c r="AC175" s="138"/>
      <c r="AD175" s="159"/>
      <c r="AE175" s="241">
        <v>0</v>
      </c>
      <c r="AF175" s="165"/>
      <c r="AG175" s="166"/>
      <c r="AH175" s="166"/>
      <c r="AI175" s="166"/>
      <c r="AJ175" s="166"/>
      <c r="AK175" s="166"/>
      <c r="AL175" s="166"/>
      <c r="AM175" s="166"/>
      <c r="AN175" s="166"/>
      <c r="AO175" s="166"/>
      <c r="AP175" s="166"/>
      <c r="AQ175" s="166"/>
      <c r="AR175" s="166"/>
      <c r="AS175" s="166"/>
      <c r="AT175" s="166"/>
      <c r="AU175" s="166"/>
      <c r="AV175" s="166"/>
      <c r="AW175" s="166"/>
      <c r="AX175" s="166"/>
      <c r="AY175" s="166"/>
      <c r="AZ175" s="166"/>
      <c r="BA175" s="166"/>
      <c r="BB175" s="166"/>
      <c r="BC175" s="166"/>
      <c r="BD175" s="166"/>
      <c r="BE175" s="166"/>
      <c r="BF175" s="166"/>
      <c r="BG175" s="166"/>
      <c r="BH175" s="166"/>
      <c r="BI175" s="166"/>
      <c r="BJ175" s="166"/>
      <c r="BK175" s="166"/>
      <c r="BL175" s="166"/>
      <c r="BM175" s="166"/>
      <c r="BN175" s="166"/>
      <c r="BO175" s="166"/>
      <c r="BP175" s="166"/>
      <c r="BQ175" s="166"/>
      <c r="BR175" s="166"/>
      <c r="BS175" s="166"/>
      <c r="BT175" s="166"/>
      <c r="BU175" s="166"/>
      <c r="BV175" s="166"/>
      <c r="BW175" s="166"/>
      <c r="BX175" s="166"/>
      <c r="BY175" s="166"/>
      <c r="BZ175" s="166"/>
      <c r="CA175" s="166"/>
      <c r="CB175" s="166"/>
      <c r="CC175" s="166"/>
      <c r="CD175" s="166"/>
      <c r="CE175" s="166"/>
      <c r="CF175" s="166"/>
      <c r="CG175" s="166"/>
    </row>
    <row r="176" spans="1:85" ht="12" customHeight="1">
      <c r="A176" s="133"/>
      <c r="B176" s="133"/>
      <c r="C176" s="133">
        <v>2</v>
      </c>
      <c r="D176" s="160"/>
      <c r="E176" s="134"/>
      <c r="F176" s="134" t="s">
        <v>1707</v>
      </c>
      <c r="G176" s="134"/>
      <c r="H176" s="134"/>
      <c r="I176" s="134"/>
      <c r="J176" s="134"/>
      <c r="K176" s="134"/>
      <c r="L176" s="134"/>
      <c r="M176" s="134"/>
      <c r="N176" s="134"/>
      <c r="O176" s="134"/>
      <c r="P176" s="236">
        <v>45870</v>
      </c>
      <c r="Q176" s="236">
        <v>46069</v>
      </c>
      <c r="R176" s="134"/>
      <c r="S176" s="135">
        <v>142</v>
      </c>
      <c r="T176" s="135">
        <v>0</v>
      </c>
      <c r="U176" s="135">
        <v>142</v>
      </c>
      <c r="V176" s="135">
        <v>0</v>
      </c>
      <c r="W176" s="236"/>
      <c r="X176" s="236"/>
      <c r="Y176" s="136"/>
      <c r="Z176" s="137">
        <v>0</v>
      </c>
      <c r="AA176" s="135"/>
      <c r="AB176" s="134"/>
      <c r="AC176" s="138"/>
      <c r="AD176" s="159"/>
      <c r="AE176" s="242">
        <v>0</v>
      </c>
      <c r="AF176" s="165"/>
      <c r="AG176" s="166"/>
      <c r="AH176" s="166"/>
      <c r="AI176" s="166"/>
      <c r="AJ176" s="166"/>
      <c r="AK176" s="166"/>
      <c r="AL176" s="166"/>
      <c r="AM176" s="166"/>
      <c r="AN176" s="166"/>
      <c r="AO176" s="166"/>
      <c r="AP176" s="166"/>
      <c r="AQ176" s="166"/>
      <c r="AR176" s="166"/>
      <c r="AS176" s="166"/>
      <c r="AT176" s="166"/>
      <c r="AU176" s="166"/>
      <c r="AV176" s="166"/>
      <c r="AW176" s="166"/>
      <c r="AX176" s="166"/>
      <c r="AY176" s="166"/>
      <c r="AZ176" s="166"/>
      <c r="BA176" s="166"/>
      <c r="BB176" s="166"/>
      <c r="BC176" s="166"/>
      <c r="BD176" s="166"/>
      <c r="BE176" s="166"/>
      <c r="BF176" s="166"/>
      <c r="BG176" s="166"/>
      <c r="BH176" s="166"/>
      <c r="BI176" s="166"/>
      <c r="BJ176" s="166"/>
      <c r="BK176" s="166"/>
      <c r="BL176" s="166"/>
      <c r="BM176" s="166"/>
      <c r="BN176" s="166"/>
      <c r="BO176" s="166"/>
      <c r="BP176" s="166"/>
      <c r="BQ176" s="166"/>
      <c r="BR176" s="166"/>
      <c r="BS176" s="166"/>
      <c r="BT176" s="166"/>
      <c r="BU176" s="166"/>
      <c r="BV176" s="166"/>
      <c r="BW176" s="166"/>
      <c r="BX176" s="166"/>
      <c r="BY176" s="166"/>
      <c r="BZ176" s="166"/>
      <c r="CA176" s="166"/>
      <c r="CB176" s="166"/>
      <c r="CC176" s="166"/>
      <c r="CD176" s="166"/>
      <c r="CE176" s="166"/>
      <c r="CF176" s="166"/>
      <c r="CG176" s="166"/>
    </row>
    <row r="177" spans="1:85" ht="12" customHeight="1">
      <c r="A177" s="133"/>
      <c r="B177" s="133"/>
      <c r="C177" s="133">
        <v>3</v>
      </c>
      <c r="D177" s="160"/>
      <c r="E177" s="134"/>
      <c r="F177" s="134"/>
      <c r="G177" s="134" t="s">
        <v>1708</v>
      </c>
      <c r="H177" s="134"/>
      <c r="I177" s="134"/>
      <c r="J177" s="134"/>
      <c r="K177" s="134"/>
      <c r="L177" s="134"/>
      <c r="M177" s="134"/>
      <c r="N177" s="134"/>
      <c r="O177" s="134"/>
      <c r="P177" s="236">
        <v>45870</v>
      </c>
      <c r="Q177" s="236">
        <v>46010</v>
      </c>
      <c r="R177" s="134"/>
      <c r="S177" s="135">
        <v>101</v>
      </c>
      <c r="T177" s="135">
        <v>0</v>
      </c>
      <c r="U177" s="135">
        <v>101</v>
      </c>
      <c r="V177" s="135">
        <v>0</v>
      </c>
      <c r="W177" s="236"/>
      <c r="X177" s="236"/>
      <c r="Y177" s="136"/>
      <c r="Z177" s="137">
        <v>0</v>
      </c>
      <c r="AA177" s="135">
        <v>0.1</v>
      </c>
      <c r="AB177" s="134"/>
      <c r="AC177" s="138"/>
      <c r="AD177" s="159"/>
      <c r="AE177" s="241">
        <v>0</v>
      </c>
      <c r="AF177" s="165"/>
      <c r="AG177" s="166"/>
      <c r="AH177" s="166"/>
      <c r="AI177" s="166"/>
      <c r="AJ177" s="166"/>
      <c r="AK177" s="166"/>
      <c r="AL177" s="166"/>
      <c r="AM177" s="166"/>
      <c r="AN177" s="166"/>
      <c r="AO177" s="166"/>
      <c r="AP177" s="166"/>
      <c r="AQ177" s="166"/>
      <c r="AR177" s="166"/>
      <c r="AS177" s="166"/>
      <c r="AT177" s="166"/>
      <c r="AU177" s="166"/>
      <c r="AV177" s="166"/>
      <c r="AW177" s="166"/>
      <c r="AX177" s="166"/>
      <c r="AY177" s="166"/>
      <c r="AZ177" s="166"/>
      <c r="BA177" s="166"/>
      <c r="BB177" s="166"/>
      <c r="BC177" s="166"/>
      <c r="BD177" s="166"/>
      <c r="BE177" s="166"/>
      <c r="BF177" s="166"/>
      <c r="BG177" s="166"/>
      <c r="BH177" s="166"/>
      <c r="BI177" s="166"/>
      <c r="BJ177" s="166"/>
      <c r="BK177" s="166"/>
      <c r="BL177" s="166"/>
      <c r="BM177" s="166"/>
      <c r="BN177" s="166"/>
      <c r="BO177" s="166"/>
      <c r="BP177" s="166"/>
      <c r="BQ177" s="166"/>
      <c r="BR177" s="166"/>
      <c r="BS177" s="166"/>
      <c r="BT177" s="166"/>
      <c r="BU177" s="166"/>
      <c r="BV177" s="166"/>
      <c r="BW177" s="166"/>
      <c r="BX177" s="166"/>
      <c r="BY177" s="166"/>
      <c r="BZ177" s="166"/>
      <c r="CA177" s="166"/>
      <c r="CB177" s="166"/>
      <c r="CC177" s="166"/>
      <c r="CD177" s="166"/>
      <c r="CE177" s="166"/>
      <c r="CF177" s="166"/>
      <c r="CG177" s="166"/>
    </row>
    <row r="178" spans="1:85" ht="12" customHeight="1">
      <c r="A178" s="133"/>
      <c r="B178" s="133"/>
      <c r="C178" s="133">
        <v>3</v>
      </c>
      <c r="D178" s="160"/>
      <c r="E178" s="134"/>
      <c r="F178" s="134"/>
      <c r="G178" s="134" t="s">
        <v>1709</v>
      </c>
      <c r="H178" s="134"/>
      <c r="I178" s="134"/>
      <c r="J178" s="134"/>
      <c r="K178" s="134"/>
      <c r="L178" s="134"/>
      <c r="M178" s="134"/>
      <c r="N178" s="134"/>
      <c r="O178" s="134"/>
      <c r="P178" s="236">
        <v>45901</v>
      </c>
      <c r="Q178" s="236">
        <v>46069</v>
      </c>
      <c r="R178" s="134"/>
      <c r="S178" s="135">
        <v>121</v>
      </c>
      <c r="T178" s="135">
        <v>0</v>
      </c>
      <c r="U178" s="135">
        <v>121</v>
      </c>
      <c r="V178" s="135">
        <v>0</v>
      </c>
      <c r="W178" s="236"/>
      <c r="X178" s="236"/>
      <c r="Y178" s="136"/>
      <c r="Z178" s="137">
        <v>0</v>
      </c>
      <c r="AA178" s="135">
        <v>0.5</v>
      </c>
      <c r="AB178" s="134"/>
      <c r="AC178" s="138"/>
      <c r="AD178" s="159"/>
      <c r="AE178" s="241">
        <v>0</v>
      </c>
      <c r="AF178" s="165"/>
      <c r="AG178" s="166"/>
      <c r="AH178" s="166"/>
      <c r="AI178" s="166"/>
      <c r="AJ178" s="166"/>
      <c r="AK178" s="166"/>
      <c r="AL178" s="166"/>
      <c r="AM178" s="166"/>
      <c r="AN178" s="166"/>
      <c r="AO178" s="166"/>
      <c r="AP178" s="166"/>
      <c r="AQ178" s="166"/>
      <c r="AR178" s="166"/>
      <c r="AS178" s="166"/>
      <c r="AT178" s="166"/>
      <c r="AU178" s="166"/>
      <c r="AV178" s="166"/>
      <c r="AW178" s="166"/>
      <c r="AX178" s="166"/>
      <c r="AY178" s="166"/>
      <c r="AZ178" s="166"/>
      <c r="BA178" s="166"/>
      <c r="BB178" s="166"/>
      <c r="BC178" s="166"/>
      <c r="BD178" s="166"/>
      <c r="BE178" s="166"/>
      <c r="BF178" s="166"/>
      <c r="BG178" s="166"/>
      <c r="BH178" s="166"/>
      <c r="BI178" s="166"/>
      <c r="BJ178" s="166"/>
      <c r="BK178" s="166"/>
      <c r="BL178" s="166"/>
      <c r="BM178" s="166"/>
      <c r="BN178" s="166"/>
      <c r="BO178" s="166"/>
      <c r="BP178" s="166"/>
      <c r="BQ178" s="166"/>
      <c r="BR178" s="166"/>
      <c r="BS178" s="166"/>
      <c r="BT178" s="166"/>
      <c r="BU178" s="166"/>
      <c r="BV178" s="166"/>
      <c r="BW178" s="166"/>
      <c r="BX178" s="166"/>
      <c r="BY178" s="166"/>
      <c r="BZ178" s="166"/>
      <c r="CA178" s="166"/>
      <c r="CB178" s="166"/>
      <c r="CC178" s="166"/>
      <c r="CD178" s="166"/>
      <c r="CE178" s="166"/>
      <c r="CF178" s="166"/>
      <c r="CG178" s="166"/>
    </row>
    <row r="179" spans="1:85" ht="12" customHeight="1">
      <c r="A179" s="133"/>
      <c r="B179" s="133"/>
      <c r="C179" s="133">
        <v>1</v>
      </c>
      <c r="D179" s="160"/>
      <c r="E179" s="134" t="s">
        <v>1710</v>
      </c>
      <c r="F179" s="134"/>
      <c r="G179" s="134"/>
      <c r="H179" s="134"/>
      <c r="I179" s="134"/>
      <c r="J179" s="134"/>
      <c r="K179" s="134"/>
      <c r="L179" s="134"/>
      <c r="M179" s="134"/>
      <c r="N179" s="134"/>
      <c r="O179" s="134"/>
      <c r="P179" s="236">
        <v>45964</v>
      </c>
      <c r="Q179" s="236">
        <v>46066</v>
      </c>
      <c r="R179" s="134"/>
      <c r="S179" s="135">
        <v>75</v>
      </c>
      <c r="T179" s="135">
        <v>0</v>
      </c>
      <c r="U179" s="135">
        <v>75</v>
      </c>
      <c r="V179" s="135">
        <v>0</v>
      </c>
      <c r="W179" s="236"/>
      <c r="X179" s="236"/>
      <c r="Y179" s="136"/>
      <c r="Z179" s="137">
        <v>0</v>
      </c>
      <c r="AA179" s="135"/>
      <c r="AB179" s="134"/>
      <c r="AC179" s="138"/>
      <c r="AD179" s="159"/>
      <c r="AE179" s="242">
        <v>0</v>
      </c>
      <c r="AF179" s="165"/>
      <c r="AG179" s="166"/>
      <c r="AH179" s="166"/>
      <c r="AI179" s="166"/>
      <c r="AJ179" s="166"/>
      <c r="AK179" s="166"/>
      <c r="AL179" s="166"/>
      <c r="AM179" s="166"/>
      <c r="AN179" s="166"/>
      <c r="AO179" s="166"/>
      <c r="AP179" s="166"/>
      <c r="AQ179" s="166"/>
      <c r="AR179" s="166"/>
      <c r="AS179" s="166"/>
      <c r="AT179" s="166"/>
      <c r="AU179" s="166"/>
      <c r="AV179" s="166"/>
      <c r="AW179" s="166"/>
      <c r="AX179" s="166"/>
      <c r="AY179" s="166"/>
      <c r="AZ179" s="166"/>
      <c r="BA179" s="166"/>
      <c r="BB179" s="166"/>
      <c r="BC179" s="166"/>
      <c r="BD179" s="166"/>
      <c r="BE179" s="166"/>
      <c r="BF179" s="166"/>
      <c r="BG179" s="166"/>
      <c r="BH179" s="166"/>
      <c r="BI179" s="166"/>
      <c r="BJ179" s="166"/>
      <c r="BK179" s="166"/>
      <c r="BL179" s="166"/>
      <c r="BM179" s="166"/>
      <c r="BN179" s="166"/>
      <c r="BO179" s="166"/>
      <c r="BP179" s="166"/>
      <c r="BQ179" s="166"/>
      <c r="BR179" s="166"/>
      <c r="BS179" s="166"/>
      <c r="BT179" s="166"/>
      <c r="BU179" s="166"/>
      <c r="BV179" s="166"/>
      <c r="BW179" s="166"/>
      <c r="BX179" s="166"/>
      <c r="BY179" s="166"/>
      <c r="BZ179" s="166"/>
      <c r="CA179" s="166"/>
      <c r="CB179" s="166"/>
      <c r="CC179" s="166"/>
      <c r="CD179" s="166"/>
      <c r="CE179" s="166"/>
      <c r="CF179" s="166"/>
      <c r="CG179" s="166"/>
    </row>
    <row r="180" spans="1:85" ht="12" customHeight="1">
      <c r="A180" s="133"/>
      <c r="B180" s="133"/>
      <c r="C180" s="133">
        <v>2</v>
      </c>
      <c r="D180" s="160"/>
      <c r="E180" s="134"/>
      <c r="F180" s="134" t="s">
        <v>1711</v>
      </c>
      <c r="G180" s="134"/>
      <c r="H180" s="134"/>
      <c r="I180" s="134"/>
      <c r="J180" s="134"/>
      <c r="K180" s="134"/>
      <c r="L180" s="134"/>
      <c r="M180" s="134"/>
      <c r="N180" s="134"/>
      <c r="O180" s="134"/>
      <c r="P180" s="236">
        <v>45964</v>
      </c>
      <c r="Q180" s="236">
        <v>46017</v>
      </c>
      <c r="R180" s="134"/>
      <c r="S180" s="135">
        <v>40</v>
      </c>
      <c r="T180" s="135">
        <v>0</v>
      </c>
      <c r="U180" s="135">
        <v>40</v>
      </c>
      <c r="V180" s="135">
        <v>0</v>
      </c>
      <c r="W180" s="236"/>
      <c r="X180" s="236"/>
      <c r="Y180" s="136"/>
      <c r="Z180" s="137">
        <v>0</v>
      </c>
      <c r="AA180" s="135">
        <v>0.3</v>
      </c>
      <c r="AB180" s="134"/>
      <c r="AC180" s="138"/>
      <c r="AD180" s="159"/>
      <c r="AE180" s="241">
        <v>0</v>
      </c>
      <c r="AF180" s="165"/>
      <c r="AG180" s="166"/>
      <c r="AH180" s="166"/>
      <c r="AI180" s="166"/>
      <c r="AJ180" s="166"/>
      <c r="AK180" s="166"/>
      <c r="AL180" s="166"/>
      <c r="AM180" s="166"/>
      <c r="AN180" s="166"/>
      <c r="AO180" s="166"/>
      <c r="AP180" s="166"/>
      <c r="AQ180" s="166"/>
      <c r="AR180" s="166"/>
      <c r="AS180" s="166"/>
      <c r="AT180" s="166"/>
      <c r="AU180" s="166"/>
      <c r="AV180" s="166"/>
      <c r="AW180" s="166"/>
      <c r="AX180" s="166"/>
      <c r="AY180" s="166"/>
      <c r="AZ180" s="166"/>
      <c r="BA180" s="166"/>
      <c r="BB180" s="166"/>
      <c r="BC180" s="166"/>
      <c r="BD180" s="166"/>
      <c r="BE180" s="166"/>
      <c r="BF180" s="166"/>
      <c r="BG180" s="166"/>
      <c r="BH180" s="166"/>
      <c r="BI180" s="166"/>
      <c r="BJ180" s="166"/>
      <c r="BK180" s="166"/>
      <c r="BL180" s="166"/>
      <c r="BM180" s="166"/>
      <c r="BN180" s="166"/>
      <c r="BO180" s="166"/>
      <c r="BP180" s="166"/>
      <c r="BQ180" s="166"/>
      <c r="BR180" s="166"/>
      <c r="BS180" s="166"/>
      <c r="BT180" s="166"/>
      <c r="BU180" s="166"/>
      <c r="BV180" s="166"/>
      <c r="BW180" s="166"/>
      <c r="BX180" s="166"/>
      <c r="BY180" s="166"/>
      <c r="BZ180" s="166"/>
      <c r="CA180" s="166"/>
      <c r="CB180" s="166"/>
      <c r="CC180" s="166"/>
      <c r="CD180" s="166"/>
      <c r="CE180" s="166"/>
      <c r="CF180" s="166"/>
      <c r="CG180" s="166"/>
    </row>
    <row r="181" spans="1:85" ht="12" customHeight="1">
      <c r="A181" s="133"/>
      <c r="B181" s="133"/>
      <c r="C181" s="133">
        <v>2</v>
      </c>
      <c r="D181" s="160"/>
      <c r="E181" s="134"/>
      <c r="F181" s="134" t="s">
        <v>1712</v>
      </c>
      <c r="G181" s="134"/>
      <c r="H181" s="134"/>
      <c r="I181" s="134"/>
      <c r="J181" s="134"/>
      <c r="K181" s="134"/>
      <c r="L181" s="134"/>
      <c r="M181" s="134"/>
      <c r="N181" s="134"/>
      <c r="O181" s="134"/>
      <c r="P181" s="236">
        <v>46006</v>
      </c>
      <c r="Q181" s="236">
        <v>46022</v>
      </c>
      <c r="R181" s="134"/>
      <c r="S181" s="135">
        <v>13</v>
      </c>
      <c r="T181" s="135">
        <v>0</v>
      </c>
      <c r="U181" s="135">
        <v>13</v>
      </c>
      <c r="V181" s="135">
        <v>0</v>
      </c>
      <c r="W181" s="236"/>
      <c r="X181" s="236"/>
      <c r="Y181" s="136"/>
      <c r="Z181" s="137">
        <v>0</v>
      </c>
      <c r="AA181" s="135">
        <v>0.1</v>
      </c>
      <c r="AB181" s="134"/>
      <c r="AC181" s="138"/>
      <c r="AD181" s="159"/>
      <c r="AE181" s="241">
        <v>0</v>
      </c>
      <c r="AF181" s="165"/>
      <c r="AG181" s="166"/>
      <c r="AH181" s="166"/>
      <c r="AI181" s="166"/>
      <c r="AJ181" s="166"/>
      <c r="AK181" s="166"/>
      <c r="AL181" s="166"/>
      <c r="AM181" s="166"/>
      <c r="AN181" s="166"/>
      <c r="AO181" s="166"/>
      <c r="AP181" s="166"/>
      <c r="AQ181" s="166"/>
      <c r="AR181" s="166"/>
      <c r="AS181" s="166"/>
      <c r="AT181" s="166"/>
      <c r="AU181" s="166"/>
      <c r="AV181" s="166"/>
      <c r="AW181" s="166"/>
      <c r="AX181" s="166"/>
      <c r="AY181" s="166"/>
      <c r="AZ181" s="166"/>
      <c r="BA181" s="166"/>
      <c r="BB181" s="166"/>
      <c r="BC181" s="166"/>
      <c r="BD181" s="166"/>
      <c r="BE181" s="166"/>
      <c r="BF181" s="166"/>
      <c r="BG181" s="166"/>
      <c r="BH181" s="166"/>
      <c r="BI181" s="166"/>
      <c r="BJ181" s="166"/>
      <c r="BK181" s="166"/>
      <c r="BL181" s="166"/>
      <c r="BM181" s="166"/>
      <c r="BN181" s="166"/>
      <c r="BO181" s="166"/>
      <c r="BP181" s="166"/>
      <c r="BQ181" s="166"/>
      <c r="BR181" s="166"/>
      <c r="BS181" s="166"/>
      <c r="BT181" s="166"/>
      <c r="BU181" s="166"/>
      <c r="BV181" s="166"/>
      <c r="BW181" s="166"/>
      <c r="BX181" s="166"/>
      <c r="BY181" s="166"/>
      <c r="BZ181" s="166"/>
      <c r="CA181" s="166"/>
      <c r="CB181" s="166"/>
      <c r="CC181" s="166"/>
      <c r="CD181" s="166"/>
      <c r="CE181" s="166"/>
      <c r="CF181" s="166"/>
      <c r="CG181" s="166"/>
    </row>
    <row r="182" spans="1:85" ht="12" customHeight="1">
      <c r="A182" s="133"/>
      <c r="B182" s="133"/>
      <c r="C182" s="133">
        <v>2</v>
      </c>
      <c r="D182" s="160"/>
      <c r="E182" s="134"/>
      <c r="F182" s="134" t="s">
        <v>1713</v>
      </c>
      <c r="G182" s="134"/>
      <c r="H182" s="134"/>
      <c r="I182" s="134"/>
      <c r="J182" s="134"/>
      <c r="K182" s="134"/>
      <c r="L182" s="134"/>
      <c r="M182" s="134"/>
      <c r="N182" s="134"/>
      <c r="O182" s="134"/>
      <c r="P182" s="236">
        <v>46039</v>
      </c>
      <c r="Q182" s="236">
        <v>46066</v>
      </c>
      <c r="R182" s="134"/>
      <c r="S182" s="135">
        <v>20</v>
      </c>
      <c r="T182" s="135">
        <v>0</v>
      </c>
      <c r="U182" s="135">
        <v>20</v>
      </c>
      <c r="V182" s="135">
        <v>0</v>
      </c>
      <c r="W182" s="236"/>
      <c r="X182" s="236"/>
      <c r="Y182" s="136"/>
      <c r="Z182" s="137">
        <v>0</v>
      </c>
      <c r="AA182" s="135">
        <v>0.3</v>
      </c>
      <c r="AB182" s="134"/>
      <c r="AC182" s="138"/>
      <c r="AD182" s="159"/>
      <c r="AE182" s="241">
        <v>0</v>
      </c>
      <c r="AF182" s="165"/>
      <c r="AG182" s="166"/>
      <c r="AH182" s="166"/>
      <c r="AI182" s="166"/>
      <c r="AJ182" s="166"/>
      <c r="AK182" s="166"/>
      <c r="AL182" s="166"/>
      <c r="AM182" s="166"/>
      <c r="AN182" s="166"/>
      <c r="AO182" s="166"/>
      <c r="AP182" s="166"/>
      <c r="AQ182" s="166"/>
      <c r="AR182" s="166"/>
      <c r="AS182" s="166"/>
      <c r="AT182" s="166"/>
      <c r="AU182" s="166"/>
      <c r="AV182" s="166"/>
      <c r="AW182" s="166"/>
      <c r="AX182" s="166"/>
      <c r="AY182" s="166"/>
      <c r="AZ182" s="166"/>
      <c r="BA182" s="166"/>
      <c r="BB182" s="166"/>
      <c r="BC182" s="166"/>
      <c r="BD182" s="166"/>
      <c r="BE182" s="166"/>
      <c r="BF182" s="166"/>
      <c r="BG182" s="166"/>
      <c r="BH182" s="166"/>
      <c r="BI182" s="166"/>
      <c r="BJ182" s="166"/>
      <c r="BK182" s="166"/>
      <c r="BL182" s="166"/>
      <c r="BM182" s="166"/>
      <c r="BN182" s="166"/>
      <c r="BO182" s="166"/>
      <c r="BP182" s="166"/>
      <c r="BQ182" s="166"/>
      <c r="BR182" s="166"/>
      <c r="BS182" s="166"/>
      <c r="BT182" s="166"/>
      <c r="BU182" s="166"/>
      <c r="BV182" s="166"/>
      <c r="BW182" s="166"/>
      <c r="BX182" s="166"/>
      <c r="BY182" s="166"/>
      <c r="BZ182" s="166"/>
      <c r="CA182" s="166"/>
      <c r="CB182" s="166"/>
      <c r="CC182" s="166"/>
      <c r="CD182" s="166"/>
      <c r="CE182" s="166"/>
      <c r="CF182" s="166"/>
      <c r="CG182" s="166"/>
    </row>
    <row r="183" spans="1:85" ht="12" customHeight="1">
      <c r="A183" s="150"/>
      <c r="B183" s="150"/>
      <c r="C183" s="150"/>
      <c r="D183" s="151"/>
      <c r="E183" s="152"/>
      <c r="F183" s="152"/>
      <c r="G183" s="152"/>
      <c r="H183" s="152"/>
      <c r="I183" s="152"/>
      <c r="J183" s="152"/>
      <c r="K183" s="152"/>
      <c r="L183" s="152"/>
      <c r="M183" s="152"/>
      <c r="N183" s="152"/>
      <c r="O183" s="152"/>
      <c r="P183" s="237"/>
      <c r="Q183" s="237"/>
      <c r="R183" s="152"/>
      <c r="S183" s="153"/>
      <c r="T183" s="153"/>
      <c r="U183" s="153"/>
      <c r="V183" s="153"/>
      <c r="W183" s="237"/>
      <c r="X183" s="237"/>
      <c r="Y183" s="154"/>
      <c r="Z183" s="155"/>
      <c r="AA183" s="153"/>
      <c r="AB183" s="152"/>
      <c r="AC183" s="156"/>
      <c r="AD183" s="157"/>
      <c r="AE183" s="158"/>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row>
  </sheetData>
  <sheetProtection formatCells="0" formatColumns="0" formatRows="0" insertColumns="0" insertRows="0" insertHyperlinks="0" deleteColumns="0" deleteRows="0" sort="0" autoFilter="0" pivotTables="0"/>
  <dataConsolidate/>
  <mergeCells count="51">
    <mergeCell ref="AF3:AI3"/>
    <mergeCell ref="AF2:AI2"/>
    <mergeCell ref="AJ3:AM3"/>
    <mergeCell ref="AJ2:AM2"/>
    <mergeCell ref="AN3:AQ3"/>
    <mergeCell ref="AN2:AQ2"/>
    <mergeCell ref="AR3:AU3"/>
    <mergeCell ref="AR2:AU2"/>
    <mergeCell ref="AV3:AY3"/>
    <mergeCell ref="AV2:AY2"/>
    <mergeCell ref="AZ3:BC3"/>
    <mergeCell ref="AZ2:BC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BD3:BG3"/>
    <mergeCell ref="BH3:BK3"/>
    <mergeCell ref="BL3:BO3"/>
    <mergeCell ref="BP3:BS3"/>
    <mergeCell ref="BT3:BW3"/>
    <mergeCell ref="BX2:CA2"/>
    <mergeCell ref="CB2:CE2"/>
    <mergeCell ref="CF2:CI2"/>
    <mergeCell ref="BX3:CA3"/>
    <mergeCell ref="CB3:CE3"/>
    <mergeCell ref="CF3:CI3"/>
    <mergeCell ref="BD2:BG2"/>
    <mergeCell ref="BH2:BK2"/>
    <mergeCell ref="BL2:BO2"/>
    <mergeCell ref="BP2:BS2"/>
    <mergeCell ref="BT2:BW2"/>
  </mergeCells>
  <phoneticPr fontId="2" type="noConversion"/>
  <conditionalFormatting sqref="D5:AD18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25"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23" sqref="J23"/>
    </sheetView>
  </sheetViews>
  <sheetFormatPr defaultRowHeight="17.399999999999999"/>
  <sheetData/>
  <phoneticPr fontId="2"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1749</v>
      </c>
      <c r="B1" s="2"/>
      <c r="C1" s="2"/>
      <c r="D1" s="2"/>
      <c r="E1" s="2"/>
      <c r="F1" s="2"/>
      <c r="G1" s="2"/>
      <c r="H1" s="2"/>
      <c r="I1" s="2"/>
      <c r="J1" s="2"/>
      <c r="K1" s="2"/>
      <c r="L1" s="289"/>
      <c r="M1" s="290"/>
      <c r="N1" s="290"/>
      <c r="O1" s="3"/>
      <c r="P1" s="3"/>
      <c r="Q1" s="3"/>
    </row>
    <row r="2" spans="1:17" s="7" customFormat="1" ht="13.8">
      <c r="A2" s="5" t="s">
        <v>1432</v>
      </c>
      <c r="B2" s="6"/>
    </row>
    <row r="3" spans="1:17" s="7" customFormat="1" ht="13.8">
      <c r="A3" s="5" t="s">
        <v>1433</v>
      </c>
      <c r="B3" s="6"/>
    </row>
    <row r="4" spans="1:17" s="7" customFormat="1" ht="13.8">
      <c r="A4" s="291"/>
      <c r="B4" s="291"/>
      <c r="C4" s="8"/>
      <c r="D4" s="9"/>
      <c r="E4" s="9"/>
      <c r="F4" s="9"/>
    </row>
    <row r="5" spans="1:17" s="15" customFormat="1" ht="13.8">
      <c r="A5" s="10"/>
      <c r="B5" s="11"/>
      <c r="C5" s="12"/>
      <c r="D5" s="13"/>
      <c r="E5" s="14"/>
      <c r="F5" s="14"/>
      <c r="G5" s="14"/>
    </row>
    <row r="6" spans="1:17" s="15" customFormat="1" ht="13.8">
      <c r="A6" s="16" t="s">
        <v>1434</v>
      </c>
      <c r="B6" s="17">
        <v>0</v>
      </c>
      <c r="C6" s="15" t="s">
        <v>0</v>
      </c>
      <c r="D6" s="288" t="s">
        <v>1435</v>
      </c>
      <c r="E6" s="288"/>
      <c r="F6" s="288"/>
      <c r="G6" s="288"/>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1436</v>
      </c>
      <c r="B9" s="17">
        <v>0</v>
      </c>
      <c r="C9" s="15" t="s">
        <v>0</v>
      </c>
      <c r="D9" s="287" t="s">
        <v>1437</v>
      </c>
      <c r="E9" s="287"/>
      <c r="F9" s="287"/>
      <c r="G9" s="287"/>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1761</v>
      </c>
      <c r="B12" s="17">
        <v>0</v>
      </c>
      <c r="C12" s="15" t="s">
        <v>0</v>
      </c>
      <c r="D12" s="292" t="s">
        <v>1762</v>
      </c>
      <c r="E12" s="287"/>
      <c r="F12" s="287"/>
      <c r="G12" s="287"/>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1438</v>
      </c>
      <c r="B15" s="17">
        <v>0</v>
      </c>
      <c r="C15" s="15" t="s">
        <v>0</v>
      </c>
      <c r="D15" s="287" t="s">
        <v>1439</v>
      </c>
      <c r="E15" s="287"/>
      <c r="F15" s="287"/>
      <c r="G15" s="287"/>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1440</v>
      </c>
      <c r="B18" s="39">
        <v>0</v>
      </c>
      <c r="D18" s="287" t="s">
        <v>1441</v>
      </c>
      <c r="E18" s="287"/>
      <c r="F18" s="287"/>
      <c r="G18" s="287"/>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1442</v>
      </c>
      <c r="B21" s="39">
        <v>0</v>
      </c>
      <c r="D21" s="287" t="s">
        <v>1443</v>
      </c>
      <c r="E21" s="287"/>
      <c r="F21" s="287"/>
      <c r="G21" s="287"/>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1444</v>
      </c>
      <c r="B24" s="49">
        <f>ACTUAL_RATE-PLANNED_RATE</f>
        <v>0</v>
      </c>
      <c r="D24" s="288" t="s">
        <v>1445</v>
      </c>
      <c r="E24" s="288"/>
      <c r="F24" s="288"/>
      <c r="G24" s="288"/>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198"/>
    <col min="7" max="26" width="9.09765625" style="73"/>
    <col min="27" max="27" width="0" style="73" hidden="1" customWidth="1"/>
    <col min="28" max="16384" width="9.09765625" style="73"/>
  </cols>
  <sheetData>
    <row r="1" spans="2:15" ht="36.9" customHeight="1">
      <c r="B1" s="1" t="s">
        <v>1563</v>
      </c>
    </row>
    <row r="2" spans="2:15">
      <c r="B2" s="73" t="s">
        <v>1564</v>
      </c>
    </row>
    <row r="3" spans="2:15">
      <c r="B3" s="73" t="s">
        <v>1565</v>
      </c>
    </row>
    <row r="4" spans="2:15">
      <c r="B4" s="200">
        <v>20</v>
      </c>
      <c r="C4" s="73" t="s">
        <v>1566</v>
      </c>
    </row>
    <row r="6" spans="2:15" ht="28.8">
      <c r="B6" s="62" t="s">
        <v>1446</v>
      </c>
      <c r="C6" s="72" t="s">
        <v>1447</v>
      </c>
      <c r="D6" s="72" t="s">
        <v>1</v>
      </c>
      <c r="E6" s="72" t="s">
        <v>2</v>
      </c>
      <c r="F6" s="293" t="s">
        <v>1567</v>
      </c>
      <c r="G6" s="294"/>
      <c r="H6" s="294"/>
      <c r="I6" s="294"/>
      <c r="J6" s="294"/>
      <c r="K6" s="294"/>
      <c r="L6" s="294"/>
      <c r="M6" s="294"/>
      <c r="N6" s="294"/>
      <c r="O6" s="294"/>
    </row>
    <row r="7" spans="2:15">
      <c r="B7" s="193">
        <v>44701</v>
      </c>
      <c r="C7" s="193">
        <v>44702</v>
      </c>
      <c r="D7" s="194">
        <v>2</v>
      </c>
      <c r="E7" s="202">
        <f>D7/$B$4</f>
        <v>0.1</v>
      </c>
      <c r="F7" s="203" t="str">
        <f t="shared" ref="F7:F28" si="0">REPT("|",IF(D7&gt;0,IF(D7/1&lt;1,1,D7/1)))</f>
        <v>||</v>
      </c>
      <c r="G7" s="194"/>
      <c r="H7" s="194"/>
      <c r="I7" s="194"/>
      <c r="J7" s="194"/>
      <c r="K7" s="194"/>
      <c r="L7" s="194"/>
      <c r="M7" s="194"/>
      <c r="N7" s="194"/>
      <c r="O7" s="194"/>
    </row>
    <row r="8" spans="2:15">
      <c r="B8" s="195">
        <v>44703</v>
      </c>
      <c r="C8" s="195">
        <v>44709</v>
      </c>
      <c r="D8" s="196">
        <v>8</v>
      </c>
      <c r="E8" s="204">
        <f t="shared" ref="E8:E28" si="1">D8/$B$4</f>
        <v>0.4</v>
      </c>
      <c r="F8" s="205" t="str">
        <f t="shared" si="0"/>
        <v>||||||||</v>
      </c>
      <c r="G8" s="196"/>
      <c r="H8" s="196"/>
      <c r="I8" s="196"/>
      <c r="J8" s="196"/>
      <c r="K8" s="196"/>
      <c r="L8" s="196"/>
      <c r="M8" s="196"/>
      <c r="N8" s="196"/>
      <c r="O8" s="196"/>
    </row>
    <row r="9" spans="2:15">
      <c r="B9" s="195">
        <v>44710</v>
      </c>
      <c r="C9" s="195">
        <v>44716</v>
      </c>
      <c r="D9" s="196">
        <v>15.8</v>
      </c>
      <c r="E9" s="204">
        <f t="shared" si="1"/>
        <v>0.79</v>
      </c>
      <c r="F9" s="205" t="str">
        <f t="shared" si="0"/>
        <v>|||||||||||||||</v>
      </c>
      <c r="G9" s="196"/>
      <c r="H9" s="196"/>
      <c r="I9" s="196"/>
      <c r="J9" s="196"/>
      <c r="K9" s="196"/>
      <c r="L9" s="196"/>
      <c r="M9" s="196"/>
      <c r="N9" s="196"/>
      <c r="O9" s="196"/>
    </row>
    <row r="10" spans="2:15">
      <c r="B10" s="195">
        <v>44717</v>
      </c>
      <c r="C10" s="195">
        <v>44723</v>
      </c>
      <c r="D10" s="196">
        <v>14.8</v>
      </c>
      <c r="E10" s="204">
        <f t="shared" si="1"/>
        <v>0.74</v>
      </c>
      <c r="F10" s="205" t="str">
        <f t="shared" si="0"/>
        <v>||||||||||||||</v>
      </c>
      <c r="G10" s="196"/>
      <c r="H10" s="196"/>
      <c r="I10" s="196"/>
      <c r="J10" s="196"/>
      <c r="K10" s="196"/>
      <c r="L10" s="196"/>
      <c r="M10" s="196"/>
      <c r="N10" s="196"/>
      <c r="O10" s="196"/>
    </row>
    <row r="11" spans="2:15">
      <c r="B11" s="195">
        <v>44724</v>
      </c>
      <c r="C11" s="195">
        <v>44730</v>
      </c>
      <c r="D11" s="196">
        <v>5.8</v>
      </c>
      <c r="E11" s="204">
        <f t="shared" si="1"/>
        <v>0.28999999999999998</v>
      </c>
      <c r="F11" s="205" t="str">
        <f t="shared" si="0"/>
        <v>|||||</v>
      </c>
      <c r="G11" s="196"/>
      <c r="H11" s="196"/>
      <c r="I11" s="196"/>
      <c r="J11" s="196"/>
      <c r="K11" s="196"/>
      <c r="L11" s="196"/>
      <c r="M11" s="196"/>
      <c r="N11" s="196"/>
      <c r="O11" s="196"/>
    </row>
    <row r="12" spans="2:15">
      <c r="B12" s="195">
        <v>44731</v>
      </c>
      <c r="C12" s="195">
        <v>44737</v>
      </c>
      <c r="D12" s="196">
        <v>10</v>
      </c>
      <c r="E12" s="204">
        <f t="shared" si="1"/>
        <v>0.5</v>
      </c>
      <c r="F12" s="205" t="str">
        <f t="shared" si="0"/>
        <v>||||||||||</v>
      </c>
      <c r="G12" s="196"/>
      <c r="H12" s="196"/>
      <c r="I12" s="196"/>
      <c r="J12" s="196"/>
      <c r="K12" s="196"/>
      <c r="L12" s="196"/>
      <c r="M12" s="196"/>
      <c r="N12" s="196"/>
      <c r="O12" s="196"/>
    </row>
    <row r="13" spans="2:15">
      <c r="B13" s="195">
        <v>44738</v>
      </c>
      <c r="C13" s="195">
        <v>44744</v>
      </c>
      <c r="D13" s="196">
        <v>20</v>
      </c>
      <c r="E13" s="204">
        <f t="shared" si="1"/>
        <v>1</v>
      </c>
      <c r="F13" s="205" t="str">
        <f t="shared" si="0"/>
        <v>||||||||||||||||||||</v>
      </c>
      <c r="G13" s="196"/>
      <c r="H13" s="196"/>
      <c r="I13" s="196"/>
      <c r="J13" s="196"/>
      <c r="K13" s="196"/>
      <c r="L13" s="196"/>
      <c r="M13" s="196"/>
      <c r="N13" s="196"/>
      <c r="O13" s="196"/>
    </row>
    <row r="14" spans="2:15">
      <c r="B14" s="195">
        <v>44745</v>
      </c>
      <c r="C14" s="195">
        <v>44751</v>
      </c>
      <c r="D14" s="196">
        <v>10</v>
      </c>
      <c r="E14" s="204">
        <f t="shared" si="1"/>
        <v>0.5</v>
      </c>
      <c r="F14" s="205" t="str">
        <f t="shared" si="0"/>
        <v>||||||||||</v>
      </c>
      <c r="G14" s="196"/>
      <c r="H14" s="196"/>
      <c r="I14" s="196"/>
      <c r="J14" s="196"/>
      <c r="K14" s="196"/>
      <c r="L14" s="196"/>
      <c r="M14" s="196"/>
      <c r="N14" s="196"/>
      <c r="O14" s="196"/>
    </row>
    <row r="15" spans="2:15">
      <c r="B15" s="195">
        <v>44752</v>
      </c>
      <c r="C15" s="195">
        <v>44758</v>
      </c>
      <c r="D15" s="196">
        <v>5</v>
      </c>
      <c r="E15" s="204">
        <f t="shared" si="1"/>
        <v>0.25</v>
      </c>
      <c r="F15" s="205" t="str">
        <f t="shared" si="0"/>
        <v>|||||</v>
      </c>
      <c r="G15" s="196"/>
      <c r="H15" s="196"/>
      <c r="I15" s="196"/>
      <c r="J15" s="196"/>
      <c r="K15" s="196"/>
      <c r="L15" s="196"/>
      <c r="M15" s="196"/>
      <c r="N15" s="196"/>
      <c r="O15" s="196"/>
    </row>
    <row r="16" spans="2:15">
      <c r="B16" s="195">
        <v>44759</v>
      </c>
      <c r="C16" s="195">
        <v>44765</v>
      </c>
      <c r="D16" s="196">
        <v>25</v>
      </c>
      <c r="E16" s="204">
        <f t="shared" si="1"/>
        <v>1.25</v>
      </c>
      <c r="F16" s="205" t="str">
        <f t="shared" si="0"/>
        <v>|||||||||||||||||||||||||</v>
      </c>
      <c r="G16" s="196"/>
      <c r="H16" s="196"/>
      <c r="I16" s="196"/>
      <c r="J16" s="196"/>
      <c r="K16" s="196"/>
      <c r="L16" s="196"/>
      <c r="M16" s="196"/>
      <c r="N16" s="196"/>
      <c r="O16" s="196"/>
    </row>
    <row r="17" spans="2:15">
      <c r="B17" s="195">
        <v>44766</v>
      </c>
      <c r="C17" s="195">
        <v>44772</v>
      </c>
      <c r="D17" s="196">
        <v>15</v>
      </c>
      <c r="E17" s="204">
        <f t="shared" si="1"/>
        <v>0.75</v>
      </c>
      <c r="F17" s="205" t="str">
        <f t="shared" si="0"/>
        <v>|||||||||||||||</v>
      </c>
      <c r="G17" s="196"/>
      <c r="H17" s="196"/>
      <c r="I17" s="196"/>
      <c r="J17" s="196"/>
      <c r="K17" s="196"/>
      <c r="L17" s="196"/>
      <c r="M17" s="196"/>
      <c r="N17" s="196"/>
      <c r="O17" s="196"/>
    </row>
    <row r="18" spans="2:15">
      <c r="B18" s="195">
        <v>44773</v>
      </c>
      <c r="C18" s="195">
        <v>44779</v>
      </c>
      <c r="D18" s="196">
        <v>20</v>
      </c>
      <c r="E18" s="204">
        <f t="shared" si="1"/>
        <v>1</v>
      </c>
      <c r="F18" s="205" t="str">
        <f t="shared" si="0"/>
        <v>||||||||||||||||||||</v>
      </c>
      <c r="G18" s="196"/>
      <c r="H18" s="196"/>
      <c r="I18" s="196"/>
      <c r="J18" s="196"/>
      <c r="K18" s="196"/>
      <c r="L18" s="196"/>
      <c r="M18" s="196"/>
      <c r="N18" s="196"/>
      <c r="O18" s="196"/>
    </row>
    <row r="19" spans="2:15">
      <c r="B19" s="195">
        <v>44780</v>
      </c>
      <c r="C19" s="195">
        <v>44786</v>
      </c>
      <c r="D19" s="196">
        <v>20</v>
      </c>
      <c r="E19" s="204">
        <f t="shared" si="1"/>
        <v>1</v>
      </c>
      <c r="F19" s="205" t="str">
        <f t="shared" si="0"/>
        <v>||||||||||||||||||||</v>
      </c>
      <c r="G19" s="196"/>
      <c r="H19" s="196"/>
      <c r="I19" s="196"/>
      <c r="J19" s="196"/>
      <c r="K19" s="196"/>
      <c r="L19" s="196"/>
      <c r="M19" s="196"/>
      <c r="N19" s="196"/>
      <c r="O19" s="196"/>
    </row>
    <row r="20" spans="2:15">
      <c r="B20" s="195">
        <v>44787</v>
      </c>
      <c r="C20" s="195">
        <v>44793</v>
      </c>
      <c r="D20" s="196">
        <v>16</v>
      </c>
      <c r="E20" s="204">
        <f t="shared" si="1"/>
        <v>0.8</v>
      </c>
      <c r="F20" s="205" t="str">
        <f t="shared" si="0"/>
        <v>||||||||||||||||</v>
      </c>
      <c r="G20" s="196"/>
      <c r="H20" s="196"/>
      <c r="I20" s="196"/>
      <c r="J20" s="196"/>
      <c r="K20" s="196"/>
      <c r="L20" s="196"/>
      <c r="M20" s="196"/>
      <c r="N20" s="196"/>
      <c r="O20" s="196"/>
    </row>
    <row r="21" spans="2:15">
      <c r="B21" s="195">
        <v>44794</v>
      </c>
      <c r="C21" s="195">
        <v>44800</v>
      </c>
      <c r="D21" s="196">
        <v>21</v>
      </c>
      <c r="E21" s="204">
        <f t="shared" si="1"/>
        <v>1.05</v>
      </c>
      <c r="F21" s="205" t="str">
        <f t="shared" si="0"/>
        <v>|||||||||||||||||||||</v>
      </c>
      <c r="G21" s="196"/>
      <c r="H21" s="196"/>
      <c r="I21" s="196"/>
      <c r="J21" s="196"/>
      <c r="K21" s="196"/>
      <c r="L21" s="196"/>
      <c r="M21" s="196"/>
      <c r="N21" s="196"/>
      <c r="O21" s="196"/>
    </row>
    <row r="22" spans="2:15">
      <c r="B22" s="195">
        <v>44801</v>
      </c>
      <c r="C22" s="195">
        <v>44807</v>
      </c>
      <c r="D22" s="196">
        <v>26</v>
      </c>
      <c r="E22" s="204">
        <f t="shared" si="1"/>
        <v>1.3</v>
      </c>
      <c r="F22" s="205" t="str">
        <f t="shared" si="0"/>
        <v>||||||||||||||||||||||||||</v>
      </c>
      <c r="G22" s="196"/>
      <c r="H22" s="196"/>
      <c r="I22" s="196"/>
      <c r="J22" s="196"/>
      <c r="K22" s="196"/>
      <c r="L22" s="196"/>
      <c r="M22" s="196"/>
      <c r="N22" s="196"/>
      <c r="O22" s="196"/>
    </row>
    <row r="23" spans="2:15">
      <c r="B23" s="195">
        <v>44808</v>
      </c>
      <c r="C23" s="195">
        <v>44814</v>
      </c>
      <c r="D23" s="196">
        <v>17.8</v>
      </c>
      <c r="E23" s="204">
        <f t="shared" si="1"/>
        <v>0.89</v>
      </c>
      <c r="F23" s="205" t="str">
        <f t="shared" si="0"/>
        <v>|||||||||||||||||</v>
      </c>
      <c r="G23" s="196"/>
      <c r="H23" s="196"/>
      <c r="I23" s="196"/>
      <c r="J23" s="196"/>
      <c r="K23" s="196"/>
      <c r="L23" s="196"/>
      <c r="M23" s="196"/>
      <c r="N23" s="196"/>
      <c r="O23" s="196"/>
    </row>
    <row r="24" spans="2:15">
      <c r="B24" s="195">
        <v>44815</v>
      </c>
      <c r="C24" s="195">
        <v>44821</v>
      </c>
      <c r="D24" s="196">
        <v>13.6</v>
      </c>
      <c r="E24" s="204">
        <f t="shared" si="1"/>
        <v>0.67999999999999994</v>
      </c>
      <c r="F24" s="205" t="str">
        <f t="shared" si="0"/>
        <v>|||||||||||||</v>
      </c>
      <c r="G24" s="196"/>
      <c r="H24" s="196"/>
      <c r="I24" s="196"/>
      <c r="J24" s="196"/>
      <c r="K24" s="196"/>
      <c r="L24" s="196"/>
      <c r="M24" s="196"/>
      <c r="N24" s="196"/>
      <c r="O24" s="196"/>
    </row>
    <row r="25" spans="2:15">
      <c r="B25" s="195">
        <v>44822</v>
      </c>
      <c r="C25" s="195">
        <v>44828</v>
      </c>
      <c r="D25" s="196">
        <v>11</v>
      </c>
      <c r="E25" s="204">
        <f t="shared" si="1"/>
        <v>0.55000000000000004</v>
      </c>
      <c r="F25" s="205" t="str">
        <f t="shared" si="0"/>
        <v>|||||||||||</v>
      </c>
      <c r="G25" s="196"/>
      <c r="H25" s="196"/>
      <c r="I25" s="196"/>
      <c r="J25" s="196"/>
      <c r="K25" s="196"/>
      <c r="L25" s="196"/>
      <c r="M25" s="196"/>
      <c r="N25" s="196"/>
      <c r="O25" s="196"/>
    </row>
    <row r="26" spans="2:15">
      <c r="B26" s="195">
        <v>44829</v>
      </c>
      <c r="C26" s="195">
        <v>44835</v>
      </c>
      <c r="D26" s="196">
        <v>12</v>
      </c>
      <c r="E26" s="204">
        <f t="shared" si="1"/>
        <v>0.6</v>
      </c>
      <c r="F26" s="205" t="str">
        <f t="shared" si="0"/>
        <v>||||||||||||</v>
      </c>
      <c r="G26" s="196"/>
      <c r="H26" s="196"/>
      <c r="I26" s="196"/>
      <c r="J26" s="196"/>
      <c r="K26" s="196"/>
      <c r="L26" s="196"/>
      <c r="M26" s="196"/>
      <c r="N26" s="196"/>
      <c r="O26" s="196"/>
    </row>
    <row r="27" spans="2:15">
      <c r="B27" s="195">
        <v>44836</v>
      </c>
      <c r="C27" s="195">
        <v>44842</v>
      </c>
      <c r="D27" s="196">
        <v>4</v>
      </c>
      <c r="E27" s="204">
        <f t="shared" si="1"/>
        <v>0.2</v>
      </c>
      <c r="F27" s="205" t="str">
        <f t="shared" si="0"/>
        <v>||||</v>
      </c>
      <c r="G27" s="196"/>
      <c r="H27" s="196"/>
      <c r="I27" s="196"/>
      <c r="J27" s="196"/>
      <c r="K27" s="196"/>
      <c r="L27" s="196"/>
      <c r="M27" s="196"/>
      <c r="N27" s="196"/>
      <c r="O27" s="196"/>
    </row>
    <row r="28" spans="2:15">
      <c r="B28" s="195">
        <v>44850</v>
      </c>
      <c r="C28" s="195">
        <v>44856</v>
      </c>
      <c r="D28" s="196">
        <v>2</v>
      </c>
      <c r="E28" s="204">
        <f t="shared" si="1"/>
        <v>0.1</v>
      </c>
      <c r="F28" s="205" t="str">
        <f t="shared" si="0"/>
        <v>||</v>
      </c>
      <c r="G28" s="196"/>
      <c r="H28" s="196"/>
      <c r="I28" s="196"/>
      <c r="J28" s="196"/>
      <c r="K28" s="196"/>
      <c r="L28" s="196"/>
      <c r="M28" s="196"/>
      <c r="N28" s="196"/>
      <c r="O28" s="196"/>
    </row>
    <row r="29" spans="2:15">
      <c r="C29" s="73" t="s">
        <v>1369</v>
      </c>
      <c r="D29" s="73">
        <f>SUM(D7:D28)</f>
        <v>294.8</v>
      </c>
      <c r="E29" s="201">
        <f>D29/$B$4</f>
        <v>14.74</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1449</v>
      </c>
      <c r="B1" s="1"/>
      <c r="C1" s="1"/>
      <c r="D1" s="1"/>
      <c r="E1" s="1"/>
      <c r="F1" s="1"/>
      <c r="G1" s="1"/>
      <c r="H1" s="1"/>
    </row>
    <row r="2" spans="1:9" s="64" customFormat="1" ht="78.75" customHeight="1">
      <c r="A2" s="295" t="s">
        <v>1450</v>
      </c>
      <c r="B2" s="295"/>
      <c r="C2" s="295"/>
      <c r="D2" s="295"/>
      <c r="E2" s="295"/>
      <c r="F2" s="295"/>
      <c r="G2" s="295"/>
      <c r="H2" s="295"/>
    </row>
    <row r="3" spans="1:9" s="64" customFormat="1" ht="24.75" customHeight="1">
      <c r="A3" s="296" t="s">
        <v>1451</v>
      </c>
      <c r="B3" s="296"/>
      <c r="D3" s="296" t="s">
        <v>1452</v>
      </c>
      <c r="E3" s="296"/>
      <c r="G3" s="296" t="s">
        <v>1453</v>
      </c>
      <c r="H3" s="296"/>
    </row>
    <row r="4" spans="1:9" s="66" customFormat="1" ht="19.5" customHeight="1">
      <c r="A4" s="65" t="s">
        <v>1454</v>
      </c>
      <c r="B4" s="65" t="s">
        <v>1455</v>
      </c>
      <c r="D4" s="65" t="s">
        <v>1454</v>
      </c>
      <c r="E4" s="65" t="s">
        <v>1455</v>
      </c>
      <c r="G4" s="65" t="s">
        <v>1454</v>
      </c>
      <c r="H4" s="65" t="s">
        <v>1455</v>
      </c>
    </row>
    <row r="5" spans="1:9" s="76" customFormat="1" ht="17.399999999999999">
      <c r="A5" s="74" t="s">
        <v>1378</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1379</v>
      </c>
      <c r="B6" s="75">
        <v>44593</v>
      </c>
      <c r="C6" s="76" t="str">
        <f t="shared" si="0"/>
        <v>(화)</v>
      </c>
      <c r="D6" s="74"/>
      <c r="E6" s="75"/>
      <c r="F6" s="76" t="str">
        <f t="shared" si="1"/>
        <v/>
      </c>
      <c r="G6" s="74"/>
      <c r="H6" s="75"/>
      <c r="I6" s="76" t="str">
        <f t="shared" si="2"/>
        <v/>
      </c>
    </row>
    <row r="7" spans="1:9" s="76" customFormat="1" ht="17.399999999999999">
      <c r="A7" s="74" t="s">
        <v>1378</v>
      </c>
      <c r="B7" s="75">
        <v>44594</v>
      </c>
      <c r="C7" s="76" t="str">
        <f t="shared" si="0"/>
        <v>(수)</v>
      </c>
      <c r="D7" s="74"/>
      <c r="E7" s="75"/>
      <c r="F7" s="76" t="str">
        <f t="shared" si="1"/>
        <v/>
      </c>
      <c r="G7" s="74"/>
      <c r="H7" s="75"/>
      <c r="I7" s="76" t="str">
        <f t="shared" si="2"/>
        <v/>
      </c>
    </row>
    <row r="8" spans="1:9" s="76" customFormat="1" ht="17.399999999999999">
      <c r="A8" s="74" t="s">
        <v>1380</v>
      </c>
      <c r="B8" s="75">
        <v>44621</v>
      </c>
      <c r="C8" s="76" t="str">
        <f t="shared" si="0"/>
        <v>(화)</v>
      </c>
      <c r="D8" s="74"/>
      <c r="E8" s="75"/>
      <c r="F8" s="76" t="str">
        <f t="shared" si="1"/>
        <v/>
      </c>
      <c r="G8" s="74"/>
      <c r="H8" s="75"/>
      <c r="I8" s="76" t="str">
        <f t="shared" si="2"/>
        <v/>
      </c>
    </row>
    <row r="9" spans="1:9" s="76" customFormat="1" ht="17.399999999999999">
      <c r="A9" s="74" t="s">
        <v>1381</v>
      </c>
      <c r="B9" s="75">
        <v>44629</v>
      </c>
      <c r="C9" s="76" t="str">
        <f t="shared" si="0"/>
        <v>(수)</v>
      </c>
      <c r="D9" s="74"/>
      <c r="E9" s="75"/>
      <c r="F9" s="76" t="str">
        <f t="shared" si="1"/>
        <v/>
      </c>
      <c r="G9" s="74"/>
      <c r="H9" s="75"/>
      <c r="I9" s="76" t="str">
        <f t="shared" si="2"/>
        <v/>
      </c>
    </row>
    <row r="10" spans="1:9" s="76" customFormat="1" ht="17.399999999999999">
      <c r="A10" s="74" t="s">
        <v>1382</v>
      </c>
      <c r="B10" s="75">
        <v>44686</v>
      </c>
      <c r="C10" s="76" t="str">
        <f t="shared" si="0"/>
        <v>(목)</v>
      </c>
      <c r="D10" s="74"/>
      <c r="E10" s="75"/>
      <c r="F10" s="76" t="str">
        <f t="shared" si="1"/>
        <v/>
      </c>
      <c r="G10" s="74"/>
      <c r="H10" s="75"/>
      <c r="I10" s="76" t="str">
        <f t="shared" si="2"/>
        <v/>
      </c>
    </row>
    <row r="11" spans="1:9" s="76" customFormat="1" ht="17.399999999999999">
      <c r="A11" s="74" t="s">
        <v>1383</v>
      </c>
      <c r="B11" s="75">
        <v>44713</v>
      </c>
      <c r="C11" s="76" t="str">
        <f t="shared" si="0"/>
        <v>(수)</v>
      </c>
      <c r="D11" s="74"/>
      <c r="E11" s="75"/>
      <c r="F11" s="76" t="str">
        <f t="shared" si="1"/>
        <v/>
      </c>
      <c r="G11" s="74"/>
      <c r="H11" s="75"/>
      <c r="I11" s="76" t="str">
        <f t="shared" si="2"/>
        <v/>
      </c>
    </row>
    <row r="12" spans="1:9" s="76" customFormat="1" ht="17.399999999999999">
      <c r="A12" s="74" t="s">
        <v>1384</v>
      </c>
      <c r="B12" s="75">
        <v>44718</v>
      </c>
      <c r="C12" s="76" t="str">
        <f t="shared" si="0"/>
        <v>(월)</v>
      </c>
      <c r="D12" s="74"/>
      <c r="E12" s="75"/>
      <c r="F12" s="76" t="str">
        <f t="shared" si="1"/>
        <v/>
      </c>
      <c r="G12" s="74"/>
      <c r="H12" s="75"/>
      <c r="I12" s="76" t="str">
        <f t="shared" si="2"/>
        <v/>
      </c>
    </row>
    <row r="13" spans="1:9" s="76" customFormat="1" ht="17.399999999999999">
      <c r="A13" s="74" t="s">
        <v>1385</v>
      </c>
      <c r="B13" s="75">
        <v>44788</v>
      </c>
      <c r="C13" s="76" t="str">
        <f t="shared" si="0"/>
        <v>(월)</v>
      </c>
      <c r="D13" s="74"/>
      <c r="E13" s="75"/>
      <c r="F13" s="76" t="str">
        <f t="shared" si="1"/>
        <v/>
      </c>
      <c r="G13" s="74"/>
      <c r="H13" s="75"/>
      <c r="I13" s="76" t="str">
        <f t="shared" si="2"/>
        <v/>
      </c>
    </row>
    <row r="14" spans="1:9" s="76" customFormat="1" ht="17.399999999999999">
      <c r="A14" s="74" t="s">
        <v>1386</v>
      </c>
      <c r="B14" s="75">
        <v>44813</v>
      </c>
      <c r="C14" s="76" t="str">
        <f t="shared" si="0"/>
        <v>(금)</v>
      </c>
      <c r="D14" s="74"/>
      <c r="E14" s="75"/>
      <c r="F14" s="76" t="str">
        <f t="shared" si="1"/>
        <v/>
      </c>
      <c r="G14" s="74"/>
      <c r="H14" s="75"/>
      <c r="I14" s="76" t="str">
        <f t="shared" si="2"/>
        <v/>
      </c>
    </row>
    <row r="15" spans="1:9" s="76" customFormat="1" ht="17.399999999999999">
      <c r="A15" s="74" t="s">
        <v>1387</v>
      </c>
      <c r="B15" s="75">
        <v>44816</v>
      </c>
      <c r="C15" s="76" t="str">
        <f t="shared" si="0"/>
        <v>(월)</v>
      </c>
      <c r="D15" s="74"/>
      <c r="E15" s="75"/>
      <c r="F15" s="76" t="str">
        <f t="shared" si="1"/>
        <v/>
      </c>
      <c r="G15" s="74"/>
      <c r="H15" s="75"/>
      <c r="I15" s="76" t="str">
        <f t="shared" si="2"/>
        <v/>
      </c>
    </row>
    <row r="16" spans="1:9" s="76" customFormat="1" ht="17.399999999999999">
      <c r="A16" s="74" t="s">
        <v>1388</v>
      </c>
      <c r="B16" s="75">
        <v>44837</v>
      </c>
      <c r="C16" s="76" t="str">
        <f t="shared" si="0"/>
        <v>(월)</v>
      </c>
      <c r="D16" s="74"/>
      <c r="E16" s="75"/>
      <c r="F16" s="76" t="str">
        <f t="shared" si="1"/>
        <v/>
      </c>
      <c r="G16" s="74"/>
      <c r="H16" s="75"/>
      <c r="I16" s="76" t="str">
        <f t="shared" si="2"/>
        <v/>
      </c>
    </row>
    <row r="17" spans="1:10" s="76" customFormat="1" ht="17.399999999999999">
      <c r="A17" s="74" t="s">
        <v>1389</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1456</v>
      </c>
      <c r="D305" s="76" t="s">
        <v>1456</v>
      </c>
      <c r="G305" s="76" t="s">
        <v>1456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3" bestFit="1" customWidth="1"/>
    <col min="2" max="2" width="8.3984375" style="174" bestFit="1" customWidth="1"/>
    <col min="3" max="3" width="15.69921875" style="175" customWidth="1"/>
    <col min="4" max="4" width="47.09765625" style="176" customWidth="1"/>
    <col min="5" max="5" width="56.09765625" style="176" customWidth="1"/>
    <col min="6" max="6" width="57.3984375" style="173" customWidth="1"/>
    <col min="7" max="26" width="73.3984375" style="173"/>
    <col min="27" max="27" width="73.3984375" style="173" hidden="1" customWidth="1"/>
    <col min="28" max="29" width="73.3984375" style="173"/>
    <col min="30" max="30" width="0" style="173" hidden="1" customWidth="1"/>
    <col min="31" max="16384" width="73.3984375" style="173"/>
  </cols>
  <sheetData>
    <row r="1" spans="1:6" s="171" customFormat="1">
      <c r="A1" s="171" t="s">
        <v>423</v>
      </c>
      <c r="B1" s="171" t="s">
        <v>424</v>
      </c>
      <c r="C1" s="172" t="s">
        <v>425</v>
      </c>
      <c r="D1" s="172" t="s">
        <v>18</v>
      </c>
      <c r="E1" s="172" t="s">
        <v>19</v>
      </c>
      <c r="F1" s="171" t="s">
        <v>623</v>
      </c>
    </row>
    <row r="2" spans="1:6" ht="72">
      <c r="A2" s="173" t="s">
        <v>616</v>
      </c>
      <c r="B2" s="174">
        <v>1</v>
      </c>
      <c r="C2" s="175" t="s">
        <v>495</v>
      </c>
      <c r="D2" s="176" t="s">
        <v>426</v>
      </c>
      <c r="E2" s="176" t="s">
        <v>812</v>
      </c>
      <c r="F2" s="176" t="s">
        <v>812</v>
      </c>
    </row>
    <row r="3" spans="1:6" ht="84">
      <c r="A3" s="177">
        <v>650</v>
      </c>
      <c r="B3" s="174">
        <v>2</v>
      </c>
      <c r="C3" s="175" t="s">
        <v>495</v>
      </c>
      <c r="D3" s="176" t="s">
        <v>419</v>
      </c>
      <c r="E3" s="176" t="s">
        <v>813</v>
      </c>
      <c r="F3" s="176" t="s">
        <v>813</v>
      </c>
    </row>
    <row r="4" spans="1:6" ht="60">
      <c r="B4" s="174">
        <v>3</v>
      </c>
      <c r="C4" s="175" t="s">
        <v>495</v>
      </c>
      <c r="D4" s="176" t="s">
        <v>427</v>
      </c>
      <c r="E4" s="176" t="s">
        <v>814</v>
      </c>
      <c r="F4" s="176" t="s">
        <v>814</v>
      </c>
    </row>
    <row r="5" spans="1:6" ht="52.8">
      <c r="B5" s="174">
        <v>4</v>
      </c>
      <c r="C5" s="175" t="s">
        <v>495</v>
      </c>
      <c r="D5" s="176" t="s">
        <v>428</v>
      </c>
      <c r="E5" s="176" t="s">
        <v>815</v>
      </c>
      <c r="F5" s="176" t="s">
        <v>815</v>
      </c>
    </row>
    <row r="6" spans="1:6" ht="66">
      <c r="B6" s="174">
        <v>5</v>
      </c>
      <c r="C6" s="175" t="s">
        <v>495</v>
      </c>
      <c r="D6" s="176" t="s">
        <v>429</v>
      </c>
      <c r="E6" s="176" t="s">
        <v>816</v>
      </c>
      <c r="F6" s="176" t="s">
        <v>816</v>
      </c>
    </row>
    <row r="7" spans="1:6" ht="48">
      <c r="B7" s="174">
        <v>6</v>
      </c>
      <c r="C7" s="175" t="s">
        <v>495</v>
      </c>
      <c r="D7" s="176" t="s">
        <v>430</v>
      </c>
      <c r="E7" s="176" t="s">
        <v>817</v>
      </c>
      <c r="F7" s="176" t="s">
        <v>817</v>
      </c>
    </row>
    <row r="8" spans="1:6" ht="13.2">
      <c r="B8" s="174">
        <v>7</v>
      </c>
      <c r="C8" s="175" t="s">
        <v>495</v>
      </c>
      <c r="D8" s="176" t="s">
        <v>421</v>
      </c>
      <c r="E8" s="176" t="s">
        <v>818</v>
      </c>
      <c r="F8" s="176" t="s">
        <v>818</v>
      </c>
    </row>
    <row r="9" spans="1:6" ht="48">
      <c r="B9" s="174">
        <v>8</v>
      </c>
      <c r="C9" s="175" t="s">
        <v>586</v>
      </c>
      <c r="D9" s="176" t="s">
        <v>583</v>
      </c>
      <c r="E9" s="192" t="s">
        <v>1362</v>
      </c>
      <c r="F9" s="192" t="s">
        <v>1362</v>
      </c>
    </row>
    <row r="10" spans="1:6" ht="48">
      <c r="B10" s="174">
        <v>9</v>
      </c>
      <c r="C10" s="175" t="s">
        <v>586</v>
      </c>
      <c r="D10" s="176" t="s">
        <v>575</v>
      </c>
      <c r="E10" s="176" t="s">
        <v>819</v>
      </c>
      <c r="F10" s="176" t="s">
        <v>819</v>
      </c>
    </row>
    <row r="11" spans="1:6" ht="48">
      <c r="B11" s="174">
        <v>10</v>
      </c>
      <c r="C11" s="175" t="s">
        <v>586</v>
      </c>
      <c r="D11" s="176" t="s">
        <v>584</v>
      </c>
      <c r="E11" s="176" t="s">
        <v>820</v>
      </c>
      <c r="F11" s="176" t="s">
        <v>820</v>
      </c>
    </row>
    <row r="12" spans="1:6" ht="52.8">
      <c r="B12" s="174">
        <v>11</v>
      </c>
      <c r="C12" s="175" t="s">
        <v>586</v>
      </c>
      <c r="D12" s="176" t="s">
        <v>578</v>
      </c>
      <c r="E12" s="176" t="s">
        <v>821</v>
      </c>
      <c r="F12" s="176" t="s">
        <v>821</v>
      </c>
    </row>
    <row r="13" spans="1:6" ht="72">
      <c r="B13" s="174">
        <v>12</v>
      </c>
      <c r="C13" s="175" t="s">
        <v>586</v>
      </c>
      <c r="D13" s="176" t="s">
        <v>579</v>
      </c>
      <c r="E13" s="176" t="s">
        <v>822</v>
      </c>
      <c r="F13" s="176" t="s">
        <v>822</v>
      </c>
    </row>
    <row r="14" spans="1:6" ht="48">
      <c r="B14" s="174">
        <v>13</v>
      </c>
      <c r="C14" s="175" t="s">
        <v>495</v>
      </c>
      <c r="D14" s="176" t="s">
        <v>747</v>
      </c>
      <c r="E14" s="176" t="s">
        <v>823</v>
      </c>
      <c r="F14" s="176" t="s">
        <v>823</v>
      </c>
    </row>
    <row r="15" spans="1:6" ht="39.6">
      <c r="B15" s="174">
        <v>14</v>
      </c>
      <c r="C15" s="175" t="s">
        <v>495</v>
      </c>
      <c r="D15" s="176" t="s">
        <v>748</v>
      </c>
      <c r="E15" s="176" t="s">
        <v>824</v>
      </c>
      <c r="F15" s="176" t="s">
        <v>824</v>
      </c>
    </row>
    <row r="16" spans="1:6" ht="13.2">
      <c r="B16" s="174">
        <v>15</v>
      </c>
      <c r="C16" s="175" t="s">
        <v>495</v>
      </c>
      <c r="D16" s="176" t="s">
        <v>749</v>
      </c>
      <c r="E16" s="176" t="s">
        <v>825</v>
      </c>
      <c r="F16" s="176" t="s">
        <v>825</v>
      </c>
    </row>
    <row r="17" spans="1:6" ht="13.2">
      <c r="B17" s="174">
        <v>101</v>
      </c>
      <c r="D17" s="176" t="s">
        <v>20</v>
      </c>
      <c r="E17" s="176" t="s">
        <v>826</v>
      </c>
      <c r="F17" s="176" t="s">
        <v>826</v>
      </c>
    </row>
    <row r="18" spans="1:6" ht="13.2">
      <c r="B18" s="174">
        <v>102</v>
      </c>
      <c r="D18" s="176" t="s">
        <v>21</v>
      </c>
      <c r="E18" s="176" t="s">
        <v>827</v>
      </c>
      <c r="F18" s="176" t="s">
        <v>827</v>
      </c>
    </row>
    <row r="19" spans="1:6" ht="13.2">
      <c r="B19" s="174">
        <v>103</v>
      </c>
      <c r="D19" s="176" t="s">
        <v>22</v>
      </c>
      <c r="E19" s="176" t="s">
        <v>828</v>
      </c>
      <c r="F19" s="176" t="s">
        <v>828</v>
      </c>
    </row>
    <row r="20" spans="1:6" ht="13.2">
      <c r="B20" s="174">
        <v>104</v>
      </c>
      <c r="D20" s="176" t="s">
        <v>23</v>
      </c>
      <c r="E20" s="176" t="s">
        <v>829</v>
      </c>
      <c r="F20" s="176" t="s">
        <v>829</v>
      </c>
    </row>
    <row r="21" spans="1:6" ht="13.2">
      <c r="B21" s="174">
        <v>105</v>
      </c>
      <c r="D21" s="176" t="s">
        <v>24</v>
      </c>
      <c r="E21" s="176" t="s">
        <v>830</v>
      </c>
      <c r="F21" s="176" t="s">
        <v>830</v>
      </c>
    </row>
    <row r="22" spans="1:6" ht="13.2">
      <c r="B22" s="174">
        <v>106</v>
      </c>
      <c r="D22" s="176" t="s">
        <v>343</v>
      </c>
      <c r="E22" s="176" t="s">
        <v>831</v>
      </c>
      <c r="F22" s="176" t="s">
        <v>831</v>
      </c>
    </row>
    <row r="23" spans="1:6" ht="39.6">
      <c r="B23" s="174">
        <v>107</v>
      </c>
      <c r="D23" s="176" t="s">
        <v>344</v>
      </c>
      <c r="E23" s="176" t="s">
        <v>832</v>
      </c>
      <c r="F23" s="176" t="s">
        <v>832</v>
      </c>
    </row>
    <row r="24" spans="1:6" ht="39.6">
      <c r="B24" s="174">
        <v>108</v>
      </c>
      <c r="D24" s="176" t="s">
        <v>345</v>
      </c>
      <c r="E24" s="176" t="s">
        <v>833</v>
      </c>
      <c r="F24" s="176" t="s">
        <v>833</v>
      </c>
    </row>
    <row r="25" spans="1:6" ht="13.2">
      <c r="B25" s="174">
        <v>109</v>
      </c>
      <c r="D25" s="176" t="s">
        <v>25</v>
      </c>
      <c r="E25" s="176" t="s">
        <v>834</v>
      </c>
      <c r="F25" s="176" t="s">
        <v>834</v>
      </c>
    </row>
    <row r="26" spans="1:6" ht="13.2">
      <c r="B26" s="174">
        <v>110</v>
      </c>
      <c r="D26" s="176" t="s">
        <v>26</v>
      </c>
      <c r="E26" s="176" t="s">
        <v>835</v>
      </c>
      <c r="F26" s="176" t="s">
        <v>835</v>
      </c>
    </row>
    <row r="27" spans="1:6" ht="13.2">
      <c r="B27" s="174">
        <v>111</v>
      </c>
      <c r="D27" s="176" t="s">
        <v>27</v>
      </c>
      <c r="E27" s="176" t="s">
        <v>836</v>
      </c>
      <c r="F27" s="176" t="s">
        <v>836</v>
      </c>
    </row>
    <row r="28" spans="1:6" ht="13.2">
      <c r="A28" s="178"/>
      <c r="B28" s="174">
        <v>112</v>
      </c>
      <c r="C28" s="179" t="s">
        <v>414</v>
      </c>
      <c r="D28" s="177" t="s">
        <v>431</v>
      </c>
      <c r="E28" s="177" t="s">
        <v>837</v>
      </c>
      <c r="F28" s="177" t="s">
        <v>837</v>
      </c>
    </row>
    <row r="29" spans="1:6" ht="13.2">
      <c r="B29" s="174">
        <v>113</v>
      </c>
      <c r="D29" s="176" t="s">
        <v>28</v>
      </c>
      <c r="E29" s="176" t="s">
        <v>837</v>
      </c>
      <c r="F29" s="176" t="s">
        <v>837</v>
      </c>
    </row>
    <row r="30" spans="1:6" ht="13.2">
      <c r="B30" s="174">
        <v>114</v>
      </c>
      <c r="C30" s="175" t="s">
        <v>544</v>
      </c>
      <c r="D30" s="176" t="s">
        <v>549</v>
      </c>
      <c r="E30" s="176" t="s">
        <v>838</v>
      </c>
      <c r="F30" s="176" t="s">
        <v>838</v>
      </c>
    </row>
    <row r="31" spans="1:6" ht="13.2">
      <c r="B31" s="174">
        <v>115</v>
      </c>
      <c r="D31" s="176" t="s">
        <v>604</v>
      </c>
      <c r="E31" s="176" t="s">
        <v>839</v>
      </c>
      <c r="F31" s="176" t="s">
        <v>839</v>
      </c>
    </row>
    <row r="32" spans="1:6" ht="13.2">
      <c r="B32" s="174">
        <v>116</v>
      </c>
      <c r="D32" s="176" t="s">
        <v>29</v>
      </c>
      <c r="E32" s="176" t="s">
        <v>840</v>
      </c>
      <c r="F32" s="176" t="s">
        <v>840</v>
      </c>
    </row>
    <row r="33" spans="2:6" ht="13.2">
      <c r="B33" s="174">
        <v>117</v>
      </c>
      <c r="D33" s="176" t="s">
        <v>30</v>
      </c>
      <c r="E33" s="176" t="s">
        <v>841</v>
      </c>
      <c r="F33" s="176" t="s">
        <v>841</v>
      </c>
    </row>
    <row r="34" spans="2:6" ht="26.4">
      <c r="B34" s="174">
        <v>118</v>
      </c>
      <c r="D34" s="176" t="s">
        <v>346</v>
      </c>
      <c r="E34" s="176" t="s">
        <v>842</v>
      </c>
      <c r="F34" s="176" t="s">
        <v>842</v>
      </c>
    </row>
    <row r="35" spans="2:6" ht="13.2">
      <c r="B35" s="174">
        <v>119</v>
      </c>
      <c r="D35" s="176" t="s">
        <v>515</v>
      </c>
      <c r="E35" s="176" t="s">
        <v>843</v>
      </c>
      <c r="F35" s="176" t="s">
        <v>843</v>
      </c>
    </row>
    <row r="36" spans="2:6" ht="13.2">
      <c r="B36" s="174">
        <v>120</v>
      </c>
      <c r="D36" s="176" t="s">
        <v>501</v>
      </c>
      <c r="E36" s="176" t="s">
        <v>844</v>
      </c>
      <c r="F36" s="176" t="s">
        <v>844</v>
      </c>
    </row>
    <row r="37" spans="2:6" ht="26.4">
      <c r="B37" s="174">
        <v>121</v>
      </c>
      <c r="D37" s="176" t="s">
        <v>31</v>
      </c>
      <c r="E37" s="176" t="s">
        <v>845</v>
      </c>
      <c r="F37" s="176" t="s">
        <v>845</v>
      </c>
    </row>
    <row r="38" spans="2:6" ht="13.2">
      <c r="B38" s="174">
        <v>122</v>
      </c>
      <c r="D38" s="176" t="s">
        <v>32</v>
      </c>
      <c r="E38" s="176" t="s">
        <v>846</v>
      </c>
      <c r="F38" s="176" t="s">
        <v>846</v>
      </c>
    </row>
    <row r="39" spans="2:6" ht="13.2">
      <c r="B39" s="174">
        <v>123</v>
      </c>
      <c r="D39" s="176" t="s">
        <v>341</v>
      </c>
      <c r="E39" s="176" t="s">
        <v>847</v>
      </c>
      <c r="F39" s="176" t="s">
        <v>847</v>
      </c>
    </row>
    <row r="40" spans="2:6" ht="13.2">
      <c r="B40" s="174">
        <v>124</v>
      </c>
      <c r="D40" s="176" t="s">
        <v>33</v>
      </c>
      <c r="E40" s="176" t="s">
        <v>848</v>
      </c>
      <c r="F40" s="176" t="s">
        <v>848</v>
      </c>
    </row>
    <row r="41" spans="2:6" ht="24">
      <c r="B41" s="174">
        <v>125</v>
      </c>
      <c r="D41" s="176" t="s">
        <v>517</v>
      </c>
      <c r="E41" s="176" t="s">
        <v>849</v>
      </c>
      <c r="F41" s="176" t="s">
        <v>849</v>
      </c>
    </row>
    <row r="42" spans="2:6" ht="13.2">
      <c r="B42" s="174">
        <v>126</v>
      </c>
      <c r="D42" s="176" t="s">
        <v>516</v>
      </c>
      <c r="E42" s="176" t="s">
        <v>850</v>
      </c>
      <c r="F42" s="176" t="s">
        <v>850</v>
      </c>
    </row>
    <row r="43" spans="2:6" ht="24">
      <c r="B43" s="174">
        <v>127</v>
      </c>
      <c r="D43" s="176" t="s">
        <v>34</v>
      </c>
      <c r="E43" s="176" t="s">
        <v>851</v>
      </c>
      <c r="F43" s="176" t="s">
        <v>851</v>
      </c>
    </row>
    <row r="44" spans="2:6" ht="24">
      <c r="B44" s="174">
        <v>128</v>
      </c>
      <c r="D44" s="176" t="s">
        <v>35</v>
      </c>
      <c r="E44" s="176" t="s">
        <v>852</v>
      </c>
      <c r="F44" s="176" t="s">
        <v>852</v>
      </c>
    </row>
    <row r="45" spans="2:6" ht="24">
      <c r="B45" s="174">
        <v>129</v>
      </c>
      <c r="D45" s="176" t="s">
        <v>342</v>
      </c>
      <c r="E45" s="176" t="s">
        <v>853</v>
      </c>
      <c r="F45" s="176" t="s">
        <v>853</v>
      </c>
    </row>
    <row r="46" spans="2:6" ht="13.2">
      <c r="B46" s="174">
        <v>130</v>
      </c>
      <c r="D46" s="176" t="s">
        <v>36</v>
      </c>
      <c r="E46" s="176" t="s">
        <v>854</v>
      </c>
      <c r="F46" s="176" t="s">
        <v>854</v>
      </c>
    </row>
    <row r="47" spans="2:6" ht="13.2">
      <c r="B47" s="174">
        <v>131</v>
      </c>
      <c r="D47" s="176" t="s">
        <v>347</v>
      </c>
      <c r="E47" s="176" t="s">
        <v>855</v>
      </c>
      <c r="F47" s="176" t="s">
        <v>855</v>
      </c>
    </row>
    <row r="48" spans="2:6" ht="13.2">
      <c r="B48" s="174">
        <v>132</v>
      </c>
      <c r="D48" s="176" t="s">
        <v>37</v>
      </c>
      <c r="E48" s="176" t="s">
        <v>856</v>
      </c>
      <c r="F48" s="176" t="s">
        <v>856</v>
      </c>
    </row>
    <row r="49" spans="2:6" ht="13.2">
      <c r="B49" s="174">
        <v>133</v>
      </c>
      <c r="D49" s="176" t="s">
        <v>632</v>
      </c>
      <c r="E49" s="176" t="s">
        <v>857</v>
      </c>
      <c r="F49" s="176" t="s">
        <v>857</v>
      </c>
    </row>
    <row r="50" spans="2:6" ht="13.2">
      <c r="B50" s="174">
        <v>134</v>
      </c>
      <c r="D50" s="176" t="s">
        <v>631</v>
      </c>
      <c r="E50" s="176" t="s">
        <v>858</v>
      </c>
      <c r="F50" s="176" t="s">
        <v>858</v>
      </c>
    </row>
    <row r="51" spans="2:6">
      <c r="B51" s="174">
        <v>135</v>
      </c>
      <c r="D51" s="177" t="s">
        <v>630</v>
      </c>
      <c r="E51" s="180">
        <v>43435</v>
      </c>
      <c r="F51" s="180">
        <v>43435</v>
      </c>
    </row>
    <row r="52" spans="2:6">
      <c r="B52" s="174">
        <v>136</v>
      </c>
      <c r="D52" s="177" t="s">
        <v>348</v>
      </c>
      <c r="E52" s="180">
        <v>43465</v>
      </c>
      <c r="F52" s="180">
        <v>43465</v>
      </c>
    </row>
    <row r="53" spans="2:6">
      <c r="B53" s="174">
        <v>137</v>
      </c>
      <c r="D53" s="176" t="s">
        <v>38</v>
      </c>
      <c r="E53" s="176" t="s">
        <v>38</v>
      </c>
      <c r="F53" s="176" t="s">
        <v>38</v>
      </c>
    </row>
    <row r="54" spans="2:6" ht="13.2">
      <c r="B54" s="174">
        <v>138</v>
      </c>
      <c r="D54" s="176" t="s">
        <v>39</v>
      </c>
      <c r="E54" s="176" t="s">
        <v>859</v>
      </c>
      <c r="F54" s="176" t="s">
        <v>859</v>
      </c>
    </row>
    <row r="55" spans="2:6" ht="13.2">
      <c r="B55" s="174">
        <v>139</v>
      </c>
      <c r="C55" s="175" t="s">
        <v>432</v>
      </c>
      <c r="D55" s="176" t="s">
        <v>433</v>
      </c>
      <c r="E55" s="176" t="s">
        <v>860</v>
      </c>
      <c r="F55" s="176" t="s">
        <v>860</v>
      </c>
    </row>
    <row r="56" spans="2:6" ht="26.4">
      <c r="B56" s="174">
        <v>140</v>
      </c>
      <c r="D56" s="176" t="s">
        <v>40</v>
      </c>
      <c r="E56" s="176" t="s">
        <v>861</v>
      </c>
      <c r="F56" s="176" t="s">
        <v>861</v>
      </c>
    </row>
    <row r="57" spans="2:6" ht="26.4">
      <c r="B57" s="174">
        <v>141</v>
      </c>
      <c r="D57" s="176" t="s">
        <v>41</v>
      </c>
      <c r="E57" s="176" t="s">
        <v>862</v>
      </c>
      <c r="F57" s="176" t="s">
        <v>862</v>
      </c>
    </row>
    <row r="58" spans="2:6" ht="13.2">
      <c r="B58" s="174">
        <v>142</v>
      </c>
      <c r="D58" s="176" t="s">
        <v>497</v>
      </c>
      <c r="E58" s="176" t="s">
        <v>863</v>
      </c>
      <c r="F58" s="176" t="s">
        <v>863</v>
      </c>
    </row>
    <row r="59" spans="2:6" ht="13.2">
      <c r="B59" s="174">
        <v>143</v>
      </c>
      <c r="C59" s="175" t="s">
        <v>467</v>
      </c>
      <c r="D59" s="173" t="s">
        <v>349</v>
      </c>
      <c r="E59" s="181" t="s">
        <v>864</v>
      </c>
      <c r="F59" s="181" t="s">
        <v>864</v>
      </c>
    </row>
    <row r="60" spans="2:6" ht="13.2">
      <c r="B60" s="174">
        <v>144</v>
      </c>
      <c r="D60" s="176" t="s">
        <v>42</v>
      </c>
      <c r="E60" s="176" t="s">
        <v>865</v>
      </c>
      <c r="F60" s="176" t="s">
        <v>865</v>
      </c>
    </row>
    <row r="61" spans="2:6" ht="26.4">
      <c r="B61" s="174">
        <v>145</v>
      </c>
      <c r="D61" s="176" t="s">
        <v>43</v>
      </c>
      <c r="E61" s="176" t="s">
        <v>866</v>
      </c>
      <c r="F61" s="176" t="s">
        <v>866</v>
      </c>
    </row>
    <row r="62" spans="2:6" ht="13.2">
      <c r="B62" s="174">
        <v>146</v>
      </c>
      <c r="D62" s="176" t="s">
        <v>44</v>
      </c>
      <c r="E62" s="176" t="s">
        <v>867</v>
      </c>
      <c r="F62" s="176" t="s">
        <v>867</v>
      </c>
    </row>
    <row r="63" spans="2:6" ht="26.4">
      <c r="B63" s="174">
        <v>147</v>
      </c>
      <c r="D63" s="176" t="s">
        <v>45</v>
      </c>
      <c r="E63" s="176" t="s">
        <v>868</v>
      </c>
      <c r="F63" s="176" t="s">
        <v>868</v>
      </c>
    </row>
    <row r="64" spans="2:6" ht="13.2">
      <c r="B64" s="174">
        <v>148</v>
      </c>
      <c r="D64" s="176" t="s">
        <v>498</v>
      </c>
      <c r="E64" s="176" t="s">
        <v>869</v>
      </c>
      <c r="F64" s="176" t="s">
        <v>869</v>
      </c>
    </row>
    <row r="65" spans="1:6" ht="13.2">
      <c r="B65" s="174">
        <v>149</v>
      </c>
      <c r="D65" s="176" t="s">
        <v>499</v>
      </c>
      <c r="E65" s="176" t="s">
        <v>870</v>
      </c>
      <c r="F65" s="176" t="s">
        <v>870</v>
      </c>
    </row>
    <row r="66" spans="1:6" ht="13.2">
      <c r="B66" s="174">
        <v>150</v>
      </c>
      <c r="D66" s="176" t="s">
        <v>46</v>
      </c>
      <c r="E66" s="176" t="s">
        <v>871</v>
      </c>
      <c r="F66" s="176" t="s">
        <v>871</v>
      </c>
    </row>
    <row r="67" spans="1:6" ht="13.2">
      <c r="B67" s="174">
        <v>151</v>
      </c>
      <c r="C67" s="175" t="s">
        <v>467</v>
      </c>
      <c r="D67" s="173" t="s">
        <v>350</v>
      </c>
      <c r="E67" s="181" t="s">
        <v>872</v>
      </c>
      <c r="F67" s="181" t="s">
        <v>872</v>
      </c>
    </row>
    <row r="68" spans="1:6" ht="13.2">
      <c r="B68" s="174">
        <v>152</v>
      </c>
      <c r="D68" s="176" t="s">
        <v>47</v>
      </c>
      <c r="E68" s="176" t="s">
        <v>873</v>
      </c>
      <c r="F68" s="176" t="s">
        <v>873</v>
      </c>
    </row>
    <row r="69" spans="1:6" ht="13.2">
      <c r="B69" s="174">
        <v>153</v>
      </c>
      <c r="D69" s="176" t="s">
        <v>48</v>
      </c>
      <c r="E69" s="176" t="s">
        <v>874</v>
      </c>
      <c r="F69" s="176" t="s">
        <v>874</v>
      </c>
    </row>
    <row r="70" spans="1:6" ht="13.2">
      <c r="B70" s="174">
        <v>154</v>
      </c>
      <c r="D70" s="176" t="s">
        <v>49</v>
      </c>
      <c r="E70" s="176" t="s">
        <v>875</v>
      </c>
      <c r="F70" s="176" t="s">
        <v>875</v>
      </c>
    </row>
    <row r="71" spans="1:6" ht="26.4">
      <c r="B71" s="174">
        <v>155</v>
      </c>
      <c r="D71" s="176" t="s">
        <v>50</v>
      </c>
      <c r="E71" s="176" t="s">
        <v>876</v>
      </c>
      <c r="F71" s="176" t="s">
        <v>876</v>
      </c>
    </row>
    <row r="72" spans="1:6" ht="13.2">
      <c r="B72" s="174">
        <v>156</v>
      </c>
      <c r="C72" s="175" t="s">
        <v>467</v>
      </c>
      <c r="D72" s="173" t="s">
        <v>465</v>
      </c>
      <c r="E72" s="181" t="s">
        <v>877</v>
      </c>
      <c r="F72" s="181" t="s">
        <v>877</v>
      </c>
    </row>
    <row r="73" spans="1:6" ht="13.2">
      <c r="B73" s="174">
        <v>157</v>
      </c>
      <c r="C73" s="175" t="s">
        <v>467</v>
      </c>
      <c r="D73" s="173" t="s">
        <v>464</v>
      </c>
      <c r="E73" s="181" t="s">
        <v>878</v>
      </c>
      <c r="F73" s="181" t="s">
        <v>878</v>
      </c>
    </row>
    <row r="74" spans="1:6" ht="13.2">
      <c r="B74" s="174">
        <v>158</v>
      </c>
      <c r="D74" s="176" t="s">
        <v>351</v>
      </c>
      <c r="E74" s="176" t="s">
        <v>879</v>
      </c>
      <c r="F74" s="176" t="s">
        <v>879</v>
      </c>
    </row>
    <row r="75" spans="1:6" ht="13.2">
      <c r="A75" s="182"/>
      <c r="B75" s="174">
        <v>159</v>
      </c>
      <c r="C75" s="179" t="s">
        <v>414</v>
      </c>
      <c r="D75" s="177" t="s">
        <v>434</v>
      </c>
      <c r="E75" s="177" t="s">
        <v>880</v>
      </c>
      <c r="F75" s="177" t="s">
        <v>880</v>
      </c>
    </row>
    <row r="76" spans="1:6" ht="13.2">
      <c r="B76" s="174">
        <v>160</v>
      </c>
      <c r="D76" s="176" t="s">
        <v>51</v>
      </c>
      <c r="E76" s="177" t="s">
        <v>881</v>
      </c>
      <c r="F76" s="177" t="s">
        <v>881</v>
      </c>
    </row>
    <row r="77" spans="1:6" ht="13.2">
      <c r="B77" s="174">
        <v>161</v>
      </c>
      <c r="D77" s="176" t="s">
        <v>52</v>
      </c>
      <c r="E77" s="177" t="s">
        <v>882</v>
      </c>
      <c r="F77" s="177" t="s">
        <v>882</v>
      </c>
    </row>
    <row r="78" spans="1:6" ht="13.2">
      <c r="B78" s="174">
        <v>162</v>
      </c>
      <c r="D78" s="176" t="s">
        <v>511</v>
      </c>
      <c r="E78" s="176" t="s">
        <v>883</v>
      </c>
      <c r="F78" s="176" t="s">
        <v>883</v>
      </c>
    </row>
    <row r="79" spans="1:6" ht="13.2">
      <c r="B79" s="174">
        <v>163</v>
      </c>
      <c r="D79" s="176" t="s">
        <v>509</v>
      </c>
      <c r="E79" s="176" t="s">
        <v>884</v>
      </c>
      <c r="F79" s="176" t="s">
        <v>884</v>
      </c>
    </row>
    <row r="80" spans="1:6" ht="13.2">
      <c r="B80" s="174">
        <v>164</v>
      </c>
      <c r="D80" s="176" t="s">
        <v>508</v>
      </c>
      <c r="E80" s="176" t="s">
        <v>885</v>
      </c>
      <c r="F80" s="176" t="s">
        <v>885</v>
      </c>
    </row>
    <row r="81" spans="1:6" ht="13.2">
      <c r="A81" s="182"/>
      <c r="B81" s="174">
        <v>165</v>
      </c>
      <c r="C81" s="179" t="s">
        <v>414</v>
      </c>
      <c r="D81" s="177" t="s">
        <v>435</v>
      </c>
      <c r="E81" s="177" t="s">
        <v>886</v>
      </c>
      <c r="F81" s="177" t="s">
        <v>886</v>
      </c>
    </row>
    <row r="82" spans="1:6" ht="13.2">
      <c r="A82" s="182"/>
      <c r="B82" s="174">
        <v>166</v>
      </c>
      <c r="C82" s="179" t="s">
        <v>414</v>
      </c>
      <c r="D82" s="177" t="s">
        <v>436</v>
      </c>
      <c r="E82" s="177" t="s">
        <v>887</v>
      </c>
      <c r="F82" s="177" t="s">
        <v>887</v>
      </c>
    </row>
    <row r="83" spans="1:6" ht="13.2">
      <c r="A83" s="182"/>
      <c r="B83" s="174">
        <v>167</v>
      </c>
      <c r="C83" s="179" t="s">
        <v>414</v>
      </c>
      <c r="D83" s="177" t="s">
        <v>437</v>
      </c>
      <c r="E83" s="177" t="s">
        <v>888</v>
      </c>
      <c r="F83" s="177" t="s">
        <v>888</v>
      </c>
    </row>
    <row r="84" spans="1:6" ht="13.2">
      <c r="A84" s="182"/>
      <c r="B84" s="174">
        <v>168</v>
      </c>
      <c r="C84" s="179" t="s">
        <v>414</v>
      </c>
      <c r="D84" s="177" t="s">
        <v>422</v>
      </c>
      <c r="E84" s="177" t="s">
        <v>889</v>
      </c>
      <c r="F84" s="177" t="s">
        <v>889</v>
      </c>
    </row>
    <row r="85" spans="1:6" ht="13.2">
      <c r="B85" s="174">
        <v>169</v>
      </c>
      <c r="D85" s="176" t="s">
        <v>53</v>
      </c>
      <c r="E85" s="176" t="s">
        <v>890</v>
      </c>
      <c r="F85" s="176" t="s">
        <v>890</v>
      </c>
    </row>
    <row r="86" spans="1:6" ht="13.2">
      <c r="B86" s="174">
        <v>170</v>
      </c>
      <c r="D86" s="176" t="s">
        <v>54</v>
      </c>
      <c r="E86" s="176" t="s">
        <v>891</v>
      </c>
      <c r="F86" s="176" t="s">
        <v>891</v>
      </c>
    </row>
    <row r="87" spans="1:6" ht="13.2">
      <c r="B87" s="174">
        <v>171</v>
      </c>
      <c r="D87" s="176" t="s">
        <v>438</v>
      </c>
      <c r="E87" s="176" t="s">
        <v>892</v>
      </c>
      <c r="F87" s="176" t="s">
        <v>892</v>
      </c>
    </row>
    <row r="88" spans="1:6" ht="13.2">
      <c r="B88" s="174">
        <v>172</v>
      </c>
      <c r="D88" s="176" t="s">
        <v>55</v>
      </c>
      <c r="E88" s="176" t="s">
        <v>893</v>
      </c>
      <c r="F88" s="176" t="s">
        <v>893</v>
      </c>
    </row>
    <row r="89" spans="1:6" ht="13.2">
      <c r="B89" s="174">
        <v>173</v>
      </c>
      <c r="D89" s="176" t="s">
        <v>56</v>
      </c>
      <c r="E89" s="176" t="s">
        <v>894</v>
      </c>
      <c r="F89" s="176" t="s">
        <v>894</v>
      </c>
    </row>
    <row r="90" spans="1:6" ht="13.2">
      <c r="B90" s="174">
        <v>174</v>
      </c>
      <c r="D90" s="176" t="s">
        <v>57</v>
      </c>
      <c r="E90" s="176" t="s">
        <v>895</v>
      </c>
      <c r="F90" s="176" t="s">
        <v>895</v>
      </c>
    </row>
    <row r="91" spans="1:6" ht="13.2">
      <c r="B91" s="174">
        <v>175</v>
      </c>
      <c r="D91" s="176" t="s">
        <v>58</v>
      </c>
      <c r="E91" s="176" t="s">
        <v>896</v>
      </c>
      <c r="F91" s="176" t="s">
        <v>896</v>
      </c>
    </row>
    <row r="92" spans="1:6" ht="26.4">
      <c r="B92" s="174">
        <v>176</v>
      </c>
      <c r="D92" s="176" t="s">
        <v>59</v>
      </c>
      <c r="E92" s="176" t="s">
        <v>897</v>
      </c>
      <c r="F92" s="176" t="s">
        <v>897</v>
      </c>
    </row>
    <row r="93" spans="1:6" ht="13.2">
      <c r="B93" s="174">
        <v>177</v>
      </c>
      <c r="D93" s="176" t="s">
        <v>60</v>
      </c>
      <c r="E93" s="176" t="s">
        <v>898</v>
      </c>
      <c r="F93" s="176" t="s">
        <v>898</v>
      </c>
    </row>
    <row r="94" spans="1:6" ht="13.2">
      <c r="B94" s="174">
        <v>178</v>
      </c>
      <c r="D94" s="176" t="s">
        <v>61</v>
      </c>
      <c r="E94" s="176" t="s">
        <v>899</v>
      </c>
      <c r="F94" s="176" t="s">
        <v>899</v>
      </c>
    </row>
    <row r="95" spans="1:6" ht="13.2">
      <c r="B95" s="174">
        <v>179</v>
      </c>
      <c r="D95" s="176" t="s">
        <v>62</v>
      </c>
      <c r="E95" s="176" t="s">
        <v>900</v>
      </c>
      <c r="F95" s="176" t="s">
        <v>900</v>
      </c>
    </row>
    <row r="96" spans="1:6" ht="13.2">
      <c r="B96" s="174">
        <v>180</v>
      </c>
      <c r="D96" s="176" t="s">
        <v>352</v>
      </c>
      <c r="E96" s="176" t="s">
        <v>901</v>
      </c>
      <c r="F96" s="176" t="s">
        <v>901</v>
      </c>
    </row>
    <row r="97" spans="2:6" ht="13.2">
      <c r="B97" s="174">
        <v>181</v>
      </c>
      <c r="C97" s="175" t="s">
        <v>544</v>
      </c>
      <c r="D97" s="176" t="s">
        <v>565</v>
      </c>
      <c r="E97" s="176" t="s">
        <v>902</v>
      </c>
      <c r="F97" s="176" t="s">
        <v>902</v>
      </c>
    </row>
    <row r="98" spans="2:6" ht="39.6">
      <c r="B98" s="174">
        <v>182</v>
      </c>
      <c r="C98" s="175" t="s">
        <v>544</v>
      </c>
      <c r="D98" s="176" t="s">
        <v>585</v>
      </c>
      <c r="E98" s="176" t="s">
        <v>903</v>
      </c>
      <c r="F98" s="176" t="s">
        <v>903</v>
      </c>
    </row>
    <row r="99" spans="2:6" ht="13.2">
      <c r="B99" s="174">
        <v>183</v>
      </c>
      <c r="D99" s="176" t="s">
        <v>63</v>
      </c>
      <c r="E99" s="176" t="s">
        <v>904</v>
      </c>
      <c r="F99" s="176" t="s">
        <v>904</v>
      </c>
    </row>
    <row r="100" spans="2:6" ht="13.2">
      <c r="B100" s="174">
        <v>184</v>
      </c>
      <c r="D100" s="176" t="s">
        <v>620</v>
      </c>
      <c r="E100" s="176" t="s">
        <v>905</v>
      </c>
      <c r="F100" s="176" t="s">
        <v>905</v>
      </c>
    </row>
    <row r="101" spans="2:6" ht="13.2">
      <c r="B101" s="174">
        <v>185</v>
      </c>
      <c r="D101" s="176" t="s">
        <v>64</v>
      </c>
      <c r="E101" s="176" t="s">
        <v>906</v>
      </c>
      <c r="F101" s="176" t="s">
        <v>906</v>
      </c>
    </row>
    <row r="102" spans="2:6" ht="24">
      <c r="B102" s="174">
        <v>186</v>
      </c>
      <c r="D102" s="176" t="s">
        <v>65</v>
      </c>
      <c r="E102" s="176" t="s">
        <v>907</v>
      </c>
      <c r="F102" s="176" t="s">
        <v>907</v>
      </c>
    </row>
    <row r="103" spans="2:6" ht="24">
      <c r="B103" s="174">
        <v>187</v>
      </c>
      <c r="D103" s="176" t="s">
        <v>66</v>
      </c>
      <c r="E103" s="176" t="s">
        <v>908</v>
      </c>
      <c r="F103" s="176" t="s">
        <v>908</v>
      </c>
    </row>
    <row r="104" spans="2:6" ht="13.2">
      <c r="B104" s="174">
        <v>188</v>
      </c>
      <c r="D104" s="176" t="s">
        <v>67</v>
      </c>
      <c r="E104" s="176" t="s">
        <v>909</v>
      </c>
      <c r="F104" s="176" t="s">
        <v>909</v>
      </c>
    </row>
    <row r="105" spans="2:6" ht="13.2">
      <c r="B105" s="174">
        <v>189</v>
      </c>
      <c r="D105" s="176" t="s">
        <v>68</v>
      </c>
      <c r="E105" s="176" t="s">
        <v>910</v>
      </c>
      <c r="F105" s="176" t="s">
        <v>910</v>
      </c>
    </row>
    <row r="106" spans="2:6" ht="13.2">
      <c r="B106" s="174">
        <v>190</v>
      </c>
      <c r="C106" s="175" t="s">
        <v>544</v>
      </c>
      <c r="D106" s="176" t="s">
        <v>563</v>
      </c>
      <c r="E106" s="176" t="s">
        <v>911</v>
      </c>
      <c r="F106" s="176" t="s">
        <v>911</v>
      </c>
    </row>
    <row r="107" spans="2:6" ht="13.2">
      <c r="B107" s="174">
        <v>191</v>
      </c>
      <c r="D107" s="176" t="s">
        <v>591</v>
      </c>
      <c r="E107" s="176" t="s">
        <v>912</v>
      </c>
      <c r="F107" s="176" t="s">
        <v>912</v>
      </c>
    </row>
    <row r="108" spans="2:6" ht="13.2">
      <c r="B108" s="174">
        <v>192</v>
      </c>
      <c r="D108" s="176" t="s">
        <v>456</v>
      </c>
      <c r="E108" s="176" t="s">
        <v>913</v>
      </c>
      <c r="F108" s="176" t="s">
        <v>913</v>
      </c>
    </row>
    <row r="109" spans="2:6" ht="13.2">
      <c r="B109" s="174">
        <v>193</v>
      </c>
      <c r="D109" s="176" t="s">
        <v>457</v>
      </c>
      <c r="E109" s="176" t="s">
        <v>914</v>
      </c>
      <c r="F109" s="176" t="s">
        <v>914</v>
      </c>
    </row>
    <row r="110" spans="2:6" ht="13.2">
      <c r="B110" s="174">
        <v>194</v>
      </c>
      <c r="D110" s="176" t="s">
        <v>69</v>
      </c>
      <c r="E110" s="176" t="s">
        <v>915</v>
      </c>
      <c r="F110" s="176" t="s">
        <v>915</v>
      </c>
    </row>
    <row r="111" spans="2:6" ht="13.2">
      <c r="B111" s="174">
        <v>195</v>
      </c>
      <c r="D111" s="176" t="s">
        <v>70</v>
      </c>
      <c r="E111" s="176" t="s">
        <v>916</v>
      </c>
      <c r="F111" s="176" t="s">
        <v>916</v>
      </c>
    </row>
    <row r="112" spans="2:6" ht="13.2">
      <c r="B112" s="174">
        <v>196</v>
      </c>
      <c r="D112" s="176" t="s">
        <v>353</v>
      </c>
      <c r="E112" s="176" t="s">
        <v>917</v>
      </c>
      <c r="F112" s="176" t="s">
        <v>917</v>
      </c>
    </row>
    <row r="113" spans="2:6" ht="24">
      <c r="B113" s="174">
        <v>197</v>
      </c>
      <c r="D113" s="176" t="s">
        <v>354</v>
      </c>
      <c r="E113" s="176" t="s">
        <v>918</v>
      </c>
      <c r="F113" s="176" t="s">
        <v>918</v>
      </c>
    </row>
    <row r="114" spans="2:6" ht="24">
      <c r="B114" s="174">
        <v>198</v>
      </c>
      <c r="D114" s="176" t="s">
        <v>71</v>
      </c>
      <c r="E114" s="176" t="s">
        <v>919</v>
      </c>
      <c r="F114" s="176" t="s">
        <v>919</v>
      </c>
    </row>
    <row r="115" spans="2:6" ht="13.2">
      <c r="B115" s="174">
        <v>199</v>
      </c>
      <c r="D115" s="176" t="s">
        <v>622</v>
      </c>
      <c r="E115" s="176" t="s">
        <v>920</v>
      </c>
      <c r="F115" s="176" t="s">
        <v>920</v>
      </c>
    </row>
    <row r="116" spans="2:6">
      <c r="B116" s="174">
        <v>200</v>
      </c>
      <c r="D116" s="176" t="s">
        <v>72</v>
      </c>
      <c r="E116" s="176" t="s">
        <v>73</v>
      </c>
      <c r="F116" s="176" t="s">
        <v>73</v>
      </c>
    </row>
    <row r="117" spans="2:6" ht="13.2">
      <c r="B117" s="174">
        <v>201</v>
      </c>
      <c r="D117" s="176" t="s">
        <v>614</v>
      </c>
      <c r="E117" s="176" t="s">
        <v>921</v>
      </c>
      <c r="F117" s="176" t="s">
        <v>921</v>
      </c>
    </row>
    <row r="118" spans="2:6" ht="13.2">
      <c r="B118" s="174">
        <v>202</v>
      </c>
      <c r="D118" s="176" t="s">
        <v>355</v>
      </c>
      <c r="E118" s="176" t="s">
        <v>922</v>
      </c>
      <c r="F118" s="176" t="s">
        <v>922</v>
      </c>
    </row>
    <row r="119" spans="2:6" ht="13.2">
      <c r="B119" s="174">
        <v>203</v>
      </c>
      <c r="D119" s="176" t="s">
        <v>356</v>
      </c>
      <c r="E119" s="176" t="s">
        <v>923</v>
      </c>
      <c r="F119" s="176" t="s">
        <v>923</v>
      </c>
    </row>
    <row r="120" spans="2:6" ht="13.2">
      <c r="B120" s="174">
        <v>204</v>
      </c>
      <c r="D120" s="176" t="s">
        <v>357</v>
      </c>
      <c r="E120" s="176" t="s">
        <v>924</v>
      </c>
      <c r="F120" s="176" t="s">
        <v>924</v>
      </c>
    </row>
    <row r="121" spans="2:6" ht="13.2">
      <c r="B121" s="174">
        <v>205</v>
      </c>
      <c r="D121" s="176" t="s">
        <v>605</v>
      </c>
      <c r="E121" s="176" t="s">
        <v>925</v>
      </c>
      <c r="F121" s="176" t="s">
        <v>925</v>
      </c>
    </row>
    <row r="122" spans="2:6" ht="13.2">
      <c r="B122" s="174">
        <v>206</v>
      </c>
      <c r="D122" s="176" t="s">
        <v>598</v>
      </c>
      <c r="E122" s="176" t="s">
        <v>926</v>
      </c>
      <c r="F122" s="176" t="s">
        <v>926</v>
      </c>
    </row>
    <row r="123" spans="2:6" ht="13.2">
      <c r="B123" s="174">
        <v>207</v>
      </c>
      <c r="D123" s="176" t="s">
        <v>74</v>
      </c>
      <c r="E123" s="176" t="s">
        <v>927</v>
      </c>
      <c r="F123" s="176" t="s">
        <v>927</v>
      </c>
    </row>
    <row r="124" spans="2:6" ht="24">
      <c r="B124" s="174">
        <v>208</v>
      </c>
      <c r="D124" s="176" t="s">
        <v>75</v>
      </c>
      <c r="E124" s="176" t="s">
        <v>928</v>
      </c>
      <c r="F124" s="176" t="s">
        <v>928</v>
      </c>
    </row>
    <row r="125" spans="2:6" ht="24">
      <c r="B125" s="174">
        <v>209</v>
      </c>
      <c r="D125" s="176" t="s">
        <v>76</v>
      </c>
      <c r="E125" s="176" t="s">
        <v>929</v>
      </c>
      <c r="F125" s="176" t="s">
        <v>929</v>
      </c>
    </row>
    <row r="126" spans="2:6" ht="13.2">
      <c r="B126" s="174">
        <v>210</v>
      </c>
      <c r="D126" s="176" t="s">
        <v>458</v>
      </c>
      <c r="E126" s="176" t="s">
        <v>930</v>
      </c>
      <c r="F126" s="176" t="s">
        <v>930</v>
      </c>
    </row>
    <row r="127" spans="2:6">
      <c r="B127" s="174">
        <v>211</v>
      </c>
      <c r="D127" s="176" t="s">
        <v>77</v>
      </c>
      <c r="E127" s="176" t="s">
        <v>77</v>
      </c>
      <c r="F127" s="176" t="s">
        <v>77</v>
      </c>
    </row>
    <row r="128" spans="2:6" ht="13.2">
      <c r="B128" s="174">
        <v>212</v>
      </c>
      <c r="D128" s="176" t="s">
        <v>78</v>
      </c>
      <c r="E128" s="176" t="s">
        <v>931</v>
      </c>
      <c r="F128" s="176" t="s">
        <v>931</v>
      </c>
    </row>
    <row r="129" spans="2:6" ht="13.2">
      <c r="B129" s="174">
        <v>213</v>
      </c>
      <c r="D129" s="176" t="s">
        <v>79</v>
      </c>
      <c r="E129" s="176" t="s">
        <v>932</v>
      </c>
      <c r="F129" s="176" t="s">
        <v>932</v>
      </c>
    </row>
    <row r="130" spans="2:6" ht="13.2">
      <c r="B130" s="174">
        <v>214</v>
      </c>
      <c r="D130" s="176" t="s">
        <v>80</v>
      </c>
      <c r="E130" s="176" t="s">
        <v>933</v>
      </c>
      <c r="F130" s="176" t="s">
        <v>933</v>
      </c>
    </row>
    <row r="131" spans="2:6" ht="13.2">
      <c r="B131" s="174">
        <v>215</v>
      </c>
      <c r="D131" s="176" t="s">
        <v>358</v>
      </c>
      <c r="E131" s="176" t="s">
        <v>934</v>
      </c>
      <c r="F131" s="176" t="s">
        <v>934</v>
      </c>
    </row>
    <row r="132" spans="2:6" ht="13.2">
      <c r="B132" s="174">
        <v>216</v>
      </c>
      <c r="D132" s="176" t="s">
        <v>81</v>
      </c>
      <c r="E132" s="176" t="s">
        <v>935</v>
      </c>
      <c r="F132" s="176" t="s">
        <v>935</v>
      </c>
    </row>
    <row r="133" spans="2:6" ht="13.2">
      <c r="B133" s="174">
        <v>217</v>
      </c>
      <c r="D133" s="176" t="s">
        <v>359</v>
      </c>
      <c r="E133" s="176" t="s">
        <v>936</v>
      </c>
      <c r="F133" s="176" t="s">
        <v>936</v>
      </c>
    </row>
    <row r="134" spans="2:6" ht="13.2">
      <c r="B134" s="174">
        <v>218</v>
      </c>
      <c r="D134" s="176" t="s">
        <v>82</v>
      </c>
      <c r="E134" s="176" t="s">
        <v>937</v>
      </c>
      <c r="F134" s="176" t="s">
        <v>937</v>
      </c>
    </row>
    <row r="135" spans="2:6" ht="13.2">
      <c r="B135" s="174">
        <v>219</v>
      </c>
      <c r="D135" s="176" t="s">
        <v>83</v>
      </c>
      <c r="E135" s="176" t="s">
        <v>938</v>
      </c>
      <c r="F135" s="176" t="s">
        <v>938</v>
      </c>
    </row>
    <row r="136" spans="2:6" ht="13.2">
      <c r="B136" s="174">
        <v>220</v>
      </c>
      <c r="D136" s="176" t="s">
        <v>84</v>
      </c>
      <c r="E136" s="176" t="s">
        <v>939</v>
      </c>
      <c r="F136" s="176" t="s">
        <v>939</v>
      </c>
    </row>
    <row r="137" spans="2:6" ht="13.2">
      <c r="B137" s="174">
        <v>221</v>
      </c>
      <c r="D137" s="176" t="s">
        <v>360</v>
      </c>
      <c r="E137" s="176" t="s">
        <v>940</v>
      </c>
      <c r="F137" s="176" t="s">
        <v>940</v>
      </c>
    </row>
    <row r="138" spans="2:6" ht="13.2">
      <c r="B138" s="174">
        <v>222</v>
      </c>
      <c r="D138" s="176" t="s">
        <v>85</v>
      </c>
      <c r="E138" s="176" t="s">
        <v>941</v>
      </c>
      <c r="F138" s="176" t="s">
        <v>941</v>
      </c>
    </row>
    <row r="139" spans="2:6" ht="13.2">
      <c r="B139" s="174">
        <v>223</v>
      </c>
      <c r="D139" s="176" t="s">
        <v>86</v>
      </c>
      <c r="E139" s="176" t="s">
        <v>942</v>
      </c>
      <c r="F139" s="176" t="s">
        <v>942</v>
      </c>
    </row>
    <row r="140" spans="2:6" ht="13.2">
      <c r="B140" s="174">
        <v>224</v>
      </c>
      <c r="C140" s="175" t="s">
        <v>467</v>
      </c>
      <c r="D140" s="176" t="s">
        <v>476</v>
      </c>
      <c r="E140" s="176" t="s">
        <v>943</v>
      </c>
      <c r="F140" s="176" t="s">
        <v>943</v>
      </c>
    </row>
    <row r="141" spans="2:6" ht="13.2">
      <c r="B141" s="174">
        <v>225</v>
      </c>
      <c r="D141" s="176" t="s">
        <v>87</v>
      </c>
      <c r="E141" s="176" t="s">
        <v>944</v>
      </c>
      <c r="F141" s="176" t="s">
        <v>944</v>
      </c>
    </row>
    <row r="142" spans="2:6" ht="13.2">
      <c r="B142" s="174">
        <v>226</v>
      </c>
      <c r="D142" s="176" t="s">
        <v>587</v>
      </c>
      <c r="E142" s="176" t="s">
        <v>945</v>
      </c>
      <c r="F142" s="176" t="s">
        <v>945</v>
      </c>
    </row>
    <row r="143" spans="2:6" ht="13.2">
      <c r="B143" s="174">
        <v>227</v>
      </c>
      <c r="D143" s="176" t="s">
        <v>361</v>
      </c>
      <c r="E143" s="176" t="s">
        <v>946</v>
      </c>
      <c r="F143" s="176" t="s">
        <v>946</v>
      </c>
    </row>
    <row r="144" spans="2:6" ht="13.2">
      <c r="B144" s="174">
        <v>228</v>
      </c>
      <c r="D144" s="176" t="s">
        <v>362</v>
      </c>
      <c r="E144" s="176" t="s">
        <v>947</v>
      </c>
      <c r="F144" s="176" t="s">
        <v>947</v>
      </c>
    </row>
    <row r="145" spans="2:6" ht="13.2">
      <c r="B145" s="174">
        <v>229</v>
      </c>
      <c r="D145" s="176" t="s">
        <v>541</v>
      </c>
      <c r="E145" s="176" t="s">
        <v>948</v>
      </c>
      <c r="F145" s="176" t="s">
        <v>948</v>
      </c>
    </row>
    <row r="146" spans="2:6" ht="13.2">
      <c r="B146" s="174">
        <v>230</v>
      </c>
      <c r="D146" s="176" t="s">
        <v>540</v>
      </c>
      <c r="E146" s="176" t="s">
        <v>949</v>
      </c>
      <c r="F146" s="176" t="s">
        <v>949</v>
      </c>
    </row>
    <row r="147" spans="2:6" ht="13.2">
      <c r="B147" s="174">
        <v>231</v>
      </c>
      <c r="D147" s="176" t="s">
        <v>363</v>
      </c>
      <c r="E147" s="176" t="s">
        <v>950</v>
      </c>
      <c r="F147" s="176" t="s">
        <v>950</v>
      </c>
    </row>
    <row r="148" spans="2:6" ht="13.2">
      <c r="B148" s="174">
        <v>232</v>
      </c>
      <c r="D148" s="176" t="s">
        <v>602</v>
      </c>
      <c r="E148" s="176" t="s">
        <v>951</v>
      </c>
      <c r="F148" s="176" t="s">
        <v>951</v>
      </c>
    </row>
    <row r="149" spans="2:6" ht="13.2">
      <c r="B149" s="174">
        <v>233</v>
      </c>
      <c r="D149" s="176" t="s">
        <v>364</v>
      </c>
      <c r="E149" s="176" t="s">
        <v>952</v>
      </c>
      <c r="F149" s="176" t="s">
        <v>952</v>
      </c>
    </row>
    <row r="150" spans="2:6" ht="13.2">
      <c r="B150" s="174">
        <v>234</v>
      </c>
      <c r="D150" s="176" t="s">
        <v>365</v>
      </c>
      <c r="E150" s="176" t="s">
        <v>953</v>
      </c>
      <c r="F150" s="176" t="s">
        <v>953</v>
      </c>
    </row>
    <row r="151" spans="2:6" ht="13.2">
      <c r="B151" s="174">
        <v>235</v>
      </c>
      <c r="D151" s="176" t="s">
        <v>88</v>
      </c>
      <c r="E151" s="176" t="s">
        <v>954</v>
      </c>
      <c r="F151" s="176" t="s">
        <v>954</v>
      </c>
    </row>
    <row r="152" spans="2:6" ht="13.2">
      <c r="B152" s="174">
        <v>236</v>
      </c>
      <c r="D152" s="176" t="s">
        <v>366</v>
      </c>
      <c r="E152" s="176" t="s">
        <v>955</v>
      </c>
      <c r="F152" s="176" t="s">
        <v>955</v>
      </c>
    </row>
    <row r="153" spans="2:6" ht="13.2">
      <c r="B153" s="174">
        <v>237</v>
      </c>
      <c r="D153" s="176" t="s">
        <v>599</v>
      </c>
      <c r="E153" s="176" t="s">
        <v>956</v>
      </c>
      <c r="F153" s="176" t="s">
        <v>956</v>
      </c>
    </row>
    <row r="154" spans="2:6" ht="13.2">
      <c r="B154" s="174">
        <v>238</v>
      </c>
      <c r="D154" s="176" t="s">
        <v>89</v>
      </c>
      <c r="E154" s="176" t="s">
        <v>957</v>
      </c>
      <c r="F154" s="176" t="s">
        <v>957</v>
      </c>
    </row>
    <row r="155" spans="2:6" ht="13.2">
      <c r="B155" s="174">
        <v>239</v>
      </c>
      <c r="D155" s="176" t="s">
        <v>90</v>
      </c>
      <c r="E155" s="176" t="s">
        <v>958</v>
      </c>
      <c r="F155" s="176" t="s">
        <v>958</v>
      </c>
    </row>
    <row r="156" spans="2:6" ht="13.2">
      <c r="B156" s="174">
        <v>240</v>
      </c>
      <c r="D156" s="176" t="s">
        <v>91</v>
      </c>
      <c r="E156" s="176" t="s">
        <v>959</v>
      </c>
      <c r="F156" s="176" t="s">
        <v>959</v>
      </c>
    </row>
    <row r="157" spans="2:6" ht="13.2">
      <c r="B157" s="174">
        <v>241</v>
      </c>
      <c r="D157" s="176" t="s">
        <v>367</v>
      </c>
      <c r="E157" s="176" t="s">
        <v>960</v>
      </c>
      <c r="F157" s="176" t="s">
        <v>960</v>
      </c>
    </row>
    <row r="158" spans="2:6" ht="13.2">
      <c r="B158" s="174">
        <v>242</v>
      </c>
      <c r="D158" s="176" t="s">
        <v>368</v>
      </c>
      <c r="E158" s="176" t="s">
        <v>961</v>
      </c>
      <c r="F158" s="176" t="s">
        <v>961</v>
      </c>
    </row>
    <row r="159" spans="2:6" ht="13.2">
      <c r="B159" s="174">
        <v>243</v>
      </c>
      <c r="D159" s="176" t="s">
        <v>588</v>
      </c>
      <c r="E159" s="176" t="s">
        <v>962</v>
      </c>
      <c r="F159" s="176" t="s">
        <v>962</v>
      </c>
    </row>
    <row r="160" spans="2:6" ht="13.2">
      <c r="B160" s="174">
        <v>244</v>
      </c>
      <c r="D160" s="176" t="s">
        <v>647</v>
      </c>
      <c r="E160" s="176" t="s">
        <v>963</v>
      </c>
      <c r="F160" s="176" t="s">
        <v>963</v>
      </c>
    </row>
    <row r="161" spans="2:6" ht="13.2">
      <c r="B161" s="174">
        <v>245</v>
      </c>
      <c r="D161" s="176" t="s">
        <v>648</v>
      </c>
      <c r="E161" s="176" t="s">
        <v>964</v>
      </c>
      <c r="F161" s="176" t="s">
        <v>964</v>
      </c>
    </row>
    <row r="162" spans="2:6" ht="13.2">
      <c r="B162" s="174">
        <v>246</v>
      </c>
      <c r="D162" s="176" t="s">
        <v>369</v>
      </c>
      <c r="E162" s="176" t="s">
        <v>965</v>
      </c>
      <c r="F162" s="176" t="s">
        <v>965</v>
      </c>
    </row>
    <row r="163" spans="2:6" ht="13.2">
      <c r="B163" s="174">
        <v>247</v>
      </c>
      <c r="D163" s="176" t="s">
        <v>590</v>
      </c>
      <c r="E163" s="176" t="s">
        <v>966</v>
      </c>
      <c r="F163" s="176" t="s">
        <v>966</v>
      </c>
    </row>
    <row r="164" spans="2:6" ht="13.2">
      <c r="B164" s="174">
        <v>248</v>
      </c>
      <c r="D164" s="176" t="s">
        <v>370</v>
      </c>
      <c r="E164" s="176" t="s">
        <v>967</v>
      </c>
      <c r="F164" s="176" t="s">
        <v>967</v>
      </c>
    </row>
    <row r="165" spans="2:6" ht="13.2">
      <c r="B165" s="174">
        <v>249</v>
      </c>
      <c r="D165" s="176" t="s">
        <v>371</v>
      </c>
      <c r="E165" s="176" t="s">
        <v>968</v>
      </c>
      <c r="F165" s="176" t="s">
        <v>968</v>
      </c>
    </row>
    <row r="166" spans="2:6" ht="13.2">
      <c r="B166" s="174">
        <v>250</v>
      </c>
      <c r="D166" s="176" t="s">
        <v>92</v>
      </c>
      <c r="E166" s="176" t="s">
        <v>969</v>
      </c>
      <c r="F166" s="176" t="s">
        <v>969</v>
      </c>
    </row>
    <row r="167" spans="2:6" ht="13.2">
      <c r="B167" s="174">
        <v>251</v>
      </c>
      <c r="D167" s="176" t="s">
        <v>93</v>
      </c>
      <c r="E167" s="176" t="s">
        <v>970</v>
      </c>
      <c r="F167" s="176" t="s">
        <v>970</v>
      </c>
    </row>
    <row r="168" spans="2:6" ht="13.2">
      <c r="B168" s="174">
        <v>252</v>
      </c>
      <c r="D168" s="176" t="s">
        <v>589</v>
      </c>
      <c r="E168" s="176" t="s">
        <v>971</v>
      </c>
      <c r="F168" s="176" t="s">
        <v>971</v>
      </c>
    </row>
    <row r="169" spans="2:6" ht="13.2">
      <c r="B169" s="174">
        <v>253</v>
      </c>
      <c r="D169" s="176" t="s">
        <v>657</v>
      </c>
      <c r="E169" s="176" t="s">
        <v>972</v>
      </c>
      <c r="F169" s="176" t="s">
        <v>972</v>
      </c>
    </row>
    <row r="170" spans="2:6" ht="13.2">
      <c r="B170" s="174">
        <v>254</v>
      </c>
      <c r="D170" s="176" t="s">
        <v>94</v>
      </c>
      <c r="E170" s="176" t="s">
        <v>973</v>
      </c>
      <c r="F170" s="176" t="s">
        <v>973</v>
      </c>
    </row>
    <row r="171" spans="2:6" ht="13.2">
      <c r="B171" s="174">
        <v>255</v>
      </c>
      <c r="C171" s="175" t="s">
        <v>467</v>
      </c>
      <c r="D171" s="176" t="s">
        <v>473</v>
      </c>
      <c r="E171" s="176" t="s">
        <v>974</v>
      </c>
      <c r="F171" s="176" t="s">
        <v>974</v>
      </c>
    </row>
    <row r="172" spans="2:6" ht="13.2">
      <c r="B172" s="174">
        <v>256</v>
      </c>
      <c r="D172" s="176" t="s">
        <v>95</v>
      </c>
      <c r="E172" s="176" t="s">
        <v>975</v>
      </c>
      <c r="F172" s="176" t="s">
        <v>975</v>
      </c>
    </row>
    <row r="173" spans="2:6" ht="13.2">
      <c r="B173" s="174">
        <v>257</v>
      </c>
      <c r="D173" s="176" t="s">
        <v>372</v>
      </c>
      <c r="E173" s="176" t="s">
        <v>976</v>
      </c>
      <c r="F173" s="176" t="s">
        <v>976</v>
      </c>
    </row>
    <row r="174" spans="2:6" ht="13.2">
      <c r="B174" s="174">
        <v>258</v>
      </c>
      <c r="D174" s="176" t="s">
        <v>373</v>
      </c>
      <c r="E174" s="176" t="s">
        <v>977</v>
      </c>
      <c r="F174" s="176" t="s">
        <v>977</v>
      </c>
    </row>
    <row r="175" spans="2:6" ht="13.2">
      <c r="B175" s="174">
        <v>259</v>
      </c>
      <c r="D175" s="176" t="s">
        <v>374</v>
      </c>
      <c r="E175" s="176" t="s">
        <v>978</v>
      </c>
      <c r="F175" s="176" t="s">
        <v>978</v>
      </c>
    </row>
    <row r="176" spans="2:6" ht="13.2">
      <c r="B176" s="174">
        <v>260</v>
      </c>
      <c r="D176" s="176" t="s">
        <v>519</v>
      </c>
      <c r="E176" s="176" t="s">
        <v>979</v>
      </c>
      <c r="F176" s="176" t="s">
        <v>979</v>
      </c>
    </row>
    <row r="177" spans="2:6" ht="13.2">
      <c r="B177" s="174">
        <v>261</v>
      </c>
      <c r="D177" s="176" t="s">
        <v>521</v>
      </c>
      <c r="E177" s="176" t="s">
        <v>980</v>
      </c>
      <c r="F177" s="176" t="s">
        <v>980</v>
      </c>
    </row>
    <row r="178" spans="2:6" ht="24">
      <c r="B178" s="174">
        <v>262</v>
      </c>
      <c r="D178" s="176" t="s">
        <v>522</v>
      </c>
      <c r="E178" s="176" t="s">
        <v>981</v>
      </c>
      <c r="F178" s="176" t="s">
        <v>981</v>
      </c>
    </row>
    <row r="179" spans="2:6" ht="13.2">
      <c r="B179" s="174">
        <v>263</v>
      </c>
      <c r="D179" s="176" t="s">
        <v>543</v>
      </c>
      <c r="E179" s="176" t="s">
        <v>982</v>
      </c>
      <c r="F179" s="176" t="s">
        <v>982</v>
      </c>
    </row>
    <row r="180" spans="2:6" ht="13.2">
      <c r="B180" s="174">
        <v>264</v>
      </c>
      <c r="D180" s="176" t="s">
        <v>520</v>
      </c>
      <c r="E180" s="176" t="s">
        <v>983</v>
      </c>
      <c r="F180" s="176" t="s">
        <v>983</v>
      </c>
    </row>
    <row r="181" spans="2:6" ht="13.2">
      <c r="B181" s="174">
        <v>265</v>
      </c>
      <c r="D181" s="176" t="s">
        <v>524</v>
      </c>
      <c r="E181" s="176" t="s">
        <v>984</v>
      </c>
      <c r="F181" s="176" t="s">
        <v>984</v>
      </c>
    </row>
    <row r="182" spans="2:6" ht="13.2">
      <c r="B182" s="174">
        <v>266</v>
      </c>
      <c r="D182" s="176" t="s">
        <v>518</v>
      </c>
      <c r="E182" s="176" t="s">
        <v>985</v>
      </c>
      <c r="F182" s="176" t="s">
        <v>985</v>
      </c>
    </row>
    <row r="183" spans="2:6" ht="13.2">
      <c r="B183" s="174">
        <v>267</v>
      </c>
      <c r="D183" s="176" t="s">
        <v>96</v>
      </c>
      <c r="E183" s="176" t="s">
        <v>986</v>
      </c>
      <c r="F183" s="176" t="s">
        <v>986</v>
      </c>
    </row>
    <row r="184" spans="2:6" ht="13.2">
      <c r="B184" s="174">
        <v>268</v>
      </c>
      <c r="D184" s="176" t="s">
        <v>609</v>
      </c>
      <c r="E184" s="176" t="s">
        <v>987</v>
      </c>
      <c r="F184" s="176" t="s">
        <v>987</v>
      </c>
    </row>
    <row r="185" spans="2:6" ht="13.2">
      <c r="B185" s="174">
        <v>269</v>
      </c>
      <c r="D185" s="176" t="s">
        <v>97</v>
      </c>
      <c r="E185" s="176" t="s">
        <v>988</v>
      </c>
      <c r="F185" s="176" t="s">
        <v>988</v>
      </c>
    </row>
    <row r="186" spans="2:6" ht="13.2">
      <c r="B186" s="174">
        <v>270</v>
      </c>
      <c r="D186" s="176" t="s">
        <v>375</v>
      </c>
      <c r="E186" s="176" t="s">
        <v>989</v>
      </c>
      <c r="F186" s="176" t="s">
        <v>989</v>
      </c>
    </row>
    <row r="187" spans="2:6" ht="24">
      <c r="B187" s="174">
        <v>271</v>
      </c>
      <c r="D187" s="176" t="s">
        <v>98</v>
      </c>
      <c r="E187" s="176" t="s">
        <v>990</v>
      </c>
      <c r="F187" s="176" t="s">
        <v>990</v>
      </c>
    </row>
    <row r="188" spans="2:6" ht="39.6">
      <c r="B188" s="174">
        <v>272</v>
      </c>
      <c r="D188" s="176" t="s">
        <v>99</v>
      </c>
      <c r="E188" s="176" t="s">
        <v>991</v>
      </c>
      <c r="F188" s="176" t="s">
        <v>991</v>
      </c>
    </row>
    <row r="189" spans="2:6" ht="13.2">
      <c r="B189" s="174">
        <v>273</v>
      </c>
      <c r="D189" s="176" t="s">
        <v>100</v>
      </c>
      <c r="E189" s="176" t="s">
        <v>992</v>
      </c>
      <c r="F189" s="176" t="s">
        <v>992</v>
      </c>
    </row>
    <row r="190" spans="2:6" ht="13.2">
      <c r="B190" s="174">
        <v>274</v>
      </c>
      <c r="D190" s="176" t="s">
        <v>101</v>
      </c>
      <c r="E190" s="176" t="s">
        <v>993</v>
      </c>
      <c r="F190" s="176" t="s">
        <v>993</v>
      </c>
    </row>
    <row r="191" spans="2:6" ht="13.2">
      <c r="B191" s="174">
        <v>275</v>
      </c>
      <c r="D191" s="176" t="s">
        <v>102</v>
      </c>
      <c r="E191" s="176" t="s">
        <v>994</v>
      </c>
      <c r="F191" s="176" t="s">
        <v>994</v>
      </c>
    </row>
    <row r="192" spans="2:6" ht="13.2">
      <c r="B192" s="174">
        <v>276</v>
      </c>
      <c r="D192" s="176" t="s">
        <v>103</v>
      </c>
      <c r="E192" s="176" t="s">
        <v>995</v>
      </c>
      <c r="F192" s="176" t="s">
        <v>995</v>
      </c>
    </row>
    <row r="193" spans="2:6" ht="13.2">
      <c r="B193" s="174">
        <v>277</v>
      </c>
      <c r="D193" s="176" t="s">
        <v>104</v>
      </c>
      <c r="E193" s="176" t="s">
        <v>996</v>
      </c>
      <c r="F193" s="176" t="s">
        <v>996</v>
      </c>
    </row>
    <row r="194" spans="2:6" ht="13.2">
      <c r="B194" s="174">
        <v>278</v>
      </c>
      <c r="D194" s="176" t="s">
        <v>105</v>
      </c>
      <c r="E194" s="176" t="s">
        <v>997</v>
      </c>
      <c r="F194" s="176" t="s">
        <v>997</v>
      </c>
    </row>
    <row r="195" spans="2:6" ht="13.2">
      <c r="B195" s="174">
        <v>279</v>
      </c>
      <c r="D195" s="176" t="s">
        <v>106</v>
      </c>
      <c r="E195" s="176" t="s">
        <v>998</v>
      </c>
      <c r="F195" s="176" t="s">
        <v>998</v>
      </c>
    </row>
    <row r="196" spans="2:6" ht="13.2">
      <c r="B196" s="174">
        <v>280</v>
      </c>
      <c r="D196" s="176" t="s">
        <v>107</v>
      </c>
      <c r="E196" s="176" t="s">
        <v>999</v>
      </c>
      <c r="F196" s="176" t="s">
        <v>999</v>
      </c>
    </row>
    <row r="197" spans="2:6" ht="13.2">
      <c r="B197" s="174">
        <v>281</v>
      </c>
      <c r="D197" s="176" t="s">
        <v>108</v>
      </c>
      <c r="E197" s="176" t="s">
        <v>1000</v>
      </c>
      <c r="F197" s="176" t="s">
        <v>1000</v>
      </c>
    </row>
    <row r="198" spans="2:6" ht="13.2">
      <c r="B198" s="174">
        <v>282</v>
      </c>
      <c r="D198" s="176" t="s">
        <v>109</v>
      </c>
      <c r="E198" s="176" t="s">
        <v>1001</v>
      </c>
      <c r="F198" s="176" t="s">
        <v>1001</v>
      </c>
    </row>
    <row r="199" spans="2:6" ht="13.2">
      <c r="B199" s="174">
        <v>283</v>
      </c>
      <c r="D199" s="176" t="s">
        <v>110</v>
      </c>
      <c r="E199" s="176" t="s">
        <v>1002</v>
      </c>
      <c r="F199" s="176" t="s">
        <v>1002</v>
      </c>
    </row>
    <row r="200" spans="2:6" ht="26.4">
      <c r="B200" s="174">
        <v>284</v>
      </c>
      <c r="D200" s="176" t="s">
        <v>111</v>
      </c>
      <c r="E200" s="176" t="s">
        <v>1003</v>
      </c>
      <c r="F200" s="176" t="s">
        <v>1003</v>
      </c>
    </row>
    <row r="201" spans="2:6" ht="13.2">
      <c r="B201" s="174">
        <v>285</v>
      </c>
      <c r="D201" s="176" t="s">
        <v>376</v>
      </c>
      <c r="E201" s="176" t="s">
        <v>1004</v>
      </c>
      <c r="F201" s="176" t="s">
        <v>1004</v>
      </c>
    </row>
    <row r="202" spans="2:6" ht="13.2">
      <c r="B202" s="174">
        <v>286</v>
      </c>
      <c r="D202" s="176" t="s">
        <v>112</v>
      </c>
      <c r="E202" s="176" t="s">
        <v>1005</v>
      </c>
      <c r="F202" s="176" t="s">
        <v>1005</v>
      </c>
    </row>
    <row r="203" spans="2:6" ht="13.2">
      <c r="B203" s="174">
        <v>287</v>
      </c>
      <c r="D203" s="176" t="s">
        <v>113</v>
      </c>
      <c r="E203" s="176" t="s">
        <v>1006</v>
      </c>
      <c r="F203" s="176" t="s">
        <v>1006</v>
      </c>
    </row>
    <row r="204" spans="2:6" ht="13.2">
      <c r="B204" s="174">
        <v>288</v>
      </c>
      <c r="D204" s="176" t="s">
        <v>114</v>
      </c>
      <c r="E204" s="176" t="s">
        <v>1007</v>
      </c>
      <c r="F204" s="176" t="s">
        <v>1007</v>
      </c>
    </row>
    <row r="205" spans="2:6" ht="13.2">
      <c r="B205" s="174">
        <v>289</v>
      </c>
      <c r="D205" s="176" t="s">
        <v>377</v>
      </c>
      <c r="E205" s="176" t="s">
        <v>1008</v>
      </c>
      <c r="F205" s="176" t="s">
        <v>1008</v>
      </c>
    </row>
    <row r="206" spans="2:6" ht="13.2">
      <c r="B206" s="174">
        <v>290</v>
      </c>
      <c r="D206" s="176" t="s">
        <v>378</v>
      </c>
      <c r="E206" s="176" t="s">
        <v>1009</v>
      </c>
      <c r="F206" s="176" t="s">
        <v>1009</v>
      </c>
    </row>
    <row r="207" spans="2:6" ht="13.2">
      <c r="B207" s="174">
        <v>291</v>
      </c>
      <c r="D207" s="176" t="s">
        <v>593</v>
      </c>
      <c r="E207" s="176" t="s">
        <v>1010</v>
      </c>
      <c r="F207" s="176" t="s">
        <v>1010</v>
      </c>
    </row>
    <row r="208" spans="2:6" ht="13.2">
      <c r="B208" s="174">
        <v>292</v>
      </c>
      <c r="D208" s="176" t="s">
        <v>624</v>
      </c>
      <c r="E208" s="176" t="s">
        <v>1011</v>
      </c>
      <c r="F208" s="176" t="s">
        <v>1011</v>
      </c>
    </row>
    <row r="209" spans="2:6" ht="13.2">
      <c r="B209" s="174">
        <v>293</v>
      </c>
      <c r="D209" s="176" t="s">
        <v>594</v>
      </c>
      <c r="E209" s="176" t="s">
        <v>1012</v>
      </c>
      <c r="F209" s="176" t="s">
        <v>1012</v>
      </c>
    </row>
    <row r="210" spans="2:6" ht="13.2">
      <c r="B210" s="174">
        <v>294</v>
      </c>
      <c r="D210" s="176" t="s">
        <v>592</v>
      </c>
      <c r="E210" s="176" t="s">
        <v>1013</v>
      </c>
      <c r="F210" s="176" t="s">
        <v>1013</v>
      </c>
    </row>
    <row r="211" spans="2:6" ht="13.2">
      <c r="B211" s="174">
        <v>295</v>
      </c>
      <c r="D211" s="176" t="s">
        <v>379</v>
      </c>
      <c r="E211" s="176" t="s">
        <v>1014</v>
      </c>
      <c r="F211" s="176" t="s">
        <v>1014</v>
      </c>
    </row>
    <row r="212" spans="2:6" ht="13.2">
      <c r="B212" s="174">
        <v>296</v>
      </c>
      <c r="D212" s="176" t="s">
        <v>454</v>
      </c>
      <c r="E212" s="176" t="s">
        <v>1015</v>
      </c>
      <c r="F212" s="176" t="s">
        <v>1015</v>
      </c>
    </row>
    <row r="213" spans="2:6" ht="13.2">
      <c r="B213" s="174">
        <v>297</v>
      </c>
      <c r="D213" s="176" t="s">
        <v>115</v>
      </c>
      <c r="E213" s="176" t="s">
        <v>1016</v>
      </c>
      <c r="F213" s="176" t="s">
        <v>1016</v>
      </c>
    </row>
    <row r="214" spans="2:6" ht="13.2">
      <c r="B214" s="174">
        <v>298</v>
      </c>
      <c r="C214" s="175" t="s">
        <v>544</v>
      </c>
      <c r="D214" s="176" t="s">
        <v>580</v>
      </c>
      <c r="E214" s="176" t="s">
        <v>1017</v>
      </c>
      <c r="F214" s="176" t="s">
        <v>1017</v>
      </c>
    </row>
    <row r="215" spans="2:6" ht="13.2">
      <c r="B215" s="174">
        <v>299</v>
      </c>
      <c r="D215" s="176" t="s">
        <v>601</v>
      </c>
      <c r="E215" s="176" t="s">
        <v>1018</v>
      </c>
      <c r="F215" s="176" t="s">
        <v>1018</v>
      </c>
    </row>
    <row r="216" spans="2:6" ht="13.2">
      <c r="B216" s="174">
        <v>300</v>
      </c>
      <c r="D216" s="176" t="s">
        <v>448</v>
      </c>
      <c r="E216" s="176" t="s">
        <v>1019</v>
      </c>
      <c r="F216" s="176" t="s">
        <v>1019</v>
      </c>
    </row>
    <row r="217" spans="2:6" ht="13.2">
      <c r="B217" s="174">
        <v>301</v>
      </c>
      <c r="D217" s="176" t="s">
        <v>488</v>
      </c>
      <c r="E217" s="176" t="s">
        <v>1020</v>
      </c>
      <c r="F217" s="176" t="s">
        <v>1020</v>
      </c>
    </row>
    <row r="218" spans="2:6" ht="13.2">
      <c r="B218" s="174">
        <v>302</v>
      </c>
      <c r="C218" s="175" t="s">
        <v>544</v>
      </c>
      <c r="D218" s="181" t="s">
        <v>638</v>
      </c>
      <c r="E218" s="181" t="s">
        <v>1021</v>
      </c>
      <c r="F218" s="181" t="s">
        <v>1021</v>
      </c>
    </row>
    <row r="219" spans="2:6" ht="13.2">
      <c r="B219" s="174">
        <v>303</v>
      </c>
      <c r="C219" s="175" t="s">
        <v>544</v>
      </c>
      <c r="D219" s="181" t="s">
        <v>552</v>
      </c>
      <c r="E219" s="181" t="s">
        <v>1022</v>
      </c>
      <c r="F219" s="181" t="s">
        <v>1022</v>
      </c>
    </row>
    <row r="220" spans="2:6" ht="13.2">
      <c r="B220" s="174">
        <v>304</v>
      </c>
      <c r="C220" s="175" t="s">
        <v>544</v>
      </c>
      <c r="D220" s="181" t="s">
        <v>640</v>
      </c>
      <c r="E220" s="181" t="s">
        <v>1023</v>
      </c>
      <c r="F220" s="181" t="s">
        <v>1023</v>
      </c>
    </row>
    <row r="221" spans="2:6">
      <c r="B221" s="174">
        <v>305</v>
      </c>
      <c r="C221" s="175" t="s">
        <v>544</v>
      </c>
      <c r="D221" s="181" t="s">
        <v>810</v>
      </c>
      <c r="E221" s="181" t="s">
        <v>811</v>
      </c>
      <c r="F221" s="181" t="s">
        <v>811</v>
      </c>
    </row>
    <row r="222" spans="2:6">
      <c r="B222" s="174">
        <v>306</v>
      </c>
      <c r="C222" s="175" t="s">
        <v>544</v>
      </c>
      <c r="D222" s="181" t="s">
        <v>795</v>
      </c>
      <c r="E222" s="181" t="s">
        <v>639</v>
      </c>
      <c r="F222" s="181" t="s">
        <v>639</v>
      </c>
    </row>
    <row r="223" spans="2:6">
      <c r="B223" s="174">
        <v>307</v>
      </c>
      <c r="C223" s="175" t="s">
        <v>544</v>
      </c>
      <c r="D223" s="181" t="s">
        <v>797</v>
      </c>
      <c r="E223" s="181" t="s">
        <v>634</v>
      </c>
      <c r="F223" s="181" t="s">
        <v>634</v>
      </c>
    </row>
    <row r="224" spans="2:6">
      <c r="B224" s="174">
        <v>308</v>
      </c>
      <c r="C224" s="175" t="s">
        <v>544</v>
      </c>
      <c r="D224" s="181" t="s">
        <v>798</v>
      </c>
      <c r="E224" s="181" t="s">
        <v>635</v>
      </c>
      <c r="F224" s="181" t="s">
        <v>635</v>
      </c>
    </row>
    <row r="225" spans="2:6">
      <c r="B225" s="174">
        <v>309</v>
      </c>
      <c r="C225" s="175" t="s">
        <v>544</v>
      </c>
      <c r="D225" s="181" t="s">
        <v>799</v>
      </c>
      <c r="E225" s="181" t="s">
        <v>636</v>
      </c>
      <c r="F225" s="181" t="s">
        <v>636</v>
      </c>
    </row>
    <row r="226" spans="2:6">
      <c r="B226" s="174">
        <v>310</v>
      </c>
      <c r="C226" s="175" t="s">
        <v>544</v>
      </c>
      <c r="D226" s="181" t="s">
        <v>800</v>
      </c>
      <c r="E226" s="181" t="s">
        <v>637</v>
      </c>
      <c r="F226" s="181" t="s">
        <v>637</v>
      </c>
    </row>
    <row r="227" spans="2:6">
      <c r="B227" s="174">
        <v>311</v>
      </c>
      <c r="C227" s="175" t="s">
        <v>544</v>
      </c>
      <c r="D227" s="181" t="s">
        <v>801</v>
      </c>
      <c r="E227" s="181" t="s">
        <v>641</v>
      </c>
      <c r="F227" s="181" t="s">
        <v>641</v>
      </c>
    </row>
    <row r="228" spans="2:6">
      <c r="B228" s="174">
        <v>312</v>
      </c>
      <c r="C228" s="175" t="s">
        <v>544</v>
      </c>
      <c r="D228" s="181" t="s">
        <v>802</v>
      </c>
      <c r="E228" s="181" t="s">
        <v>642</v>
      </c>
      <c r="F228" s="181" t="s">
        <v>642</v>
      </c>
    </row>
    <row r="229" spans="2:6">
      <c r="B229" s="174">
        <v>313</v>
      </c>
      <c r="C229" s="175" t="s">
        <v>544</v>
      </c>
      <c r="D229" s="181" t="s">
        <v>803</v>
      </c>
      <c r="E229" s="181" t="s">
        <v>643</v>
      </c>
      <c r="F229" s="181" t="s">
        <v>643</v>
      </c>
    </row>
    <row r="230" spans="2:6">
      <c r="B230" s="174">
        <v>314</v>
      </c>
      <c r="C230" s="175" t="s">
        <v>544</v>
      </c>
      <c r="D230" s="181" t="s">
        <v>804</v>
      </c>
      <c r="E230" s="181" t="s">
        <v>644</v>
      </c>
      <c r="F230" s="181" t="s">
        <v>644</v>
      </c>
    </row>
    <row r="231" spans="2:6">
      <c r="B231" s="174">
        <v>315</v>
      </c>
      <c r="C231" s="175" t="s">
        <v>544</v>
      </c>
      <c r="D231" s="181" t="s">
        <v>805</v>
      </c>
      <c r="E231" s="176" t="s">
        <v>545</v>
      </c>
      <c r="F231" s="176" t="s">
        <v>545</v>
      </c>
    </row>
    <row r="232" spans="2:6">
      <c r="B232" s="174">
        <v>316</v>
      </c>
      <c r="C232" s="175" t="s">
        <v>544</v>
      </c>
      <c r="D232" s="181" t="s">
        <v>806</v>
      </c>
      <c r="E232" s="176" t="s">
        <v>546</v>
      </c>
      <c r="F232" s="176" t="s">
        <v>546</v>
      </c>
    </row>
    <row r="233" spans="2:6">
      <c r="B233" s="174">
        <v>317</v>
      </c>
      <c r="C233" s="175" t="s">
        <v>544</v>
      </c>
      <c r="D233" s="181" t="s">
        <v>807</v>
      </c>
      <c r="E233" s="176" t="s">
        <v>547</v>
      </c>
      <c r="F233" s="176" t="s">
        <v>547</v>
      </c>
    </row>
    <row r="234" spans="2:6">
      <c r="B234" s="174">
        <v>318</v>
      </c>
      <c r="C234" s="175" t="s">
        <v>544</v>
      </c>
      <c r="D234" s="181" t="s">
        <v>808</v>
      </c>
      <c r="E234" s="176" t="s">
        <v>548</v>
      </c>
      <c r="F234" s="176" t="s">
        <v>548</v>
      </c>
    </row>
    <row r="235" spans="2:6">
      <c r="B235" s="174">
        <v>319</v>
      </c>
      <c r="C235" s="175" t="s">
        <v>544</v>
      </c>
      <c r="D235" s="181" t="s">
        <v>809</v>
      </c>
      <c r="E235" s="181" t="s">
        <v>582</v>
      </c>
      <c r="F235" s="181" t="s">
        <v>582</v>
      </c>
    </row>
    <row r="236" spans="2:6">
      <c r="B236" s="174">
        <v>320</v>
      </c>
      <c r="C236" s="175" t="s">
        <v>544</v>
      </c>
      <c r="D236" s="181" t="s">
        <v>1363</v>
      </c>
      <c r="E236" s="181" t="s">
        <v>1365</v>
      </c>
      <c r="F236" s="181" t="s">
        <v>1365</v>
      </c>
    </row>
    <row r="237" spans="2:6">
      <c r="B237" s="174">
        <v>321</v>
      </c>
      <c r="C237" s="175" t="s">
        <v>544</v>
      </c>
      <c r="D237" s="181" t="s">
        <v>1364</v>
      </c>
      <c r="E237" s="181" t="s">
        <v>1366</v>
      </c>
      <c r="F237" s="181" t="s">
        <v>1366</v>
      </c>
    </row>
    <row r="238" spans="2:6">
      <c r="B238" s="174">
        <v>322</v>
      </c>
      <c r="C238" s="175" t="s">
        <v>544</v>
      </c>
      <c r="D238" s="181"/>
      <c r="E238" s="181"/>
      <c r="F238" s="181"/>
    </row>
    <row r="239" spans="2:6" ht="26.4">
      <c r="B239" s="174">
        <v>323</v>
      </c>
      <c r="D239" s="176" t="s">
        <v>116</v>
      </c>
      <c r="E239" s="176" t="s">
        <v>1024</v>
      </c>
      <c r="F239" s="176" t="s">
        <v>1024</v>
      </c>
    </row>
    <row r="240" spans="2:6" ht="26.4">
      <c r="B240" s="174">
        <v>324</v>
      </c>
      <c r="D240" s="176" t="s">
        <v>117</v>
      </c>
      <c r="E240" s="176" t="s">
        <v>1025</v>
      </c>
      <c r="F240" s="176" t="s">
        <v>1025</v>
      </c>
    </row>
    <row r="241" spans="2:6" ht="26.4">
      <c r="B241" s="174">
        <v>325</v>
      </c>
      <c r="D241" s="176" t="s">
        <v>118</v>
      </c>
      <c r="E241" s="176" t="s">
        <v>1026</v>
      </c>
      <c r="F241" s="176" t="s">
        <v>1026</v>
      </c>
    </row>
    <row r="242" spans="2:6" ht="24">
      <c r="B242" s="174">
        <v>326</v>
      </c>
      <c r="C242" s="175" t="s">
        <v>544</v>
      </c>
      <c r="D242" s="176" t="s">
        <v>581</v>
      </c>
      <c r="E242" s="176" t="s">
        <v>1027</v>
      </c>
      <c r="F242" s="176" t="s">
        <v>1027</v>
      </c>
    </row>
    <row r="243" spans="2:6" ht="13.2">
      <c r="B243" s="174">
        <v>327</v>
      </c>
      <c r="D243" s="176" t="s">
        <v>119</v>
      </c>
      <c r="E243" s="176" t="s">
        <v>1028</v>
      </c>
      <c r="F243" s="176" t="s">
        <v>1028</v>
      </c>
    </row>
    <row r="244" spans="2:6" ht="13.2">
      <c r="B244" s="174">
        <v>328</v>
      </c>
      <c r="C244" s="175" t="s">
        <v>467</v>
      </c>
      <c r="D244" s="176" t="s">
        <v>477</v>
      </c>
      <c r="E244" s="176" t="s">
        <v>1029</v>
      </c>
      <c r="F244" s="176" t="s">
        <v>1029</v>
      </c>
    </row>
    <row r="245" spans="2:6" ht="13.2">
      <c r="B245" s="174">
        <v>329</v>
      </c>
      <c r="D245" s="176" t="s">
        <v>120</v>
      </c>
      <c r="E245" s="176" t="s">
        <v>1030</v>
      </c>
      <c r="F245" s="176" t="s">
        <v>1030</v>
      </c>
    </row>
    <row r="246" spans="2:6" ht="13.2">
      <c r="B246" s="174">
        <v>330</v>
      </c>
      <c r="D246" s="176" t="s">
        <v>121</v>
      </c>
      <c r="E246" s="176" t="s">
        <v>1031</v>
      </c>
      <c r="F246" s="176" t="s">
        <v>1031</v>
      </c>
    </row>
    <row r="247" spans="2:6" ht="13.2">
      <c r="B247" s="174">
        <v>331</v>
      </c>
      <c r="D247" s="176" t="s">
        <v>122</v>
      </c>
      <c r="E247" s="176" t="s">
        <v>1032</v>
      </c>
      <c r="F247" s="176" t="s">
        <v>1032</v>
      </c>
    </row>
    <row r="248" spans="2:6" ht="13.2">
      <c r="B248" s="174">
        <v>332</v>
      </c>
      <c r="C248" s="175" t="s">
        <v>467</v>
      </c>
      <c r="D248" s="173" t="s">
        <v>469</v>
      </c>
      <c r="E248" s="181" t="s">
        <v>1033</v>
      </c>
      <c r="F248" s="181" t="s">
        <v>1033</v>
      </c>
    </row>
    <row r="249" spans="2:6" ht="13.2">
      <c r="B249" s="174">
        <v>333</v>
      </c>
      <c r="C249" s="175" t="s">
        <v>467</v>
      </c>
      <c r="D249" s="173" t="s">
        <v>470</v>
      </c>
      <c r="E249" s="181" t="s">
        <v>1034</v>
      </c>
      <c r="F249" s="181" t="s">
        <v>1034</v>
      </c>
    </row>
    <row r="250" spans="2:6" ht="13.2">
      <c r="B250" s="174">
        <v>334</v>
      </c>
      <c r="D250" s="176" t="s">
        <v>123</v>
      </c>
      <c r="E250" s="176" t="s">
        <v>1035</v>
      </c>
      <c r="F250" s="176" t="s">
        <v>1035</v>
      </c>
    </row>
    <row r="251" spans="2:6" ht="13.2">
      <c r="B251" s="174">
        <v>335</v>
      </c>
      <c r="C251" s="175" t="s">
        <v>467</v>
      </c>
      <c r="D251" s="176" t="s">
        <v>475</v>
      </c>
      <c r="E251" s="176" t="s">
        <v>1036</v>
      </c>
      <c r="F251" s="176" t="s">
        <v>1036</v>
      </c>
    </row>
    <row r="252" spans="2:6" ht="13.2">
      <c r="B252" s="174">
        <v>336</v>
      </c>
      <c r="C252" s="175" t="s">
        <v>467</v>
      </c>
      <c r="D252" s="173" t="s">
        <v>478</v>
      </c>
      <c r="E252" s="181" t="s">
        <v>1037</v>
      </c>
      <c r="F252" s="181" t="s">
        <v>1037</v>
      </c>
    </row>
    <row r="253" spans="2:6" ht="26.4">
      <c r="B253" s="174">
        <v>337</v>
      </c>
      <c r="D253" s="176" t="s">
        <v>124</v>
      </c>
      <c r="E253" s="176" t="s">
        <v>1038</v>
      </c>
      <c r="F253" s="176" t="s">
        <v>1038</v>
      </c>
    </row>
    <row r="254" spans="2:6" ht="26.4">
      <c r="B254" s="174">
        <v>338</v>
      </c>
      <c r="D254" s="176" t="s">
        <v>125</v>
      </c>
      <c r="E254" s="176" t="s">
        <v>1039</v>
      </c>
      <c r="F254" s="176" t="s">
        <v>1039</v>
      </c>
    </row>
    <row r="255" spans="2:6" ht="13.2">
      <c r="B255" s="174">
        <v>339</v>
      </c>
      <c r="D255" s="176" t="s">
        <v>126</v>
      </c>
      <c r="E255" s="176" t="s">
        <v>1040</v>
      </c>
      <c r="F255" s="176" t="s">
        <v>1040</v>
      </c>
    </row>
    <row r="256" spans="2:6" ht="13.2">
      <c r="B256" s="174">
        <v>340</v>
      </c>
      <c r="D256" s="176" t="s">
        <v>127</v>
      </c>
      <c r="E256" s="176" t="s">
        <v>1041</v>
      </c>
      <c r="F256" s="176" t="s">
        <v>1041</v>
      </c>
    </row>
    <row r="257" spans="2:6" ht="13.2">
      <c r="B257" s="174">
        <v>341</v>
      </c>
      <c r="D257" s="176" t="s">
        <v>128</v>
      </c>
      <c r="E257" s="176" t="s">
        <v>1042</v>
      </c>
      <c r="F257" s="176" t="s">
        <v>1042</v>
      </c>
    </row>
    <row r="258" spans="2:6" ht="13.2">
      <c r="B258" s="174">
        <v>342</v>
      </c>
      <c r="D258" s="176" t="s">
        <v>129</v>
      </c>
      <c r="E258" s="176" t="s">
        <v>1043</v>
      </c>
      <c r="F258" s="176" t="s">
        <v>1043</v>
      </c>
    </row>
    <row r="259" spans="2:6" ht="13.2">
      <c r="B259" s="174">
        <v>343</v>
      </c>
      <c r="C259" s="175" t="s">
        <v>544</v>
      </c>
      <c r="D259" s="176" t="s">
        <v>566</v>
      </c>
      <c r="E259" s="176" t="s">
        <v>1044</v>
      </c>
      <c r="F259" s="176" t="s">
        <v>1044</v>
      </c>
    </row>
    <row r="260" spans="2:6" ht="13.2">
      <c r="B260" s="174">
        <v>344</v>
      </c>
      <c r="C260" s="175" t="s">
        <v>544</v>
      </c>
      <c r="D260" s="176" t="s">
        <v>568</v>
      </c>
      <c r="E260" s="176" t="s">
        <v>1045</v>
      </c>
      <c r="F260" s="176" t="s">
        <v>1045</v>
      </c>
    </row>
    <row r="261" spans="2:6" ht="13.2">
      <c r="B261" s="174">
        <v>345</v>
      </c>
      <c r="D261" s="176" t="s">
        <v>130</v>
      </c>
      <c r="E261" s="176" t="s">
        <v>1046</v>
      </c>
      <c r="F261" s="176" t="s">
        <v>1046</v>
      </c>
    </row>
    <row r="262" spans="2:6" ht="26.4">
      <c r="B262" s="174">
        <v>346</v>
      </c>
      <c r="C262" s="175" t="s">
        <v>544</v>
      </c>
      <c r="D262" s="176" t="s">
        <v>576</v>
      </c>
      <c r="E262" s="176" t="s">
        <v>1047</v>
      </c>
      <c r="F262" s="176" t="s">
        <v>1047</v>
      </c>
    </row>
    <row r="263" spans="2:6" ht="13.2">
      <c r="B263" s="174">
        <v>347</v>
      </c>
      <c r="D263" s="176" t="s">
        <v>380</v>
      </c>
      <c r="E263" s="176" t="s">
        <v>1048</v>
      </c>
      <c r="F263" s="176" t="s">
        <v>1048</v>
      </c>
    </row>
    <row r="264" spans="2:6" ht="13.2">
      <c r="B264" s="174">
        <v>348</v>
      </c>
      <c r="D264" s="176" t="s">
        <v>131</v>
      </c>
      <c r="E264" s="176" t="s">
        <v>1049</v>
      </c>
      <c r="F264" s="176" t="s">
        <v>1049</v>
      </c>
    </row>
    <row r="265" spans="2:6" ht="13.2">
      <c r="B265" s="174">
        <v>349</v>
      </c>
      <c r="D265" s="176" t="s">
        <v>381</v>
      </c>
      <c r="E265" s="176" t="s">
        <v>1050</v>
      </c>
      <c r="F265" s="176" t="s">
        <v>1050</v>
      </c>
    </row>
    <row r="266" spans="2:6" ht="13.2">
      <c r="B266" s="174">
        <v>350</v>
      </c>
      <c r="C266" s="175" t="s">
        <v>544</v>
      </c>
      <c r="D266" s="176" t="s">
        <v>567</v>
      </c>
      <c r="E266" s="176" t="s">
        <v>1051</v>
      </c>
      <c r="F266" s="176" t="s">
        <v>1051</v>
      </c>
    </row>
    <row r="267" spans="2:6" ht="13.2">
      <c r="B267" s="174">
        <v>351</v>
      </c>
      <c r="C267" s="175" t="s">
        <v>467</v>
      </c>
      <c r="D267" s="173" t="s">
        <v>468</v>
      </c>
      <c r="E267" s="181" t="s">
        <v>1052</v>
      </c>
      <c r="F267" s="181" t="s">
        <v>1052</v>
      </c>
    </row>
    <row r="268" spans="2:6" ht="24">
      <c r="B268" s="174">
        <v>352</v>
      </c>
      <c r="C268" s="175" t="s">
        <v>544</v>
      </c>
      <c r="D268" s="176" t="s">
        <v>559</v>
      </c>
      <c r="E268" s="176" t="s">
        <v>1053</v>
      </c>
      <c r="F268" s="176" t="s">
        <v>1053</v>
      </c>
    </row>
    <row r="269" spans="2:6" ht="24">
      <c r="B269" s="174">
        <v>353</v>
      </c>
      <c r="D269" s="176" t="s">
        <v>132</v>
      </c>
      <c r="F269" s="176"/>
    </row>
    <row r="270" spans="2:6" ht="13.2">
      <c r="B270" s="174">
        <v>354</v>
      </c>
      <c r="D270" s="176" t="s">
        <v>133</v>
      </c>
      <c r="E270" s="176" t="s">
        <v>1054</v>
      </c>
      <c r="F270" s="176" t="s">
        <v>1054</v>
      </c>
    </row>
    <row r="271" spans="2:6" ht="13.2">
      <c r="B271" s="174">
        <v>355</v>
      </c>
      <c r="D271" s="176" t="s">
        <v>134</v>
      </c>
      <c r="E271" s="176" t="s">
        <v>1055</v>
      </c>
      <c r="F271" s="176" t="s">
        <v>1055</v>
      </c>
    </row>
    <row r="272" spans="2:6" ht="13.2">
      <c r="B272" s="174">
        <v>356</v>
      </c>
      <c r="D272" s="176" t="s">
        <v>135</v>
      </c>
      <c r="E272" s="176" t="s">
        <v>1056</v>
      </c>
      <c r="F272" s="176" t="s">
        <v>1056</v>
      </c>
    </row>
    <row r="273" spans="2:6" ht="13.2">
      <c r="B273" s="174">
        <v>357</v>
      </c>
      <c r="C273" s="175" t="s">
        <v>544</v>
      </c>
      <c r="D273" s="176" t="s">
        <v>562</v>
      </c>
      <c r="E273" s="176" t="s">
        <v>1057</v>
      </c>
      <c r="F273" s="176" t="s">
        <v>1057</v>
      </c>
    </row>
    <row r="274" spans="2:6" ht="13.2">
      <c r="B274" s="174">
        <v>358</v>
      </c>
      <c r="D274" s="176" t="s">
        <v>136</v>
      </c>
      <c r="E274" s="176" t="s">
        <v>1058</v>
      </c>
      <c r="F274" s="176" t="s">
        <v>1058</v>
      </c>
    </row>
    <row r="275" spans="2:6" ht="13.2">
      <c r="B275" s="174">
        <v>359</v>
      </c>
      <c r="D275" s="176" t="s">
        <v>382</v>
      </c>
      <c r="E275" s="176" t="s">
        <v>1059</v>
      </c>
      <c r="F275" s="176" t="s">
        <v>1059</v>
      </c>
    </row>
    <row r="276" spans="2:6" ht="13.2">
      <c r="B276" s="174">
        <v>360</v>
      </c>
      <c r="D276" s="176" t="s">
        <v>137</v>
      </c>
      <c r="E276" s="176" t="s">
        <v>1060</v>
      </c>
      <c r="F276" s="176" t="s">
        <v>1060</v>
      </c>
    </row>
    <row r="277" spans="2:6" ht="26.4">
      <c r="B277" s="174">
        <v>361</v>
      </c>
      <c r="C277" s="175" t="s">
        <v>544</v>
      </c>
      <c r="D277" s="176" t="s">
        <v>558</v>
      </c>
      <c r="E277" s="176" t="s">
        <v>1061</v>
      </c>
      <c r="F277" s="176" t="s">
        <v>1061</v>
      </c>
    </row>
    <row r="278" spans="2:6" ht="39.6">
      <c r="B278" s="174">
        <v>362</v>
      </c>
      <c r="C278" s="175" t="s">
        <v>544</v>
      </c>
      <c r="D278" s="176" t="s">
        <v>573</v>
      </c>
      <c r="E278" s="176" t="s">
        <v>1062</v>
      </c>
      <c r="F278" s="176" t="s">
        <v>1062</v>
      </c>
    </row>
    <row r="279" spans="2:6" ht="13.2">
      <c r="B279" s="174">
        <v>363</v>
      </c>
      <c r="D279" s="176" t="s">
        <v>138</v>
      </c>
      <c r="E279" s="176" t="s">
        <v>1063</v>
      </c>
      <c r="F279" s="176" t="s">
        <v>1063</v>
      </c>
    </row>
    <row r="280" spans="2:6">
      <c r="B280" s="174">
        <v>364</v>
      </c>
      <c r="D280" s="176" t="s">
        <v>1</v>
      </c>
      <c r="E280" s="176" t="s">
        <v>1</v>
      </c>
      <c r="F280" s="176" t="s">
        <v>1</v>
      </c>
    </row>
    <row r="281" spans="2:6">
      <c r="B281" s="174">
        <v>365</v>
      </c>
      <c r="D281" s="176" t="s">
        <v>2</v>
      </c>
      <c r="E281" s="176" t="s">
        <v>2</v>
      </c>
      <c r="F281" s="176" t="s">
        <v>2</v>
      </c>
    </row>
    <row r="282" spans="2:6" ht="13.2">
      <c r="B282" s="174">
        <v>366</v>
      </c>
      <c r="D282" s="176" t="s">
        <v>455</v>
      </c>
      <c r="E282" s="176" t="s">
        <v>1064</v>
      </c>
      <c r="F282" s="176" t="s">
        <v>1064</v>
      </c>
    </row>
    <row r="283" spans="2:6">
      <c r="B283" s="174">
        <v>367</v>
      </c>
      <c r="D283" s="176" t="s">
        <v>139</v>
      </c>
      <c r="E283" s="176" t="s">
        <v>140</v>
      </c>
      <c r="F283" s="176" t="s">
        <v>140</v>
      </c>
    </row>
    <row r="284" spans="2:6" ht="13.2">
      <c r="B284" s="174">
        <v>368</v>
      </c>
      <c r="D284" s="176" t="s">
        <v>610</v>
      </c>
      <c r="E284" s="176" t="s">
        <v>1065</v>
      </c>
      <c r="F284" s="176" t="s">
        <v>1065</v>
      </c>
    </row>
    <row r="285" spans="2:6">
      <c r="B285" s="174">
        <v>369</v>
      </c>
      <c r="D285" s="176" t="s">
        <v>141</v>
      </c>
      <c r="E285" s="176" t="s">
        <v>439</v>
      </c>
      <c r="F285" s="176" t="s">
        <v>439</v>
      </c>
    </row>
    <row r="286" spans="2:6" ht="13.2">
      <c r="B286" s="174">
        <v>370</v>
      </c>
      <c r="D286" s="176" t="s">
        <v>142</v>
      </c>
      <c r="E286" s="176" t="s">
        <v>1066</v>
      </c>
      <c r="F286" s="176" t="s">
        <v>1066</v>
      </c>
    </row>
    <row r="287" spans="2:6" ht="13.2">
      <c r="B287" s="174">
        <v>371</v>
      </c>
      <c r="D287" s="176" t="s">
        <v>143</v>
      </c>
      <c r="E287" s="176" t="s">
        <v>1067</v>
      </c>
      <c r="F287" s="176" t="s">
        <v>1067</v>
      </c>
    </row>
    <row r="288" spans="2:6" ht="13.2">
      <c r="B288" s="174">
        <v>372</v>
      </c>
      <c r="D288" s="176" t="s">
        <v>383</v>
      </c>
      <c r="E288" s="176" t="s">
        <v>1068</v>
      </c>
      <c r="F288" s="176" t="s">
        <v>1068</v>
      </c>
    </row>
    <row r="289" spans="2:6" ht="13.2">
      <c r="B289" s="174">
        <v>373</v>
      </c>
      <c r="D289" s="176" t="s">
        <v>384</v>
      </c>
      <c r="E289" s="176" t="s">
        <v>1069</v>
      </c>
      <c r="F289" s="176" t="s">
        <v>1069</v>
      </c>
    </row>
    <row r="290" spans="2:6" ht="13.2">
      <c r="B290" s="174">
        <v>374</v>
      </c>
      <c r="D290" s="176" t="s">
        <v>385</v>
      </c>
      <c r="E290" s="176" t="s">
        <v>1068</v>
      </c>
      <c r="F290" s="176" t="s">
        <v>1068</v>
      </c>
    </row>
    <row r="291" spans="2:6" ht="13.2">
      <c r="B291" s="174">
        <v>375</v>
      </c>
      <c r="C291" s="175" t="s">
        <v>544</v>
      </c>
      <c r="D291" s="176" t="s">
        <v>550</v>
      </c>
      <c r="E291" s="176" t="s">
        <v>1070</v>
      </c>
      <c r="F291" s="176" t="s">
        <v>1070</v>
      </c>
    </row>
    <row r="292" spans="2:6" ht="13.2">
      <c r="B292" s="174">
        <v>376</v>
      </c>
      <c r="D292" s="176" t="s">
        <v>144</v>
      </c>
      <c r="E292" s="176" t="s">
        <v>1071</v>
      </c>
      <c r="F292" s="176" t="s">
        <v>1071</v>
      </c>
    </row>
    <row r="293" spans="2:6" ht="13.2">
      <c r="B293" s="174">
        <v>377</v>
      </c>
      <c r="D293" s="176" t="s">
        <v>386</v>
      </c>
      <c r="E293" s="176" t="s">
        <v>1072</v>
      </c>
      <c r="F293" s="176" t="s">
        <v>1072</v>
      </c>
    </row>
    <row r="294" spans="2:6" ht="13.2">
      <c r="B294" s="174">
        <v>378</v>
      </c>
      <c r="D294" s="176" t="s">
        <v>145</v>
      </c>
      <c r="E294" s="176" t="s">
        <v>1073</v>
      </c>
      <c r="F294" s="176" t="s">
        <v>1073</v>
      </c>
    </row>
    <row r="295" spans="2:6" ht="13.2">
      <c r="B295" s="174">
        <v>379</v>
      </c>
      <c r="C295" s="175" t="s">
        <v>467</v>
      </c>
      <c r="D295" s="173" t="s">
        <v>479</v>
      </c>
      <c r="E295" s="181" t="s">
        <v>1074</v>
      </c>
      <c r="F295" s="181" t="s">
        <v>1074</v>
      </c>
    </row>
    <row r="296" spans="2:6" ht="13.2">
      <c r="B296" s="174">
        <v>380</v>
      </c>
      <c r="D296" s="176" t="s">
        <v>415</v>
      </c>
      <c r="E296" s="176" t="s">
        <v>1075</v>
      </c>
      <c r="F296" s="176" t="s">
        <v>1075</v>
      </c>
    </row>
    <row r="297" spans="2:6" ht="13.2">
      <c r="B297" s="174">
        <v>381</v>
      </c>
      <c r="D297" s="176" t="s">
        <v>416</v>
      </c>
      <c r="E297" s="176" t="s">
        <v>1076</v>
      </c>
      <c r="F297" s="176" t="s">
        <v>1076</v>
      </c>
    </row>
    <row r="298" spans="2:6" ht="13.2">
      <c r="B298" s="174">
        <v>382</v>
      </c>
      <c r="C298" s="175" t="s">
        <v>485</v>
      </c>
      <c r="D298" s="176" t="s">
        <v>486</v>
      </c>
      <c r="E298" s="176" t="s">
        <v>1077</v>
      </c>
      <c r="F298" s="176" t="s">
        <v>1077</v>
      </c>
    </row>
    <row r="299" spans="2:6" ht="13.2">
      <c r="B299" s="174">
        <v>383</v>
      </c>
      <c r="D299" s="176" t="s">
        <v>146</v>
      </c>
      <c r="E299" s="176" t="s">
        <v>1078</v>
      </c>
      <c r="F299" s="176" t="s">
        <v>1078</v>
      </c>
    </row>
    <row r="300" spans="2:6" ht="13.2">
      <c r="B300" s="174">
        <v>384</v>
      </c>
      <c r="D300" s="176" t="s">
        <v>387</v>
      </c>
      <c r="E300" s="176" t="s">
        <v>1079</v>
      </c>
      <c r="F300" s="176" t="s">
        <v>1079</v>
      </c>
    </row>
    <row r="301" spans="2:6" ht="13.2">
      <c r="B301" s="174">
        <v>385</v>
      </c>
      <c r="D301" s="176" t="s">
        <v>147</v>
      </c>
      <c r="E301" s="176" t="s">
        <v>1080</v>
      </c>
      <c r="F301" s="176" t="s">
        <v>1080</v>
      </c>
    </row>
    <row r="302" spans="2:6" ht="13.2">
      <c r="B302" s="174">
        <v>386</v>
      </c>
      <c r="D302" s="176" t="s">
        <v>148</v>
      </c>
      <c r="E302" s="176" t="s">
        <v>1081</v>
      </c>
      <c r="F302" s="176" t="s">
        <v>1081</v>
      </c>
    </row>
    <row r="303" spans="2:6" ht="13.2">
      <c r="B303" s="174">
        <v>387</v>
      </c>
      <c r="D303" s="176" t="s">
        <v>149</v>
      </c>
      <c r="E303" s="176" t="s">
        <v>1082</v>
      </c>
      <c r="F303" s="176" t="s">
        <v>1082</v>
      </c>
    </row>
    <row r="304" spans="2:6" ht="13.2">
      <c r="B304" s="174">
        <v>388</v>
      </c>
      <c r="D304" s="176" t="s">
        <v>474</v>
      </c>
      <c r="E304" s="176" t="s">
        <v>1083</v>
      </c>
      <c r="F304" s="176" t="s">
        <v>1083</v>
      </c>
    </row>
    <row r="305" spans="2:6" ht="24">
      <c r="B305" s="174">
        <v>389</v>
      </c>
      <c r="D305" s="176" t="s">
        <v>150</v>
      </c>
      <c r="E305" s="176" t="s">
        <v>1084</v>
      </c>
      <c r="F305" s="176" t="s">
        <v>1084</v>
      </c>
    </row>
    <row r="306" spans="2:6" ht="13.2">
      <c r="B306" s="174">
        <v>390</v>
      </c>
      <c r="D306" s="176" t="s">
        <v>621</v>
      </c>
      <c r="E306" s="176" t="s">
        <v>1085</v>
      </c>
      <c r="F306" s="176" t="s">
        <v>1085</v>
      </c>
    </row>
    <row r="307" spans="2:6" ht="26.4">
      <c r="B307" s="174">
        <v>391</v>
      </c>
      <c r="D307" s="176" t="s">
        <v>417</v>
      </c>
      <c r="E307" s="176" t="s">
        <v>1086</v>
      </c>
      <c r="F307" s="176" t="s">
        <v>1086</v>
      </c>
    </row>
    <row r="308" spans="2:6" ht="13.2">
      <c r="B308" s="174">
        <v>392</v>
      </c>
      <c r="D308" s="176" t="s">
        <v>418</v>
      </c>
      <c r="E308" s="176" t="s">
        <v>1087</v>
      </c>
      <c r="F308" s="176" t="s">
        <v>1087</v>
      </c>
    </row>
    <row r="309" spans="2:6" ht="13.2">
      <c r="B309" s="174">
        <v>393</v>
      </c>
      <c r="D309" s="176" t="s">
        <v>388</v>
      </c>
      <c r="E309" s="176" t="s">
        <v>1088</v>
      </c>
      <c r="F309" s="176" t="s">
        <v>1088</v>
      </c>
    </row>
    <row r="310" spans="2:6" ht="13.2">
      <c r="B310" s="174">
        <v>394</v>
      </c>
      <c r="D310" s="176" t="s">
        <v>151</v>
      </c>
      <c r="E310" s="176" t="s">
        <v>1089</v>
      </c>
      <c r="F310" s="176" t="s">
        <v>1089</v>
      </c>
    </row>
    <row r="311" spans="2:6" ht="13.2">
      <c r="B311" s="174">
        <v>395</v>
      </c>
      <c r="D311" s="176" t="s">
        <v>389</v>
      </c>
      <c r="E311" s="176" t="s">
        <v>1090</v>
      </c>
      <c r="F311" s="176" t="s">
        <v>1090</v>
      </c>
    </row>
    <row r="312" spans="2:6" ht="13.2">
      <c r="B312" s="174">
        <v>396</v>
      </c>
      <c r="D312" s="176" t="s">
        <v>390</v>
      </c>
      <c r="E312" s="176" t="s">
        <v>1091</v>
      </c>
      <c r="F312" s="176" t="s">
        <v>1091</v>
      </c>
    </row>
    <row r="313" spans="2:6" ht="13.2">
      <c r="B313" s="174">
        <v>397</v>
      </c>
      <c r="D313" s="176" t="s">
        <v>152</v>
      </c>
      <c r="E313" s="176" t="s">
        <v>1092</v>
      </c>
      <c r="F313" s="176" t="s">
        <v>1092</v>
      </c>
    </row>
    <row r="314" spans="2:6" ht="13.2">
      <c r="B314" s="174">
        <v>398</v>
      </c>
      <c r="D314" s="176" t="s">
        <v>153</v>
      </c>
      <c r="E314" s="176" t="s">
        <v>1093</v>
      </c>
      <c r="F314" s="176" t="s">
        <v>1093</v>
      </c>
    </row>
    <row r="315" spans="2:6" ht="13.2">
      <c r="B315" s="174">
        <v>399</v>
      </c>
      <c r="D315" s="176" t="s">
        <v>391</v>
      </c>
      <c r="E315" s="176" t="s">
        <v>1094</v>
      </c>
      <c r="F315" s="176" t="s">
        <v>1094</v>
      </c>
    </row>
    <row r="316" spans="2:6" ht="13.2">
      <c r="B316" s="174">
        <v>400</v>
      </c>
      <c r="D316" s="176" t="s">
        <v>154</v>
      </c>
      <c r="E316" s="176" t="s">
        <v>1095</v>
      </c>
      <c r="F316" s="176" t="s">
        <v>1095</v>
      </c>
    </row>
    <row r="317" spans="2:6" ht="13.2">
      <c r="B317" s="174">
        <v>401</v>
      </c>
      <c r="C317" s="175" t="s">
        <v>432</v>
      </c>
      <c r="D317" s="176" t="s">
        <v>440</v>
      </c>
      <c r="E317" s="176" t="s">
        <v>1096</v>
      </c>
      <c r="F317" s="176" t="s">
        <v>1096</v>
      </c>
    </row>
    <row r="318" spans="2:6" ht="13.2">
      <c r="B318" s="174">
        <v>402</v>
      </c>
      <c r="C318" s="175" t="s">
        <v>467</v>
      </c>
      <c r="D318" s="173" t="s">
        <v>466</v>
      </c>
      <c r="E318" s="181" t="s">
        <v>1097</v>
      </c>
      <c r="F318" s="181" t="s">
        <v>1097</v>
      </c>
    </row>
    <row r="319" spans="2:6" ht="13.2">
      <c r="B319" s="174">
        <v>403</v>
      </c>
      <c r="D319" s="176" t="s">
        <v>155</v>
      </c>
      <c r="E319" s="176" t="s">
        <v>1098</v>
      </c>
      <c r="F319" s="176" t="s">
        <v>1098</v>
      </c>
    </row>
    <row r="320" spans="2:6" ht="13.2">
      <c r="B320" s="174">
        <v>404</v>
      </c>
      <c r="D320" s="176" t="s">
        <v>156</v>
      </c>
      <c r="E320" s="176" t="s">
        <v>1099</v>
      </c>
      <c r="F320" s="176" t="s">
        <v>1099</v>
      </c>
    </row>
    <row r="321" spans="1:6" ht="13.2">
      <c r="B321" s="174">
        <v>405</v>
      </c>
      <c r="D321" s="176" t="s">
        <v>157</v>
      </c>
      <c r="E321" s="176" t="s">
        <v>1100</v>
      </c>
      <c r="F321" s="176" t="s">
        <v>1100</v>
      </c>
    </row>
    <row r="322" spans="1:6" ht="13.2">
      <c r="B322" s="174">
        <v>406</v>
      </c>
      <c r="D322" s="176" t="s">
        <v>158</v>
      </c>
      <c r="E322" s="176" t="s">
        <v>1101</v>
      </c>
      <c r="F322" s="176" t="s">
        <v>1101</v>
      </c>
    </row>
    <row r="323" spans="1:6" ht="13.2">
      <c r="B323" s="174">
        <v>407</v>
      </c>
      <c r="C323" s="175" t="s">
        <v>467</v>
      </c>
      <c r="D323" s="173" t="s">
        <v>463</v>
      </c>
      <c r="E323" s="181" t="s">
        <v>1102</v>
      </c>
      <c r="F323" s="181" t="s">
        <v>1102</v>
      </c>
    </row>
    <row r="324" spans="1:6" ht="13.2">
      <c r="B324" s="174">
        <v>408</v>
      </c>
      <c r="D324" s="176" t="s">
        <v>159</v>
      </c>
      <c r="E324" s="176" t="s">
        <v>1103</v>
      </c>
      <c r="F324" s="176" t="s">
        <v>1103</v>
      </c>
    </row>
    <row r="325" spans="1:6" ht="13.2">
      <c r="B325" s="174">
        <v>409</v>
      </c>
      <c r="C325" s="175" t="s">
        <v>467</v>
      </c>
      <c r="D325" s="176" t="s">
        <v>461</v>
      </c>
      <c r="E325" s="181" t="s">
        <v>1104</v>
      </c>
      <c r="F325" s="181" t="s">
        <v>1104</v>
      </c>
    </row>
    <row r="326" spans="1:6" ht="13.2">
      <c r="B326" s="174">
        <v>410</v>
      </c>
      <c r="D326" s="176" t="s">
        <v>160</v>
      </c>
      <c r="E326" s="176" t="s">
        <v>1105</v>
      </c>
      <c r="F326" s="176" t="s">
        <v>1105</v>
      </c>
    </row>
    <row r="327" spans="1:6" ht="39.6">
      <c r="B327" s="174">
        <v>411</v>
      </c>
      <c r="D327" s="176" t="s">
        <v>161</v>
      </c>
      <c r="E327" s="176" t="s">
        <v>1106</v>
      </c>
      <c r="F327" s="176" t="s">
        <v>1106</v>
      </c>
    </row>
    <row r="328" spans="1:6" ht="13.2">
      <c r="B328" s="174">
        <v>412</v>
      </c>
      <c r="D328" s="176" t="s">
        <v>162</v>
      </c>
      <c r="E328" s="176" t="s">
        <v>1107</v>
      </c>
      <c r="F328" s="176" t="s">
        <v>1107</v>
      </c>
    </row>
    <row r="329" spans="1:6" ht="13.2">
      <c r="B329" s="174">
        <v>413</v>
      </c>
      <c r="D329" s="176" t="s">
        <v>507</v>
      </c>
      <c r="E329" s="176" t="s">
        <v>1108</v>
      </c>
      <c r="F329" s="176" t="s">
        <v>1108</v>
      </c>
    </row>
    <row r="330" spans="1:6" ht="26.4">
      <c r="B330" s="174">
        <v>414</v>
      </c>
      <c r="D330" s="176" t="s">
        <v>163</v>
      </c>
      <c r="E330" s="176" t="s">
        <v>1109</v>
      </c>
      <c r="F330" s="176" t="s">
        <v>1109</v>
      </c>
    </row>
    <row r="331" spans="1:6" ht="13.2">
      <c r="B331" s="174">
        <v>415</v>
      </c>
      <c r="D331" s="176" t="s">
        <v>510</v>
      </c>
      <c r="E331" s="176" t="s">
        <v>1110</v>
      </c>
      <c r="F331" s="176" t="s">
        <v>1110</v>
      </c>
    </row>
    <row r="332" spans="1:6" ht="13.2">
      <c r="B332" s="174">
        <v>416</v>
      </c>
      <c r="D332" s="176" t="s">
        <v>506</v>
      </c>
      <c r="E332" s="176" t="s">
        <v>1111</v>
      </c>
      <c r="F332" s="176" t="s">
        <v>1111</v>
      </c>
    </row>
    <row r="333" spans="1:6" ht="13.2">
      <c r="A333" s="178"/>
      <c r="B333" s="174">
        <v>417</v>
      </c>
      <c r="C333" s="179" t="s">
        <v>414</v>
      </c>
      <c r="D333" s="177" t="s">
        <v>441</v>
      </c>
      <c r="E333" s="177" t="s">
        <v>1112</v>
      </c>
      <c r="F333" s="177" t="s">
        <v>1112</v>
      </c>
    </row>
    <row r="334" spans="1:6" ht="13.2">
      <c r="A334" s="178"/>
      <c r="B334" s="174">
        <v>418</v>
      </c>
      <c r="C334" s="179" t="s">
        <v>414</v>
      </c>
      <c r="D334" s="177" t="s">
        <v>442</v>
      </c>
      <c r="E334" s="177" t="s">
        <v>1113</v>
      </c>
      <c r="F334" s="177" t="s">
        <v>1113</v>
      </c>
    </row>
    <row r="335" spans="1:6" ht="13.2">
      <c r="A335" s="178"/>
      <c r="B335" s="174">
        <v>419</v>
      </c>
      <c r="C335" s="179" t="s">
        <v>414</v>
      </c>
      <c r="D335" s="177" t="s">
        <v>443</v>
      </c>
      <c r="E335" s="177" t="s">
        <v>1114</v>
      </c>
      <c r="F335" s="177" t="s">
        <v>1114</v>
      </c>
    </row>
    <row r="336" spans="1:6" ht="13.2">
      <c r="B336" s="174">
        <v>420</v>
      </c>
      <c r="D336" s="176" t="s">
        <v>164</v>
      </c>
      <c r="E336" s="176" t="s">
        <v>1112</v>
      </c>
      <c r="F336" s="176" t="s">
        <v>1112</v>
      </c>
    </row>
    <row r="337" spans="2:6" ht="13.2">
      <c r="B337" s="174">
        <v>421</v>
      </c>
      <c r="D337" s="176" t="s">
        <v>165</v>
      </c>
      <c r="E337" s="177" t="s">
        <v>1115</v>
      </c>
      <c r="F337" s="177" t="s">
        <v>1115</v>
      </c>
    </row>
    <row r="338" spans="2:6" ht="13.2">
      <c r="B338" s="174">
        <v>422</v>
      </c>
      <c r="D338" s="176" t="s">
        <v>166</v>
      </c>
      <c r="E338" s="176" t="s">
        <v>1116</v>
      </c>
      <c r="F338" s="176" t="s">
        <v>1116</v>
      </c>
    </row>
    <row r="339" spans="2:6" ht="13.2">
      <c r="B339" s="174">
        <v>423</v>
      </c>
      <c r="D339" s="176" t="s">
        <v>167</v>
      </c>
      <c r="E339" s="176" t="s">
        <v>1117</v>
      </c>
      <c r="F339" s="176" t="s">
        <v>1117</v>
      </c>
    </row>
    <row r="340" spans="2:6" ht="13.2">
      <c r="B340" s="174">
        <v>424</v>
      </c>
      <c r="D340" s="176" t="s">
        <v>168</v>
      </c>
      <c r="E340" s="176" t="s">
        <v>1118</v>
      </c>
      <c r="F340" s="176" t="s">
        <v>1118</v>
      </c>
    </row>
    <row r="341" spans="2:6" ht="13.2">
      <c r="B341" s="174">
        <v>425</v>
      </c>
      <c r="D341" s="176" t="s">
        <v>169</v>
      </c>
      <c r="E341" s="176" t="s">
        <v>1119</v>
      </c>
      <c r="F341" s="176" t="s">
        <v>1119</v>
      </c>
    </row>
    <row r="342" spans="2:6" ht="13.2">
      <c r="B342" s="174">
        <v>426</v>
      </c>
      <c r="D342" s="176" t="s">
        <v>170</v>
      </c>
      <c r="E342" s="176" t="s">
        <v>1120</v>
      </c>
      <c r="F342" s="176" t="s">
        <v>1120</v>
      </c>
    </row>
    <row r="343" spans="2:6" ht="13.2">
      <c r="B343" s="174">
        <v>427</v>
      </c>
      <c r="D343" s="176" t="s">
        <v>171</v>
      </c>
      <c r="E343" s="176" t="s">
        <v>1121</v>
      </c>
      <c r="F343" s="176" t="s">
        <v>1121</v>
      </c>
    </row>
    <row r="344" spans="2:6" ht="13.2">
      <c r="B344" s="174">
        <v>428</v>
      </c>
      <c r="D344" s="176" t="s">
        <v>172</v>
      </c>
      <c r="E344" s="176" t="s">
        <v>1122</v>
      </c>
      <c r="F344" s="176" t="s">
        <v>1122</v>
      </c>
    </row>
    <row r="345" spans="2:6" ht="13.2">
      <c r="B345" s="174">
        <v>429</v>
      </c>
      <c r="D345" s="176" t="s">
        <v>173</v>
      </c>
      <c r="E345" s="176" t="s">
        <v>1123</v>
      </c>
      <c r="F345" s="176" t="s">
        <v>1123</v>
      </c>
    </row>
    <row r="346" spans="2:6" ht="13.2">
      <c r="B346" s="174">
        <v>430</v>
      </c>
      <c r="D346" s="176" t="s">
        <v>174</v>
      </c>
      <c r="E346" s="176" t="s">
        <v>1124</v>
      </c>
      <c r="F346" s="176" t="s">
        <v>1124</v>
      </c>
    </row>
    <row r="347" spans="2:6" ht="13.2">
      <c r="B347" s="174">
        <v>431</v>
      </c>
      <c r="D347" s="176" t="s">
        <v>175</v>
      </c>
      <c r="E347" s="176" t="s">
        <v>1125</v>
      </c>
      <c r="F347" s="176" t="s">
        <v>1125</v>
      </c>
    </row>
    <row r="348" spans="2:6" ht="13.2">
      <c r="B348" s="174">
        <v>432</v>
      </c>
      <c r="D348" s="176" t="s">
        <v>176</v>
      </c>
      <c r="E348" s="176" t="s">
        <v>1126</v>
      </c>
      <c r="F348" s="176" t="s">
        <v>1126</v>
      </c>
    </row>
    <row r="349" spans="2:6" ht="13.2">
      <c r="B349" s="174">
        <v>433</v>
      </c>
      <c r="D349" s="176" t="s">
        <v>177</v>
      </c>
      <c r="E349" s="176" t="s">
        <v>1127</v>
      </c>
      <c r="F349" s="176" t="s">
        <v>1127</v>
      </c>
    </row>
    <row r="350" spans="2:6" ht="13.2">
      <c r="B350" s="174">
        <v>434</v>
      </c>
      <c r="D350" s="176" t="s">
        <v>513</v>
      </c>
      <c r="E350" s="176" t="s">
        <v>1128</v>
      </c>
      <c r="F350" s="176" t="s">
        <v>1128</v>
      </c>
    </row>
    <row r="351" spans="2:6" ht="13.2">
      <c r="B351" s="174">
        <v>435</v>
      </c>
      <c r="D351" s="176" t="s">
        <v>512</v>
      </c>
      <c r="E351" s="176" t="s">
        <v>1129</v>
      </c>
      <c r="F351" s="176" t="s">
        <v>1129</v>
      </c>
    </row>
    <row r="352" spans="2:6" ht="13.2">
      <c r="B352" s="174">
        <v>436</v>
      </c>
      <c r="D352" s="176" t="s">
        <v>178</v>
      </c>
      <c r="E352" s="176" t="s">
        <v>1130</v>
      </c>
      <c r="F352" s="176" t="s">
        <v>1130</v>
      </c>
    </row>
    <row r="353" spans="2:6" ht="13.2">
      <c r="B353" s="174">
        <v>437</v>
      </c>
      <c r="D353" s="176" t="s">
        <v>179</v>
      </c>
      <c r="E353" s="176" t="s">
        <v>1131</v>
      </c>
      <c r="F353" s="176" t="s">
        <v>1131</v>
      </c>
    </row>
    <row r="354" spans="2:6" ht="13.2">
      <c r="B354" s="174">
        <v>438</v>
      </c>
      <c r="D354" s="176" t="s">
        <v>180</v>
      </c>
      <c r="E354" s="176" t="s">
        <v>1132</v>
      </c>
      <c r="F354" s="176" t="s">
        <v>1132</v>
      </c>
    </row>
    <row r="355" spans="2:6" ht="13.2">
      <c r="B355" s="174">
        <v>439</v>
      </c>
      <c r="D355" s="176" t="s">
        <v>181</v>
      </c>
      <c r="E355" s="176" t="s">
        <v>1133</v>
      </c>
      <c r="F355" s="176" t="s">
        <v>1133</v>
      </c>
    </row>
    <row r="356" spans="2:6" ht="13.2">
      <c r="B356" s="174">
        <v>440</v>
      </c>
      <c r="D356" s="176" t="s">
        <v>182</v>
      </c>
      <c r="E356" s="176" t="s">
        <v>1134</v>
      </c>
      <c r="F356" s="176" t="s">
        <v>1134</v>
      </c>
    </row>
    <row r="357" spans="2:6" ht="13.2">
      <c r="B357" s="174">
        <v>441</v>
      </c>
      <c r="D357" s="176" t="s">
        <v>183</v>
      </c>
      <c r="E357" s="176" t="s">
        <v>1135</v>
      </c>
      <c r="F357" s="176" t="s">
        <v>1135</v>
      </c>
    </row>
    <row r="358" spans="2:6" ht="13.2">
      <c r="B358" s="174">
        <v>442</v>
      </c>
      <c r="D358" s="176" t="s">
        <v>514</v>
      </c>
      <c r="E358" s="176" t="s">
        <v>1136</v>
      </c>
      <c r="F358" s="176" t="s">
        <v>1136</v>
      </c>
    </row>
    <row r="359" spans="2:6" ht="13.2">
      <c r="B359" s="174">
        <v>443</v>
      </c>
      <c r="D359" s="176" t="s">
        <v>500</v>
      </c>
      <c r="E359" s="176" t="s">
        <v>1137</v>
      </c>
      <c r="F359" s="176" t="s">
        <v>1137</v>
      </c>
    </row>
    <row r="360" spans="2:6">
      <c r="B360" s="174">
        <v>444</v>
      </c>
      <c r="D360" s="176" t="s">
        <v>392</v>
      </c>
      <c r="E360" s="176" t="s">
        <v>392</v>
      </c>
      <c r="F360" s="176" t="s">
        <v>392</v>
      </c>
    </row>
    <row r="361" spans="2:6" ht="26.4">
      <c r="B361" s="174">
        <v>445</v>
      </c>
      <c r="C361" s="175" t="s">
        <v>544</v>
      </c>
      <c r="D361" s="176" t="s">
        <v>572</v>
      </c>
      <c r="E361" s="176" t="s">
        <v>1138</v>
      </c>
      <c r="F361" s="176" t="s">
        <v>1138</v>
      </c>
    </row>
    <row r="362" spans="2:6" ht="13.2">
      <c r="B362" s="174">
        <v>446</v>
      </c>
      <c r="D362" s="176" t="s">
        <v>600</v>
      </c>
      <c r="E362" s="176" t="s">
        <v>1139</v>
      </c>
      <c r="F362" s="176" t="s">
        <v>1139</v>
      </c>
    </row>
    <row r="363" spans="2:6" ht="13.2">
      <c r="B363" s="174">
        <v>447</v>
      </c>
      <c r="C363" s="175" t="s">
        <v>467</v>
      </c>
      <c r="D363" s="176" t="s">
        <v>472</v>
      </c>
      <c r="E363" s="176" t="s">
        <v>1140</v>
      </c>
      <c r="F363" s="176" t="s">
        <v>1140</v>
      </c>
    </row>
    <row r="364" spans="2:6" ht="13.2">
      <c r="B364" s="174">
        <v>448</v>
      </c>
      <c r="D364" s="176" t="s">
        <v>184</v>
      </c>
      <c r="E364" s="176" t="s">
        <v>1141</v>
      </c>
      <c r="F364" s="176" t="s">
        <v>1141</v>
      </c>
    </row>
    <row r="365" spans="2:6" ht="26.4">
      <c r="B365" s="174">
        <v>449</v>
      </c>
      <c r="D365" s="176" t="s">
        <v>185</v>
      </c>
      <c r="E365" s="176" t="s">
        <v>1142</v>
      </c>
      <c r="F365" s="176" t="s">
        <v>1142</v>
      </c>
    </row>
    <row r="366" spans="2:6" ht="13.2">
      <c r="B366" s="174">
        <v>450</v>
      </c>
      <c r="D366" s="176" t="s">
        <v>186</v>
      </c>
      <c r="E366" s="176" t="s">
        <v>1143</v>
      </c>
      <c r="F366" s="176" t="s">
        <v>1143</v>
      </c>
    </row>
    <row r="367" spans="2:6" ht="13.2">
      <c r="B367" s="174">
        <v>451</v>
      </c>
      <c r="D367" s="176" t="s">
        <v>606</v>
      </c>
      <c r="E367" s="176" t="s">
        <v>1144</v>
      </c>
      <c r="F367" s="176" t="s">
        <v>1144</v>
      </c>
    </row>
    <row r="368" spans="2:6" ht="26.4">
      <c r="B368" s="174">
        <v>452</v>
      </c>
      <c r="D368" s="176" t="s">
        <v>187</v>
      </c>
      <c r="E368" s="176" t="s">
        <v>1145</v>
      </c>
      <c r="F368" s="176" t="s">
        <v>1145</v>
      </c>
    </row>
    <row r="369" spans="2:6" ht="13.2">
      <c r="B369" s="174">
        <v>453</v>
      </c>
      <c r="D369" s="177" t="s">
        <v>444</v>
      </c>
      <c r="E369" s="176" t="s">
        <v>924</v>
      </c>
      <c r="F369" s="176" t="s">
        <v>924</v>
      </c>
    </row>
    <row r="370" spans="2:6" ht="13.2">
      <c r="B370" s="174">
        <v>454</v>
      </c>
      <c r="D370" s="176" t="s">
        <v>393</v>
      </c>
      <c r="E370" s="176" t="s">
        <v>1146</v>
      </c>
      <c r="F370" s="176" t="s">
        <v>1146</v>
      </c>
    </row>
    <row r="371" spans="2:6" ht="13.2">
      <c r="B371" s="174">
        <v>455</v>
      </c>
      <c r="D371" s="176" t="s">
        <v>188</v>
      </c>
      <c r="E371" s="176" t="s">
        <v>1147</v>
      </c>
      <c r="F371" s="176" t="s">
        <v>1147</v>
      </c>
    </row>
    <row r="372" spans="2:6" ht="13.2">
      <c r="B372" s="174">
        <v>456</v>
      </c>
      <c r="D372" s="176" t="s">
        <v>394</v>
      </c>
      <c r="E372" s="176" t="s">
        <v>1148</v>
      </c>
      <c r="F372" s="176" t="s">
        <v>1148</v>
      </c>
    </row>
    <row r="373" spans="2:6" ht="13.2">
      <c r="B373" s="174">
        <v>457</v>
      </c>
      <c r="D373" s="176" t="s">
        <v>189</v>
      </c>
      <c r="E373" s="176" t="s">
        <v>1149</v>
      </c>
      <c r="F373" s="176" t="s">
        <v>1149</v>
      </c>
    </row>
    <row r="374" spans="2:6" ht="13.2">
      <c r="B374" s="174">
        <v>458</v>
      </c>
      <c r="D374" s="176" t="s">
        <v>190</v>
      </c>
      <c r="E374" s="176" t="s">
        <v>1150</v>
      </c>
      <c r="F374" s="176" t="s">
        <v>1150</v>
      </c>
    </row>
    <row r="375" spans="2:6" ht="13.2">
      <c r="B375" s="174">
        <v>459</v>
      </c>
      <c r="C375" s="175" t="s">
        <v>544</v>
      </c>
      <c r="D375" s="176" t="s">
        <v>564</v>
      </c>
      <c r="E375" s="176" t="s">
        <v>1151</v>
      </c>
      <c r="F375" s="176" t="s">
        <v>1151</v>
      </c>
    </row>
    <row r="376" spans="2:6" ht="13.2">
      <c r="B376" s="174">
        <v>460</v>
      </c>
      <c r="D376" s="176" t="s">
        <v>191</v>
      </c>
      <c r="E376" s="176" t="s">
        <v>1151</v>
      </c>
      <c r="F376" s="176" t="s">
        <v>1151</v>
      </c>
    </row>
    <row r="377" spans="2:6" ht="13.2">
      <c r="B377" s="174">
        <v>461</v>
      </c>
      <c r="D377" s="176" t="s">
        <v>192</v>
      </c>
      <c r="E377" s="176" t="s">
        <v>1152</v>
      </c>
      <c r="F377" s="176" t="s">
        <v>1152</v>
      </c>
    </row>
    <row r="378" spans="2:6" ht="13.2">
      <c r="B378" s="174">
        <v>462</v>
      </c>
      <c r="D378" s="176" t="s">
        <v>625</v>
      </c>
      <c r="E378" s="176" t="s">
        <v>1153</v>
      </c>
      <c r="F378" s="176" t="s">
        <v>1153</v>
      </c>
    </row>
    <row r="379" spans="2:6" ht="13.2">
      <c r="B379" s="174">
        <v>463</v>
      </c>
      <c r="D379" s="176" t="s">
        <v>193</v>
      </c>
      <c r="E379" s="176" t="s">
        <v>1154</v>
      </c>
      <c r="F379" s="176" t="s">
        <v>1154</v>
      </c>
    </row>
    <row r="380" spans="2:6">
      <c r="B380" s="174">
        <v>464</v>
      </c>
      <c r="D380" s="176" t="s">
        <v>194</v>
      </c>
      <c r="F380" s="176"/>
    </row>
    <row r="381" spans="2:6" ht="13.2">
      <c r="B381" s="174">
        <v>465</v>
      </c>
      <c r="D381" s="176" t="s">
        <v>395</v>
      </c>
      <c r="E381" s="176" t="s">
        <v>1155</v>
      </c>
      <c r="F381" s="176" t="s">
        <v>1155</v>
      </c>
    </row>
    <row r="382" spans="2:6" ht="24">
      <c r="B382" s="174">
        <v>466</v>
      </c>
      <c r="D382" s="176" t="s">
        <v>615</v>
      </c>
      <c r="E382" s="176" t="s">
        <v>1156</v>
      </c>
      <c r="F382" s="176" t="s">
        <v>1156</v>
      </c>
    </row>
    <row r="383" spans="2:6" ht="24">
      <c r="B383" s="174">
        <v>467</v>
      </c>
      <c r="D383" s="176" t="s">
        <v>195</v>
      </c>
      <c r="E383" s="176" t="s">
        <v>1157</v>
      </c>
      <c r="F383" s="176" t="s">
        <v>1157</v>
      </c>
    </row>
    <row r="384" spans="2:6" ht="13.2">
      <c r="B384" s="174">
        <v>468</v>
      </c>
      <c r="D384" s="176" t="s">
        <v>196</v>
      </c>
      <c r="E384" s="176" t="s">
        <v>1158</v>
      </c>
      <c r="F384" s="176" t="s">
        <v>1158</v>
      </c>
    </row>
    <row r="385" spans="2:6" ht="13.2">
      <c r="B385" s="174">
        <v>469</v>
      </c>
      <c r="D385" s="176" t="s">
        <v>197</v>
      </c>
      <c r="E385" s="176" t="s">
        <v>1159</v>
      </c>
      <c r="F385" s="176" t="s">
        <v>1159</v>
      </c>
    </row>
    <row r="386" spans="2:6" ht="13.2">
      <c r="B386" s="174">
        <v>470</v>
      </c>
      <c r="C386" s="175" t="s">
        <v>544</v>
      </c>
      <c r="D386" s="176" t="s">
        <v>557</v>
      </c>
      <c r="E386" s="176" t="s">
        <v>1160</v>
      </c>
      <c r="F386" s="176" t="s">
        <v>1160</v>
      </c>
    </row>
    <row r="387" spans="2:6" ht="13.2">
      <c r="B387" s="174">
        <v>471</v>
      </c>
      <c r="C387" s="175" t="s">
        <v>544</v>
      </c>
      <c r="D387" s="176" t="s">
        <v>561</v>
      </c>
      <c r="E387" s="176" t="s">
        <v>1161</v>
      </c>
      <c r="F387" s="176" t="s">
        <v>1161</v>
      </c>
    </row>
    <row r="388" spans="2:6" ht="13.2">
      <c r="B388" s="174">
        <v>472</v>
      </c>
      <c r="D388" s="176" t="s">
        <v>198</v>
      </c>
      <c r="E388" s="176" t="s">
        <v>1162</v>
      </c>
      <c r="F388" s="176" t="s">
        <v>1162</v>
      </c>
    </row>
    <row r="389" spans="2:6" ht="13.2">
      <c r="B389" s="174">
        <v>473</v>
      </c>
      <c r="C389" s="175" t="s">
        <v>544</v>
      </c>
      <c r="D389" s="176" t="s">
        <v>553</v>
      </c>
      <c r="E389" s="176" t="s">
        <v>1163</v>
      </c>
      <c r="F389" s="176" t="s">
        <v>1163</v>
      </c>
    </row>
    <row r="390" spans="2:6" ht="24">
      <c r="B390" s="174">
        <v>474</v>
      </c>
      <c r="C390" s="175" t="s">
        <v>544</v>
      </c>
      <c r="D390" s="176" t="s">
        <v>555</v>
      </c>
      <c r="E390" s="176" t="s">
        <v>1164</v>
      </c>
      <c r="F390" s="176" t="s">
        <v>1164</v>
      </c>
    </row>
    <row r="391" spans="2:6" ht="13.2">
      <c r="B391" s="174">
        <v>475</v>
      </c>
      <c r="C391" s="175" t="s">
        <v>544</v>
      </c>
      <c r="D391" s="176" t="s">
        <v>556</v>
      </c>
      <c r="E391" s="176" t="s">
        <v>1165</v>
      </c>
      <c r="F391" s="176" t="s">
        <v>1165</v>
      </c>
    </row>
    <row r="392" spans="2:6" ht="13.2">
      <c r="B392" s="174">
        <v>476</v>
      </c>
      <c r="D392" s="176" t="s">
        <v>199</v>
      </c>
      <c r="E392" s="176" t="s">
        <v>1166</v>
      </c>
      <c r="F392" s="176" t="s">
        <v>1166</v>
      </c>
    </row>
    <row r="393" spans="2:6" ht="13.2">
      <c r="B393" s="174">
        <v>477</v>
      </c>
      <c r="D393" s="176" t="s">
        <v>200</v>
      </c>
      <c r="E393" s="176" t="s">
        <v>1167</v>
      </c>
      <c r="F393" s="176" t="s">
        <v>1167</v>
      </c>
    </row>
    <row r="394" spans="2:6" ht="39.6">
      <c r="B394" s="174">
        <v>478</v>
      </c>
      <c r="C394" s="175" t="s">
        <v>544</v>
      </c>
      <c r="D394" s="176" t="s">
        <v>574</v>
      </c>
      <c r="E394" s="176" t="s">
        <v>1168</v>
      </c>
      <c r="F394" s="176" t="s">
        <v>1168</v>
      </c>
    </row>
    <row r="395" spans="2:6" ht="13.2">
      <c r="B395" s="174">
        <v>479</v>
      </c>
      <c r="D395" s="176" t="s">
        <v>201</v>
      </c>
      <c r="E395" s="176" t="s">
        <v>1169</v>
      </c>
      <c r="F395" s="176" t="s">
        <v>1169</v>
      </c>
    </row>
    <row r="396" spans="2:6" ht="13.2">
      <c r="B396" s="174">
        <v>480</v>
      </c>
      <c r="D396" s="176" t="s">
        <v>629</v>
      </c>
      <c r="E396" s="176" t="s">
        <v>1170</v>
      </c>
      <c r="F396" s="176" t="s">
        <v>1170</v>
      </c>
    </row>
    <row r="397" spans="2:6" ht="13.2">
      <c r="B397" s="174">
        <v>481</v>
      </c>
      <c r="D397" s="176" t="s">
        <v>202</v>
      </c>
      <c r="E397" s="176" t="s">
        <v>1171</v>
      </c>
      <c r="F397" s="176" t="s">
        <v>1171</v>
      </c>
    </row>
    <row r="398" spans="2:6" ht="13.2">
      <c r="B398" s="174">
        <v>482</v>
      </c>
      <c r="D398" s="176" t="s">
        <v>203</v>
      </c>
      <c r="E398" s="176" t="s">
        <v>1172</v>
      </c>
      <c r="F398" s="176" t="s">
        <v>1172</v>
      </c>
    </row>
    <row r="399" spans="2:6" ht="13.2">
      <c r="B399" s="174">
        <v>483</v>
      </c>
      <c r="D399" s="176" t="s">
        <v>204</v>
      </c>
      <c r="E399" s="176" t="s">
        <v>1173</v>
      </c>
      <c r="F399" s="176" t="s">
        <v>1173</v>
      </c>
    </row>
    <row r="400" spans="2:6" ht="13.2">
      <c r="B400" s="174">
        <v>484</v>
      </c>
      <c r="D400" s="176" t="s">
        <v>205</v>
      </c>
      <c r="E400" s="176" t="s">
        <v>1174</v>
      </c>
      <c r="F400" s="176" t="s">
        <v>1174</v>
      </c>
    </row>
    <row r="401" spans="2:6" ht="26.4">
      <c r="B401" s="174">
        <v>485</v>
      </c>
      <c r="D401" s="176" t="s">
        <v>206</v>
      </c>
      <c r="E401" s="176" t="s">
        <v>1175</v>
      </c>
      <c r="F401" s="176" t="s">
        <v>1175</v>
      </c>
    </row>
    <row r="402" spans="2:6" ht="13.2">
      <c r="B402" s="174">
        <v>486</v>
      </c>
      <c r="D402" s="176" t="s">
        <v>628</v>
      </c>
      <c r="E402" s="176" t="s">
        <v>1176</v>
      </c>
      <c r="F402" s="176" t="s">
        <v>1176</v>
      </c>
    </row>
    <row r="403" spans="2:6" ht="13.2">
      <c r="B403" s="174">
        <v>487</v>
      </c>
      <c r="D403" s="176" t="s">
        <v>626</v>
      </c>
      <c r="E403" s="176" t="s">
        <v>1177</v>
      </c>
      <c r="F403" s="176" t="s">
        <v>1177</v>
      </c>
    </row>
    <row r="404" spans="2:6" ht="13.2">
      <c r="B404" s="174">
        <v>488</v>
      </c>
      <c r="D404" s="176" t="s">
        <v>627</v>
      </c>
      <c r="E404" s="176" t="s">
        <v>1178</v>
      </c>
      <c r="F404" s="176" t="s">
        <v>1178</v>
      </c>
    </row>
    <row r="405" spans="2:6" ht="13.2">
      <c r="B405" s="174">
        <v>489</v>
      </c>
      <c r="D405" s="176" t="s">
        <v>207</v>
      </c>
      <c r="E405" s="176" t="s">
        <v>1179</v>
      </c>
      <c r="F405" s="176" t="s">
        <v>1179</v>
      </c>
    </row>
    <row r="406" spans="2:6" ht="13.2">
      <c r="B406" s="174">
        <v>490</v>
      </c>
      <c r="C406" s="175" t="s">
        <v>467</v>
      </c>
      <c r="D406" s="176" t="s">
        <v>471</v>
      </c>
      <c r="E406" s="176" t="s">
        <v>1180</v>
      </c>
      <c r="F406" s="176" t="s">
        <v>1180</v>
      </c>
    </row>
    <row r="407" spans="2:6" ht="13.2">
      <c r="B407" s="174">
        <v>491</v>
      </c>
      <c r="D407" s="176" t="s">
        <v>208</v>
      </c>
      <c r="E407" s="176" t="s">
        <v>1181</v>
      </c>
      <c r="F407" s="176" t="s">
        <v>1181</v>
      </c>
    </row>
    <row r="408" spans="2:6" ht="13.2">
      <c r="B408" s="174">
        <v>492</v>
      </c>
      <c r="C408" s="175" t="s">
        <v>485</v>
      </c>
      <c r="D408" s="176" t="s">
        <v>483</v>
      </c>
      <c r="E408" s="176" t="s">
        <v>1182</v>
      </c>
      <c r="F408" s="176" t="s">
        <v>1182</v>
      </c>
    </row>
    <row r="409" spans="2:6" ht="13.2">
      <c r="B409" s="174">
        <v>493</v>
      </c>
      <c r="C409" s="175" t="s">
        <v>485</v>
      </c>
      <c r="D409" s="176" t="s">
        <v>482</v>
      </c>
      <c r="E409" s="176" t="s">
        <v>1183</v>
      </c>
      <c r="F409" s="176" t="s">
        <v>1183</v>
      </c>
    </row>
    <row r="410" spans="2:6" ht="13.2">
      <c r="B410" s="174">
        <v>494</v>
      </c>
      <c r="D410" s="176" t="s">
        <v>209</v>
      </c>
      <c r="E410" s="176" t="s">
        <v>1184</v>
      </c>
      <c r="F410" s="176" t="s">
        <v>1184</v>
      </c>
    </row>
    <row r="411" spans="2:6" ht="13.2">
      <c r="B411" s="174">
        <v>495</v>
      </c>
      <c r="D411" s="176" t="s">
        <v>210</v>
      </c>
      <c r="E411" s="176" t="s">
        <v>1185</v>
      </c>
      <c r="F411" s="176" t="s">
        <v>1185</v>
      </c>
    </row>
    <row r="412" spans="2:6" ht="13.2">
      <c r="B412" s="174">
        <v>496</v>
      </c>
      <c r="C412" s="175" t="s">
        <v>544</v>
      </c>
      <c r="D412" s="176" t="s">
        <v>656</v>
      </c>
      <c r="E412" s="176" t="s">
        <v>1186</v>
      </c>
      <c r="F412" s="176" t="s">
        <v>1186</v>
      </c>
    </row>
    <row r="413" spans="2:6" ht="13.2">
      <c r="B413" s="174">
        <v>497</v>
      </c>
      <c r="D413" s="176" t="s">
        <v>211</v>
      </c>
      <c r="E413" s="176" t="s">
        <v>1187</v>
      </c>
      <c r="F413" s="176" t="s">
        <v>1187</v>
      </c>
    </row>
    <row r="414" spans="2:6" ht="39.6">
      <c r="B414" s="174">
        <v>498</v>
      </c>
      <c r="D414" s="176" t="s">
        <v>212</v>
      </c>
      <c r="E414" s="176" t="s">
        <v>1188</v>
      </c>
      <c r="F414" s="176" t="s">
        <v>1188</v>
      </c>
    </row>
    <row r="415" spans="2:6" ht="13.2">
      <c r="B415" s="174">
        <v>499</v>
      </c>
      <c r="D415" s="176" t="s">
        <v>213</v>
      </c>
      <c r="E415" s="176" t="s">
        <v>1189</v>
      </c>
      <c r="F415" s="176" t="s">
        <v>1189</v>
      </c>
    </row>
    <row r="416" spans="2:6" ht="24">
      <c r="B416" s="174">
        <v>500</v>
      </c>
      <c r="D416" s="176" t="s">
        <v>214</v>
      </c>
      <c r="E416" s="176" t="s">
        <v>1190</v>
      </c>
      <c r="F416" s="176" t="s">
        <v>1190</v>
      </c>
    </row>
    <row r="417" spans="2:6" ht="13.2">
      <c r="B417" s="174">
        <v>501</v>
      </c>
      <c r="D417" s="176" t="s">
        <v>215</v>
      </c>
      <c r="E417" s="176" t="s">
        <v>1191</v>
      </c>
      <c r="F417" s="176" t="s">
        <v>1191</v>
      </c>
    </row>
    <row r="418" spans="2:6" ht="24">
      <c r="B418" s="174">
        <v>502</v>
      </c>
      <c r="D418" s="176" t="s">
        <v>216</v>
      </c>
      <c r="E418" s="176" t="s">
        <v>1192</v>
      </c>
      <c r="F418" s="176" t="s">
        <v>1192</v>
      </c>
    </row>
    <row r="419" spans="2:6" ht="24">
      <c r="B419" s="174">
        <v>503</v>
      </c>
      <c r="D419" s="176" t="s">
        <v>217</v>
      </c>
      <c r="E419" s="176" t="s">
        <v>1193</v>
      </c>
      <c r="F419" s="176" t="s">
        <v>1193</v>
      </c>
    </row>
    <row r="420" spans="2:6" ht="24">
      <c r="B420" s="174">
        <v>504</v>
      </c>
      <c r="D420" s="176" t="s">
        <v>218</v>
      </c>
      <c r="E420" s="176" t="s">
        <v>1194</v>
      </c>
      <c r="F420" s="176" t="s">
        <v>1194</v>
      </c>
    </row>
    <row r="421" spans="2:6" ht="24">
      <c r="B421" s="174">
        <v>505</v>
      </c>
      <c r="D421" s="176" t="s">
        <v>219</v>
      </c>
      <c r="E421" s="176" t="s">
        <v>1195</v>
      </c>
      <c r="F421" s="176" t="s">
        <v>1195</v>
      </c>
    </row>
    <row r="422" spans="2:6" ht="24">
      <c r="B422" s="174">
        <v>506</v>
      </c>
      <c r="D422" s="176" t="s">
        <v>220</v>
      </c>
      <c r="E422" s="176" t="s">
        <v>1196</v>
      </c>
      <c r="F422" s="176" t="s">
        <v>1196</v>
      </c>
    </row>
    <row r="423" spans="2:6" ht="24">
      <c r="B423" s="174">
        <v>507</v>
      </c>
      <c r="D423" s="176" t="s">
        <v>221</v>
      </c>
      <c r="E423" s="176" t="s">
        <v>1197</v>
      </c>
      <c r="F423" s="176" t="s">
        <v>1197</v>
      </c>
    </row>
    <row r="424" spans="2:6" ht="24">
      <c r="B424" s="174">
        <v>508</v>
      </c>
      <c r="D424" s="176" t="s">
        <v>222</v>
      </c>
      <c r="E424" s="176" t="s">
        <v>1198</v>
      </c>
      <c r="F424" s="176" t="s">
        <v>1198</v>
      </c>
    </row>
    <row r="425" spans="2:6" ht="24">
      <c r="B425" s="174">
        <v>509</v>
      </c>
      <c r="D425" s="176" t="s">
        <v>223</v>
      </c>
      <c r="E425" s="176" t="s">
        <v>1199</v>
      </c>
      <c r="F425" s="176" t="s">
        <v>1199</v>
      </c>
    </row>
    <row r="426" spans="2:6" ht="24">
      <c r="B426" s="174">
        <v>510</v>
      </c>
      <c r="D426" s="176" t="s">
        <v>224</v>
      </c>
      <c r="E426" s="176" t="s">
        <v>1200</v>
      </c>
      <c r="F426" s="176" t="s">
        <v>1200</v>
      </c>
    </row>
    <row r="427" spans="2:6" ht="24">
      <c r="B427" s="174">
        <v>511</v>
      </c>
      <c r="D427" s="176" t="s">
        <v>225</v>
      </c>
      <c r="E427" s="176" t="s">
        <v>1201</v>
      </c>
      <c r="F427" s="176" t="s">
        <v>1201</v>
      </c>
    </row>
    <row r="428" spans="2:6" ht="24">
      <c r="B428" s="174">
        <v>512</v>
      </c>
      <c r="D428" s="176" t="s">
        <v>226</v>
      </c>
      <c r="E428" s="176" t="s">
        <v>1202</v>
      </c>
      <c r="F428" s="176" t="s">
        <v>1202</v>
      </c>
    </row>
    <row r="429" spans="2:6" ht="24">
      <c r="B429" s="174">
        <v>513</v>
      </c>
      <c r="D429" s="176" t="s">
        <v>227</v>
      </c>
      <c r="E429" s="176" t="s">
        <v>1203</v>
      </c>
      <c r="F429" s="176" t="s">
        <v>1203</v>
      </c>
    </row>
    <row r="430" spans="2:6" ht="24">
      <c r="B430" s="174">
        <v>514</v>
      </c>
      <c r="D430" s="176" t="s">
        <v>228</v>
      </c>
      <c r="E430" s="176" t="s">
        <v>1204</v>
      </c>
      <c r="F430" s="176" t="s">
        <v>1204</v>
      </c>
    </row>
    <row r="431" spans="2:6" ht="24">
      <c r="B431" s="174">
        <v>515</v>
      </c>
      <c r="D431" s="176" t="s">
        <v>229</v>
      </c>
      <c r="E431" s="176" t="s">
        <v>1205</v>
      </c>
      <c r="F431" s="176" t="s">
        <v>1205</v>
      </c>
    </row>
    <row r="432" spans="2:6" ht="24">
      <c r="B432" s="174">
        <v>516</v>
      </c>
      <c r="D432" s="176" t="s">
        <v>230</v>
      </c>
      <c r="E432" s="176" t="s">
        <v>1206</v>
      </c>
      <c r="F432" s="176" t="s">
        <v>1206</v>
      </c>
    </row>
    <row r="433" spans="1:27" ht="24">
      <c r="B433" s="174">
        <v>517</v>
      </c>
      <c r="D433" s="176" t="s">
        <v>231</v>
      </c>
      <c r="E433" s="176" t="s">
        <v>1207</v>
      </c>
      <c r="F433" s="176" t="s">
        <v>1207</v>
      </c>
    </row>
    <row r="434" spans="1:27" ht="24">
      <c r="B434" s="174">
        <v>518</v>
      </c>
      <c r="D434" s="176" t="s">
        <v>232</v>
      </c>
      <c r="E434" s="176" t="s">
        <v>1208</v>
      </c>
      <c r="F434" s="176" t="s">
        <v>1208</v>
      </c>
    </row>
    <row r="435" spans="1:27" ht="24">
      <c r="B435" s="174">
        <v>519</v>
      </c>
      <c r="D435" s="176" t="s">
        <v>233</v>
      </c>
      <c r="E435" s="176" t="s">
        <v>1209</v>
      </c>
      <c r="F435" s="176" t="s">
        <v>1209</v>
      </c>
    </row>
    <row r="436" spans="1:27" ht="24">
      <c r="B436" s="174">
        <v>520</v>
      </c>
      <c r="D436" s="176" t="s">
        <v>234</v>
      </c>
      <c r="E436" s="176" t="s">
        <v>1210</v>
      </c>
      <c r="F436" s="176" t="s">
        <v>1210</v>
      </c>
    </row>
    <row r="437" spans="1:27" ht="24">
      <c r="B437" s="174">
        <v>521</v>
      </c>
      <c r="D437" s="176" t="s">
        <v>396</v>
      </c>
      <c r="E437" s="176" t="s">
        <v>1211</v>
      </c>
      <c r="F437" s="176" t="s">
        <v>1211</v>
      </c>
    </row>
    <row r="438" spans="1:27" ht="24">
      <c r="B438" s="174">
        <v>522</v>
      </c>
      <c r="D438" s="176" t="s">
        <v>397</v>
      </c>
      <c r="E438" s="176" t="s">
        <v>1211</v>
      </c>
      <c r="F438" s="176" t="s">
        <v>1211</v>
      </c>
    </row>
    <row r="439" spans="1:27" ht="26.4">
      <c r="B439" s="174">
        <v>523</v>
      </c>
      <c r="D439" s="176" t="s">
        <v>235</v>
      </c>
      <c r="E439" s="176" t="s">
        <v>1212</v>
      </c>
      <c r="F439" s="176" t="s">
        <v>1212</v>
      </c>
    </row>
    <row r="440" spans="1:27" ht="24">
      <c r="B440" s="174">
        <v>524</v>
      </c>
      <c r="D440" s="176" t="s">
        <v>236</v>
      </c>
      <c r="E440" s="176" t="s">
        <v>1213</v>
      </c>
      <c r="F440" s="176" t="s">
        <v>1213</v>
      </c>
    </row>
    <row r="441" spans="1:27" ht="26.4">
      <c r="B441" s="174">
        <v>525</v>
      </c>
      <c r="D441" s="176" t="s">
        <v>237</v>
      </c>
      <c r="E441" s="176" t="s">
        <v>1214</v>
      </c>
      <c r="F441" s="176" t="s">
        <v>1214</v>
      </c>
    </row>
    <row r="442" spans="1:27" ht="24">
      <c r="B442" s="174">
        <v>526</v>
      </c>
      <c r="D442" s="176" t="s">
        <v>238</v>
      </c>
      <c r="E442" s="176" t="s">
        <v>1215</v>
      </c>
      <c r="F442" s="176" t="s">
        <v>1215</v>
      </c>
    </row>
    <row r="443" spans="1:27" ht="24">
      <c r="B443" s="174">
        <v>527</v>
      </c>
      <c r="D443" s="176" t="s">
        <v>398</v>
      </c>
      <c r="E443" s="176" t="s">
        <v>1216</v>
      </c>
      <c r="F443" s="176" t="s">
        <v>1216</v>
      </c>
    </row>
    <row r="444" spans="1:27" s="177" customFormat="1" ht="24">
      <c r="A444" s="173"/>
      <c r="B444" s="174">
        <v>528</v>
      </c>
      <c r="C444" s="175"/>
      <c r="D444" s="176" t="s">
        <v>399</v>
      </c>
      <c r="E444" s="176" t="s">
        <v>1217</v>
      </c>
      <c r="F444" s="176" t="s">
        <v>1217</v>
      </c>
      <c r="G444" s="173"/>
      <c r="H444" s="173"/>
      <c r="I444" s="173"/>
      <c r="J444" s="173"/>
      <c r="K444" s="173"/>
      <c r="L444" s="173"/>
      <c r="M444" s="173"/>
      <c r="N444" s="173"/>
      <c r="O444" s="173"/>
      <c r="P444" s="173"/>
      <c r="Q444" s="173"/>
      <c r="R444" s="173"/>
      <c r="S444" s="173"/>
      <c r="T444" s="173"/>
      <c r="U444" s="173"/>
      <c r="V444" s="173"/>
      <c r="W444" s="173"/>
      <c r="X444" s="173"/>
      <c r="Y444" s="173"/>
      <c r="Z444" s="173"/>
      <c r="AA444" s="173"/>
    </row>
    <row r="445" spans="1:27" s="177" customFormat="1" ht="13.2">
      <c r="A445" s="173"/>
      <c r="B445" s="174">
        <v>529</v>
      </c>
      <c r="C445" s="175"/>
      <c r="D445" s="176" t="s">
        <v>239</v>
      </c>
      <c r="E445" s="176" t="s">
        <v>1218</v>
      </c>
      <c r="F445" s="176" t="s">
        <v>1218</v>
      </c>
      <c r="G445" s="173"/>
      <c r="H445" s="173"/>
      <c r="I445" s="173"/>
      <c r="J445" s="173"/>
      <c r="K445" s="173"/>
      <c r="L445" s="173"/>
      <c r="M445" s="173"/>
      <c r="N445" s="173"/>
      <c r="O445" s="173"/>
      <c r="P445" s="173"/>
      <c r="Q445" s="173"/>
      <c r="R445" s="173"/>
      <c r="S445" s="173"/>
      <c r="T445" s="173"/>
      <c r="U445" s="173"/>
      <c r="V445" s="173"/>
      <c r="W445" s="173"/>
      <c r="X445" s="173"/>
      <c r="Y445" s="173"/>
      <c r="Z445" s="173"/>
      <c r="AA445" s="173"/>
    </row>
    <row r="446" spans="1:27" s="178" customFormat="1" ht="26.4">
      <c r="A446" s="173"/>
      <c r="B446" s="174">
        <v>530</v>
      </c>
      <c r="C446" s="175"/>
      <c r="D446" s="176" t="s">
        <v>240</v>
      </c>
      <c r="E446" s="176" t="s">
        <v>1219</v>
      </c>
      <c r="F446" s="176" t="s">
        <v>1219</v>
      </c>
      <c r="G446" s="173"/>
      <c r="H446" s="173"/>
      <c r="I446" s="173"/>
      <c r="J446" s="173"/>
      <c r="K446" s="173"/>
      <c r="L446" s="173"/>
      <c r="M446" s="173"/>
      <c r="N446" s="173"/>
      <c r="O446" s="173"/>
      <c r="P446" s="173"/>
      <c r="Q446" s="173"/>
      <c r="R446" s="173"/>
      <c r="S446" s="173"/>
      <c r="T446" s="173"/>
      <c r="U446" s="173"/>
      <c r="V446" s="173"/>
      <c r="W446" s="173"/>
      <c r="X446" s="173"/>
      <c r="Y446" s="173"/>
      <c r="Z446" s="173"/>
      <c r="AA446" s="173"/>
    </row>
    <row r="447" spans="1:27" s="178" customFormat="1" ht="13.2">
      <c r="A447" s="173"/>
      <c r="B447" s="174">
        <v>531</v>
      </c>
      <c r="C447" s="175"/>
      <c r="D447" s="176" t="s">
        <v>241</v>
      </c>
      <c r="E447" s="176" t="s">
        <v>1220</v>
      </c>
      <c r="F447" s="176" t="s">
        <v>1220</v>
      </c>
      <c r="G447" s="173"/>
      <c r="H447" s="173"/>
      <c r="I447" s="173"/>
      <c r="J447" s="173"/>
      <c r="K447" s="173"/>
      <c r="L447" s="173"/>
      <c r="M447" s="173"/>
      <c r="N447" s="173"/>
      <c r="O447" s="173"/>
      <c r="P447" s="173"/>
      <c r="Q447" s="173"/>
      <c r="R447" s="173"/>
      <c r="S447" s="173"/>
      <c r="T447" s="173"/>
      <c r="U447" s="173"/>
      <c r="V447" s="173"/>
      <c r="W447" s="173"/>
      <c r="X447" s="173"/>
      <c r="Y447" s="173"/>
      <c r="Z447" s="173"/>
      <c r="AA447" s="173"/>
    </row>
    <row r="448" spans="1:27" s="178" customFormat="1" ht="39.6">
      <c r="A448" s="173"/>
      <c r="B448" s="174">
        <v>532</v>
      </c>
      <c r="C448" s="175"/>
      <c r="D448" s="176" t="s">
        <v>242</v>
      </c>
      <c r="E448" s="176" t="s">
        <v>1221</v>
      </c>
      <c r="F448" s="176" t="s">
        <v>1221</v>
      </c>
      <c r="G448" s="173"/>
      <c r="H448" s="173"/>
      <c r="I448" s="173"/>
      <c r="J448" s="173"/>
      <c r="K448" s="173"/>
      <c r="L448" s="173"/>
      <c r="M448" s="173"/>
      <c r="N448" s="173"/>
      <c r="O448" s="173"/>
      <c r="P448" s="173"/>
      <c r="Q448" s="173"/>
      <c r="R448" s="173"/>
      <c r="S448" s="173"/>
      <c r="T448" s="173"/>
      <c r="U448" s="173"/>
      <c r="V448" s="173"/>
      <c r="W448" s="173"/>
      <c r="X448" s="173"/>
      <c r="Y448" s="173"/>
      <c r="Z448" s="173"/>
      <c r="AA448" s="173"/>
    </row>
    <row r="449" spans="1:27" s="178" customFormat="1" ht="13.2">
      <c r="A449" s="173"/>
      <c r="B449" s="174">
        <v>533</v>
      </c>
      <c r="C449" s="175"/>
      <c r="D449" s="176" t="s">
        <v>243</v>
      </c>
      <c r="E449" s="176" t="s">
        <v>1222</v>
      </c>
      <c r="F449" s="176" t="s">
        <v>1222</v>
      </c>
      <c r="G449" s="173"/>
      <c r="H449" s="173"/>
      <c r="I449" s="173"/>
      <c r="J449" s="173"/>
      <c r="K449" s="173"/>
      <c r="L449" s="173"/>
      <c r="M449" s="173"/>
      <c r="N449" s="173"/>
      <c r="O449" s="173"/>
      <c r="P449" s="173"/>
      <c r="Q449" s="173"/>
      <c r="R449" s="173"/>
      <c r="S449" s="173"/>
      <c r="T449" s="173"/>
      <c r="U449" s="173"/>
      <c r="V449" s="173"/>
      <c r="W449" s="173"/>
      <c r="X449" s="173"/>
      <c r="Y449" s="173"/>
      <c r="Z449" s="173"/>
      <c r="AA449" s="173"/>
    </row>
    <row r="450" spans="1:27" s="178" customFormat="1" ht="24">
      <c r="A450" s="173"/>
      <c r="B450" s="174">
        <v>534</v>
      </c>
      <c r="C450" s="175"/>
      <c r="D450" s="176" t="s">
        <v>244</v>
      </c>
      <c r="E450" s="176" t="s">
        <v>1223</v>
      </c>
      <c r="F450" s="176" t="s">
        <v>1223</v>
      </c>
      <c r="G450" s="173"/>
      <c r="H450" s="173"/>
      <c r="I450" s="173"/>
      <c r="J450" s="173"/>
      <c r="K450" s="173"/>
      <c r="L450" s="173"/>
      <c r="M450" s="173"/>
      <c r="N450" s="173"/>
      <c r="O450" s="173"/>
      <c r="P450" s="173"/>
      <c r="Q450" s="173"/>
      <c r="R450" s="173"/>
      <c r="S450" s="173"/>
      <c r="T450" s="173"/>
      <c r="U450" s="173"/>
      <c r="V450" s="173"/>
      <c r="W450" s="173"/>
      <c r="X450" s="173"/>
      <c r="Y450" s="173"/>
      <c r="Z450" s="173"/>
      <c r="AA450" s="173"/>
    </row>
    <row r="451" spans="1:27" s="178" customFormat="1" ht="24">
      <c r="A451" s="173"/>
      <c r="B451" s="174">
        <v>535</v>
      </c>
      <c r="C451" s="175"/>
      <c r="D451" s="176" t="s">
        <v>245</v>
      </c>
      <c r="E451" s="176" t="s">
        <v>1224</v>
      </c>
      <c r="F451" s="176" t="s">
        <v>1224</v>
      </c>
      <c r="G451" s="173"/>
      <c r="H451" s="173"/>
      <c r="I451" s="173"/>
      <c r="J451" s="173"/>
      <c r="K451" s="173"/>
      <c r="L451" s="173"/>
      <c r="M451" s="173"/>
      <c r="N451" s="173"/>
      <c r="O451" s="173"/>
      <c r="P451" s="173"/>
      <c r="Q451" s="173"/>
      <c r="R451" s="173"/>
      <c r="S451" s="173"/>
      <c r="T451" s="173"/>
      <c r="U451" s="173"/>
      <c r="V451" s="173"/>
      <c r="W451" s="173"/>
      <c r="X451" s="173"/>
      <c r="Y451" s="173"/>
      <c r="Z451" s="173"/>
      <c r="AA451" s="173"/>
    </row>
    <row r="452" spans="1:27" s="178" customFormat="1" ht="26.4">
      <c r="A452" s="173"/>
      <c r="B452" s="174">
        <v>536</v>
      </c>
      <c r="C452" s="175"/>
      <c r="D452" s="176" t="s">
        <v>246</v>
      </c>
      <c r="E452" s="176" t="s">
        <v>1225</v>
      </c>
      <c r="F452" s="176" t="s">
        <v>1225</v>
      </c>
      <c r="G452" s="173"/>
      <c r="H452" s="173"/>
      <c r="I452" s="173"/>
      <c r="J452" s="173"/>
      <c r="K452" s="173"/>
      <c r="L452" s="173"/>
      <c r="M452" s="173"/>
      <c r="N452" s="173"/>
      <c r="O452" s="173"/>
      <c r="P452" s="173"/>
      <c r="Q452" s="173"/>
      <c r="R452" s="173"/>
      <c r="S452" s="173"/>
      <c r="T452" s="173"/>
      <c r="U452" s="173"/>
      <c r="V452" s="173"/>
      <c r="W452" s="173"/>
      <c r="X452" s="173"/>
      <c r="Y452" s="173"/>
      <c r="Z452" s="173"/>
      <c r="AA452" s="173"/>
    </row>
    <row r="453" spans="1:27" s="178" customFormat="1" ht="13.2">
      <c r="A453" s="173"/>
      <c r="B453" s="174">
        <v>537</v>
      </c>
      <c r="C453" s="175"/>
      <c r="D453" s="176" t="s">
        <v>247</v>
      </c>
      <c r="E453" s="176" t="s">
        <v>1226</v>
      </c>
      <c r="F453" s="176" t="s">
        <v>1226</v>
      </c>
      <c r="G453" s="173"/>
      <c r="H453" s="173"/>
      <c r="I453" s="173"/>
      <c r="J453" s="173"/>
      <c r="K453" s="173"/>
      <c r="L453" s="173"/>
      <c r="M453" s="173"/>
      <c r="N453" s="173"/>
      <c r="O453" s="173"/>
      <c r="P453" s="173"/>
      <c r="Q453" s="173"/>
      <c r="R453" s="173"/>
      <c r="S453" s="173"/>
      <c r="T453" s="173"/>
      <c r="U453" s="173"/>
      <c r="V453" s="173"/>
      <c r="W453" s="173"/>
      <c r="X453" s="173"/>
      <c r="Y453" s="173"/>
      <c r="Z453" s="173"/>
      <c r="AA453" s="173"/>
    </row>
    <row r="454" spans="1:27" s="178" customFormat="1" ht="13.2">
      <c r="A454" s="173"/>
      <c r="B454" s="174">
        <v>538</v>
      </c>
      <c r="C454" s="175"/>
      <c r="D454" s="176" t="s">
        <v>248</v>
      </c>
      <c r="E454" s="176" t="s">
        <v>1227</v>
      </c>
      <c r="F454" s="176" t="s">
        <v>1227</v>
      </c>
      <c r="G454" s="173"/>
      <c r="H454" s="173"/>
      <c r="I454" s="173"/>
      <c r="J454" s="173"/>
      <c r="K454" s="173"/>
      <c r="L454" s="173"/>
      <c r="M454" s="173"/>
      <c r="N454" s="173"/>
      <c r="O454" s="173"/>
      <c r="P454" s="173"/>
      <c r="Q454" s="173"/>
      <c r="R454" s="173"/>
      <c r="S454" s="173"/>
      <c r="T454" s="173"/>
      <c r="U454" s="173"/>
      <c r="V454" s="173"/>
      <c r="W454" s="173"/>
      <c r="X454" s="173"/>
      <c r="Y454" s="173"/>
      <c r="Z454" s="173"/>
      <c r="AA454" s="173"/>
    </row>
    <row r="455" spans="1:27" s="178" customFormat="1" ht="24">
      <c r="A455" s="173"/>
      <c r="B455" s="174">
        <v>539</v>
      </c>
      <c r="C455" s="175"/>
      <c r="D455" s="176" t="s">
        <v>249</v>
      </c>
      <c r="E455" s="176" t="s">
        <v>1228</v>
      </c>
      <c r="F455" s="176" t="s">
        <v>1228</v>
      </c>
      <c r="G455" s="173"/>
      <c r="H455" s="173"/>
      <c r="I455" s="173"/>
      <c r="J455" s="173"/>
      <c r="K455" s="173"/>
      <c r="L455" s="173"/>
      <c r="M455" s="173"/>
      <c r="N455" s="173"/>
      <c r="O455" s="173"/>
      <c r="P455" s="173"/>
      <c r="Q455" s="173"/>
      <c r="R455" s="173"/>
      <c r="S455" s="173"/>
      <c r="T455" s="173"/>
      <c r="U455" s="173"/>
      <c r="V455" s="173"/>
      <c r="W455" s="173"/>
      <c r="X455" s="173"/>
      <c r="Y455" s="173"/>
      <c r="Z455" s="173"/>
      <c r="AA455" s="173"/>
    </row>
    <row r="456" spans="1:27" s="178" customFormat="1" ht="13.2">
      <c r="A456" s="173"/>
      <c r="B456" s="174">
        <v>540</v>
      </c>
      <c r="C456" s="175"/>
      <c r="D456" s="176" t="s">
        <v>250</v>
      </c>
      <c r="E456" s="176" t="s">
        <v>1229</v>
      </c>
      <c r="F456" s="176" t="s">
        <v>1229</v>
      </c>
      <c r="G456" s="173"/>
      <c r="H456" s="173"/>
      <c r="I456" s="173"/>
      <c r="J456" s="173"/>
      <c r="K456" s="173"/>
      <c r="L456" s="173"/>
      <c r="M456" s="173"/>
      <c r="N456" s="173"/>
      <c r="O456" s="173"/>
      <c r="P456" s="173"/>
      <c r="Q456" s="173"/>
      <c r="R456" s="173"/>
      <c r="S456" s="173"/>
      <c r="T456" s="173"/>
      <c r="U456" s="173"/>
      <c r="V456" s="173"/>
      <c r="W456" s="173"/>
      <c r="X456" s="173"/>
      <c r="Y456" s="173"/>
      <c r="Z456" s="173"/>
      <c r="AA456" s="173"/>
    </row>
    <row r="457" spans="1:27" ht="13.2">
      <c r="B457" s="174">
        <v>541</v>
      </c>
      <c r="D457" s="176" t="s">
        <v>251</v>
      </c>
      <c r="E457" s="176" t="s">
        <v>1230</v>
      </c>
      <c r="F457" s="176" t="s">
        <v>1230</v>
      </c>
    </row>
    <row r="458" spans="1:27" ht="13.2">
      <c r="B458" s="174">
        <v>542</v>
      </c>
      <c r="D458" s="176" t="s">
        <v>252</v>
      </c>
      <c r="E458" s="176" t="s">
        <v>1231</v>
      </c>
      <c r="F458" s="176" t="s">
        <v>1231</v>
      </c>
    </row>
    <row r="459" spans="1:27" ht="24">
      <c r="B459" s="174">
        <v>543</v>
      </c>
      <c r="D459" s="176" t="s">
        <v>400</v>
      </c>
      <c r="E459" s="176" t="s">
        <v>1232</v>
      </c>
      <c r="F459" s="176" t="s">
        <v>1232</v>
      </c>
    </row>
    <row r="460" spans="1:27" ht="48">
      <c r="A460" s="177"/>
      <c r="B460" s="174">
        <v>544</v>
      </c>
      <c r="C460" s="183" t="s">
        <v>432</v>
      </c>
      <c r="D460" s="177" t="s">
        <v>445</v>
      </c>
      <c r="E460" s="177" t="s">
        <v>1233</v>
      </c>
      <c r="F460" s="177" t="s">
        <v>1233</v>
      </c>
    </row>
    <row r="461" spans="1:27" ht="39.6">
      <c r="B461" s="174">
        <v>545</v>
      </c>
      <c r="D461" s="176" t="s">
        <v>253</v>
      </c>
      <c r="E461" s="176" t="s">
        <v>1234</v>
      </c>
      <c r="F461" s="176" t="s">
        <v>1234</v>
      </c>
    </row>
    <row r="462" spans="1:27" ht="13.2">
      <c r="B462" s="174">
        <v>546</v>
      </c>
      <c r="D462" s="176" t="s">
        <v>254</v>
      </c>
      <c r="E462" s="176" t="s">
        <v>1235</v>
      </c>
      <c r="F462" s="176" t="s">
        <v>1235</v>
      </c>
    </row>
    <row r="463" spans="1:27" ht="13.2">
      <c r="B463" s="174">
        <v>547</v>
      </c>
      <c r="D463" s="176" t="s">
        <v>255</v>
      </c>
      <c r="E463" s="176" t="s">
        <v>1236</v>
      </c>
      <c r="F463" s="176" t="s">
        <v>1236</v>
      </c>
    </row>
    <row r="464" spans="1:27" ht="13.2">
      <c r="B464" s="174">
        <v>548</v>
      </c>
      <c r="D464" s="176" t="s">
        <v>256</v>
      </c>
      <c r="E464" s="176" t="s">
        <v>1237</v>
      </c>
      <c r="F464" s="176" t="s">
        <v>1237</v>
      </c>
    </row>
    <row r="465" spans="2:6" ht="24">
      <c r="B465" s="174">
        <v>549</v>
      </c>
      <c r="D465" s="176" t="s">
        <v>480</v>
      </c>
      <c r="E465" s="176" t="s">
        <v>1238</v>
      </c>
      <c r="F465" s="176" t="s">
        <v>1238</v>
      </c>
    </row>
    <row r="466" spans="2:6" ht="13.2">
      <c r="B466" s="174">
        <v>550</v>
      </c>
      <c r="D466" s="176" t="s">
        <v>257</v>
      </c>
      <c r="E466" s="176" t="s">
        <v>1239</v>
      </c>
      <c r="F466" s="176" t="s">
        <v>1239</v>
      </c>
    </row>
    <row r="467" spans="2:6" ht="13.2">
      <c r="B467" s="174">
        <v>551</v>
      </c>
      <c r="D467" s="176" t="s">
        <v>258</v>
      </c>
      <c r="E467" s="176" t="s">
        <v>1240</v>
      </c>
      <c r="F467" s="176" t="s">
        <v>1240</v>
      </c>
    </row>
    <row r="468" spans="2:6" ht="13.2">
      <c r="B468" s="174">
        <v>552</v>
      </c>
      <c r="D468" s="176" t="s">
        <v>259</v>
      </c>
      <c r="E468" s="176" t="s">
        <v>1241</v>
      </c>
      <c r="F468" s="176" t="s">
        <v>1241</v>
      </c>
    </row>
    <row r="469" spans="2:6" ht="24">
      <c r="B469" s="174">
        <v>553</v>
      </c>
      <c r="D469" s="176" t="s">
        <v>607</v>
      </c>
      <c r="E469" s="176" t="s">
        <v>1242</v>
      </c>
      <c r="F469" s="176" t="s">
        <v>1242</v>
      </c>
    </row>
    <row r="470" spans="2:6" ht="13.2">
      <c r="B470" s="174">
        <v>554</v>
      </c>
      <c r="D470" s="176" t="s">
        <v>608</v>
      </c>
      <c r="E470" s="176" t="s">
        <v>1243</v>
      </c>
      <c r="F470" s="176" t="s">
        <v>1243</v>
      </c>
    </row>
    <row r="471" spans="2:6" ht="13.2">
      <c r="B471" s="174">
        <v>555</v>
      </c>
      <c r="D471" s="176" t="s">
        <v>260</v>
      </c>
      <c r="E471" s="176" t="s">
        <v>1244</v>
      </c>
      <c r="F471" s="176" t="s">
        <v>1244</v>
      </c>
    </row>
    <row r="472" spans="2:6" ht="13.2">
      <c r="B472" s="174">
        <v>556</v>
      </c>
      <c r="D472" s="176" t="s">
        <v>401</v>
      </c>
      <c r="E472" s="176" t="s">
        <v>1245</v>
      </c>
      <c r="F472" s="176" t="s">
        <v>1245</v>
      </c>
    </row>
    <row r="473" spans="2:6" ht="24">
      <c r="B473" s="174">
        <v>557</v>
      </c>
      <c r="D473" s="176" t="s">
        <v>261</v>
      </c>
      <c r="E473" s="176" t="s">
        <v>1246</v>
      </c>
      <c r="F473" s="176" t="s">
        <v>1246</v>
      </c>
    </row>
    <row r="474" spans="2:6" ht="24">
      <c r="B474" s="174">
        <v>558</v>
      </c>
      <c r="D474" s="176" t="s">
        <v>402</v>
      </c>
      <c r="E474" s="176" t="s">
        <v>1247</v>
      </c>
      <c r="F474" s="176" t="s">
        <v>1247</v>
      </c>
    </row>
    <row r="475" spans="2:6" ht="26.4">
      <c r="B475" s="174">
        <v>559</v>
      </c>
      <c r="D475" s="176" t="s">
        <v>262</v>
      </c>
      <c r="E475" s="176" t="s">
        <v>1248</v>
      </c>
      <c r="F475" s="176" t="s">
        <v>1248</v>
      </c>
    </row>
    <row r="476" spans="2:6" ht="13.2">
      <c r="B476" s="174">
        <v>560</v>
      </c>
      <c r="D476" s="176" t="s">
        <v>263</v>
      </c>
      <c r="E476" s="176" t="s">
        <v>1249</v>
      </c>
      <c r="F476" s="176" t="s">
        <v>1249</v>
      </c>
    </row>
    <row r="477" spans="2:6" ht="13.2">
      <c r="B477" s="174">
        <v>561</v>
      </c>
      <c r="C477" s="175" t="s">
        <v>485</v>
      </c>
      <c r="D477" s="176" t="s">
        <v>484</v>
      </c>
      <c r="E477" s="176" t="s">
        <v>1250</v>
      </c>
      <c r="F477" s="176" t="s">
        <v>1250</v>
      </c>
    </row>
    <row r="478" spans="2:6" ht="26.4">
      <c r="B478" s="174">
        <v>562</v>
      </c>
      <c r="C478" s="175" t="s">
        <v>485</v>
      </c>
      <c r="D478" s="176" t="s">
        <v>481</v>
      </c>
      <c r="E478" s="176" t="s">
        <v>1251</v>
      </c>
      <c r="F478" s="176" t="s">
        <v>1251</v>
      </c>
    </row>
    <row r="479" spans="2:6" ht="13.2">
      <c r="B479" s="174">
        <v>563</v>
      </c>
      <c r="D479" s="176" t="s">
        <v>264</v>
      </c>
      <c r="E479" s="176" t="s">
        <v>1252</v>
      </c>
      <c r="F479" s="176" t="s">
        <v>1252</v>
      </c>
    </row>
    <row r="480" spans="2:6" ht="13.2">
      <c r="B480" s="174">
        <v>564</v>
      </c>
      <c r="D480" s="176" t="s">
        <v>265</v>
      </c>
      <c r="E480" s="176" t="s">
        <v>1253</v>
      </c>
      <c r="F480" s="176" t="s">
        <v>1253</v>
      </c>
    </row>
    <row r="481" spans="2:6" ht="36">
      <c r="B481" s="174">
        <v>565</v>
      </c>
      <c r="D481" s="176" t="s">
        <v>332</v>
      </c>
      <c r="E481" s="176" t="s">
        <v>1254</v>
      </c>
      <c r="F481" s="176" t="s">
        <v>1254</v>
      </c>
    </row>
    <row r="482" spans="2:6" ht="13.2">
      <c r="B482" s="174">
        <v>566</v>
      </c>
      <c r="D482" s="176" t="s">
        <v>266</v>
      </c>
      <c r="E482" s="176" t="s">
        <v>1255</v>
      </c>
      <c r="F482" s="176" t="s">
        <v>1255</v>
      </c>
    </row>
    <row r="483" spans="2:6" ht="13.2">
      <c r="B483" s="174">
        <v>567</v>
      </c>
      <c r="D483" s="176" t="s">
        <v>267</v>
      </c>
      <c r="E483" s="176" t="s">
        <v>1256</v>
      </c>
      <c r="F483" s="176" t="s">
        <v>1256</v>
      </c>
    </row>
    <row r="484" spans="2:6" ht="13.2">
      <c r="B484" s="174">
        <v>568</v>
      </c>
      <c r="D484" s="176" t="s">
        <v>268</v>
      </c>
      <c r="E484" s="176" t="s">
        <v>1257</v>
      </c>
      <c r="F484" s="176" t="s">
        <v>1257</v>
      </c>
    </row>
    <row r="485" spans="2:6" ht="13.2">
      <c r="B485" s="174">
        <v>569</v>
      </c>
      <c r="D485" s="176" t="s">
        <v>269</v>
      </c>
      <c r="E485" s="176" t="s">
        <v>1258</v>
      </c>
      <c r="F485" s="176" t="s">
        <v>1258</v>
      </c>
    </row>
    <row r="486" spans="2:6" ht="13.2">
      <c r="B486" s="174">
        <v>570</v>
      </c>
      <c r="D486" s="176" t="s">
        <v>270</v>
      </c>
      <c r="E486" s="176" t="s">
        <v>1259</v>
      </c>
      <c r="F486" s="176" t="s">
        <v>1259</v>
      </c>
    </row>
    <row r="487" spans="2:6" ht="36">
      <c r="B487" s="174">
        <v>571</v>
      </c>
      <c r="D487" s="176" t="s">
        <v>271</v>
      </c>
      <c r="E487" s="176" t="s">
        <v>1260</v>
      </c>
      <c r="F487" s="176" t="s">
        <v>1260</v>
      </c>
    </row>
    <row r="488" spans="2:6" ht="13.2">
      <c r="B488" s="174">
        <v>572</v>
      </c>
      <c r="D488" s="176" t="s">
        <v>272</v>
      </c>
      <c r="E488" s="176" t="s">
        <v>1261</v>
      </c>
      <c r="F488" s="176" t="s">
        <v>1261</v>
      </c>
    </row>
    <row r="489" spans="2:6" ht="13.2">
      <c r="B489" s="174">
        <v>573</v>
      </c>
      <c r="D489" s="176" t="s">
        <v>273</v>
      </c>
      <c r="E489" s="176" t="s">
        <v>1262</v>
      </c>
      <c r="F489" s="176" t="s">
        <v>1262</v>
      </c>
    </row>
    <row r="490" spans="2:6" ht="13.2">
      <c r="B490" s="174">
        <v>574</v>
      </c>
      <c r="D490" s="176" t="s">
        <v>274</v>
      </c>
      <c r="E490" s="176" t="s">
        <v>1263</v>
      </c>
      <c r="F490" s="176" t="s">
        <v>1263</v>
      </c>
    </row>
    <row r="491" spans="2:6" ht="26.4">
      <c r="B491" s="174">
        <v>575</v>
      </c>
      <c r="D491" s="176" t="s">
        <v>403</v>
      </c>
      <c r="E491" s="176" t="s">
        <v>1264</v>
      </c>
      <c r="F491" s="176" t="s">
        <v>1264</v>
      </c>
    </row>
    <row r="492" spans="2:6" ht="13.2">
      <c r="B492" s="174">
        <v>576</v>
      </c>
      <c r="D492" s="176" t="s">
        <v>275</v>
      </c>
      <c r="E492" s="176" t="s">
        <v>1265</v>
      </c>
      <c r="F492" s="176" t="s">
        <v>1265</v>
      </c>
    </row>
    <row r="493" spans="2:6" ht="13.2">
      <c r="B493" s="174">
        <v>577</v>
      </c>
      <c r="D493" s="176" t="s">
        <v>276</v>
      </c>
      <c r="E493" s="176" t="s">
        <v>1266</v>
      </c>
      <c r="F493" s="176" t="s">
        <v>1266</v>
      </c>
    </row>
    <row r="494" spans="2:6" ht="13.2">
      <c r="B494" s="174">
        <v>578</v>
      </c>
      <c r="D494" s="176" t="s">
        <v>613</v>
      </c>
      <c r="E494" s="176" t="s">
        <v>1267</v>
      </c>
      <c r="F494" s="176" t="s">
        <v>1267</v>
      </c>
    </row>
    <row r="495" spans="2:6" ht="13.2">
      <c r="B495" s="174">
        <v>579</v>
      </c>
      <c r="D495" s="176" t="s">
        <v>611</v>
      </c>
      <c r="E495" s="176" t="s">
        <v>1268</v>
      </c>
      <c r="F495" s="176" t="s">
        <v>1268</v>
      </c>
    </row>
    <row r="496" spans="2:6" ht="13.2">
      <c r="B496" s="174">
        <v>580</v>
      </c>
      <c r="D496" s="176" t="s">
        <v>277</v>
      </c>
      <c r="E496" s="176" t="s">
        <v>1269</v>
      </c>
      <c r="F496" s="176" t="s">
        <v>1269</v>
      </c>
    </row>
    <row r="497" spans="1:6" ht="13.2">
      <c r="B497" s="174">
        <v>581</v>
      </c>
      <c r="D497" s="176" t="s">
        <v>404</v>
      </c>
      <c r="E497" s="176" t="s">
        <v>1270</v>
      </c>
      <c r="F497" s="176" t="s">
        <v>1270</v>
      </c>
    </row>
    <row r="498" spans="1:6" ht="39.6">
      <c r="B498" s="174">
        <v>582</v>
      </c>
      <c r="D498" s="176" t="s">
        <v>405</v>
      </c>
      <c r="E498" s="176" t="s">
        <v>1271</v>
      </c>
      <c r="F498" s="176" t="s">
        <v>1271</v>
      </c>
    </row>
    <row r="499" spans="1:6" ht="13.2">
      <c r="B499" s="174">
        <v>583</v>
      </c>
      <c r="D499" s="176" t="s">
        <v>278</v>
      </c>
      <c r="E499" s="176" t="s">
        <v>1272</v>
      </c>
      <c r="F499" s="176" t="s">
        <v>1272</v>
      </c>
    </row>
    <row r="500" spans="1:6" ht="13.2">
      <c r="B500" s="174">
        <v>584</v>
      </c>
      <c r="D500" s="176" t="s">
        <v>279</v>
      </c>
      <c r="E500" s="176" t="s">
        <v>1273</v>
      </c>
      <c r="F500" s="176" t="s">
        <v>1273</v>
      </c>
    </row>
    <row r="501" spans="1:6" ht="13.2">
      <c r="B501" s="174">
        <v>585</v>
      </c>
      <c r="C501" s="175" t="s">
        <v>467</v>
      </c>
      <c r="D501" s="173" t="s">
        <v>462</v>
      </c>
      <c r="E501" s="181" t="s">
        <v>1274</v>
      </c>
      <c r="F501" s="181" t="s">
        <v>1274</v>
      </c>
    </row>
    <row r="502" spans="1:6" ht="13.2">
      <c r="B502" s="174">
        <v>586</v>
      </c>
      <c r="C502" s="175" t="s">
        <v>467</v>
      </c>
      <c r="D502" s="176" t="s">
        <v>460</v>
      </c>
      <c r="E502" s="181" t="s">
        <v>1275</v>
      </c>
      <c r="F502" s="181" t="s">
        <v>1275</v>
      </c>
    </row>
    <row r="503" spans="1:6" ht="13.2">
      <c r="B503" s="174">
        <v>587</v>
      </c>
      <c r="D503" s="176" t="s">
        <v>280</v>
      </c>
      <c r="E503" s="176" t="s">
        <v>1276</v>
      </c>
      <c r="F503" s="176" t="s">
        <v>1276</v>
      </c>
    </row>
    <row r="504" spans="1:6" ht="39.6">
      <c r="B504" s="174">
        <v>588</v>
      </c>
      <c r="D504" s="176" t="s">
        <v>281</v>
      </c>
      <c r="E504" s="176" t="s">
        <v>1277</v>
      </c>
      <c r="F504" s="176" t="s">
        <v>1277</v>
      </c>
    </row>
    <row r="505" spans="1:6" ht="13.2">
      <c r="B505" s="174">
        <v>589</v>
      </c>
      <c r="D505" s="176" t="s">
        <v>282</v>
      </c>
      <c r="E505" s="176" t="s">
        <v>1278</v>
      </c>
      <c r="F505" s="176" t="s">
        <v>1278</v>
      </c>
    </row>
    <row r="506" spans="1:6" ht="13.2">
      <c r="A506" s="178"/>
      <c r="B506" s="174">
        <v>590</v>
      </c>
      <c r="C506" s="179" t="s">
        <v>414</v>
      </c>
      <c r="D506" s="177" t="s">
        <v>420</v>
      </c>
      <c r="E506" s="177" t="s">
        <v>1279</v>
      </c>
      <c r="F506" s="177" t="s">
        <v>1279</v>
      </c>
    </row>
    <row r="507" spans="1:6" ht="13.2">
      <c r="A507" s="178"/>
      <c r="B507" s="174">
        <v>591</v>
      </c>
      <c r="C507" s="179" t="s">
        <v>414</v>
      </c>
      <c r="D507" s="177" t="s">
        <v>446</v>
      </c>
      <c r="E507" s="177" t="s">
        <v>1280</v>
      </c>
      <c r="F507" s="177" t="s">
        <v>1280</v>
      </c>
    </row>
    <row r="508" spans="1:6" ht="13.2">
      <c r="B508" s="174">
        <v>592</v>
      </c>
      <c r="D508" s="176" t="s">
        <v>283</v>
      </c>
      <c r="E508" s="177" t="s">
        <v>1281</v>
      </c>
      <c r="F508" s="177" t="s">
        <v>1281</v>
      </c>
    </row>
    <row r="509" spans="1:6" ht="13.2">
      <c r="B509" s="174">
        <v>593</v>
      </c>
      <c r="D509" s="176" t="s">
        <v>284</v>
      </c>
      <c r="E509" s="176" t="s">
        <v>1282</v>
      </c>
      <c r="F509" s="176" t="s">
        <v>1282</v>
      </c>
    </row>
    <row r="510" spans="1:6" ht="13.2">
      <c r="B510" s="174">
        <v>594</v>
      </c>
      <c r="D510" s="176" t="s">
        <v>285</v>
      </c>
      <c r="E510" s="176" t="s">
        <v>1283</v>
      </c>
      <c r="F510" s="176" t="s">
        <v>1283</v>
      </c>
    </row>
    <row r="511" spans="1:6" ht="24">
      <c r="B511" s="174">
        <v>595</v>
      </c>
      <c r="D511" s="176" t="s">
        <v>286</v>
      </c>
      <c r="E511" s="176" t="s">
        <v>1284</v>
      </c>
      <c r="F511" s="176" t="s">
        <v>1284</v>
      </c>
    </row>
    <row r="512" spans="1:6" ht="13.2">
      <c r="B512" s="174">
        <v>596</v>
      </c>
      <c r="D512" s="176" t="s">
        <v>287</v>
      </c>
      <c r="E512" s="176" t="s">
        <v>1285</v>
      </c>
      <c r="F512" s="176" t="s">
        <v>1285</v>
      </c>
    </row>
    <row r="513" spans="2:6" ht="36">
      <c r="B513" s="174">
        <v>597</v>
      </c>
      <c r="D513" s="176" t="s">
        <v>288</v>
      </c>
      <c r="E513" s="176" t="s">
        <v>1286</v>
      </c>
      <c r="F513" s="176" t="s">
        <v>1286</v>
      </c>
    </row>
    <row r="514" spans="2:6" ht="13.2">
      <c r="B514" s="174">
        <v>598</v>
      </c>
      <c r="D514" s="176" t="s">
        <v>289</v>
      </c>
      <c r="E514" s="176" t="s">
        <v>1287</v>
      </c>
      <c r="F514" s="176" t="s">
        <v>1287</v>
      </c>
    </row>
    <row r="515" spans="2:6" ht="13.2">
      <c r="B515" s="174">
        <v>599</v>
      </c>
      <c r="D515" s="176" t="s">
        <v>290</v>
      </c>
      <c r="E515" s="176" t="s">
        <v>1288</v>
      </c>
      <c r="F515" s="176" t="s">
        <v>1288</v>
      </c>
    </row>
    <row r="516" spans="2:6" ht="13.2">
      <c r="B516" s="174">
        <v>600</v>
      </c>
      <c r="D516" s="176" t="s">
        <v>291</v>
      </c>
      <c r="E516" s="176" t="s">
        <v>1289</v>
      </c>
      <c r="F516" s="176" t="s">
        <v>1289</v>
      </c>
    </row>
    <row r="517" spans="2:6" ht="13.2">
      <c r="B517" s="174">
        <v>601</v>
      </c>
      <c r="D517" s="176" t="s">
        <v>292</v>
      </c>
      <c r="E517" s="176" t="s">
        <v>1290</v>
      </c>
      <c r="F517" s="176" t="s">
        <v>1290</v>
      </c>
    </row>
    <row r="518" spans="2:6" ht="13.2">
      <c r="B518" s="174">
        <v>602</v>
      </c>
      <c r="D518" s="176" t="s">
        <v>293</v>
      </c>
      <c r="E518" s="176" t="s">
        <v>1291</v>
      </c>
      <c r="F518" s="176" t="s">
        <v>1291</v>
      </c>
    </row>
    <row r="519" spans="2:6" ht="13.2">
      <c r="B519" s="174">
        <v>603</v>
      </c>
      <c r="D519" s="176" t="s">
        <v>294</v>
      </c>
      <c r="E519" s="176" t="s">
        <v>1292</v>
      </c>
      <c r="F519" s="176" t="s">
        <v>1292</v>
      </c>
    </row>
    <row r="520" spans="2:6">
      <c r="B520" s="174">
        <v>604</v>
      </c>
      <c r="D520" s="176" t="s">
        <v>295</v>
      </c>
      <c r="E520" s="176" t="s">
        <v>295</v>
      </c>
      <c r="F520" s="176" t="s">
        <v>295</v>
      </c>
    </row>
    <row r="521" spans="2:6" ht="13.2">
      <c r="B521" s="174">
        <v>605</v>
      </c>
      <c r="D521" s="176" t="s">
        <v>406</v>
      </c>
      <c r="E521" s="176" t="s">
        <v>1293</v>
      </c>
      <c r="F521" s="176" t="s">
        <v>1293</v>
      </c>
    </row>
    <row r="522" spans="2:6" ht="26.4">
      <c r="B522" s="174">
        <v>606</v>
      </c>
      <c r="D522" s="176" t="s">
        <v>296</v>
      </c>
      <c r="E522" s="176" t="s">
        <v>1294</v>
      </c>
      <c r="F522" s="176" t="s">
        <v>1294</v>
      </c>
    </row>
    <row r="523" spans="2:6">
      <c r="B523" s="174">
        <v>607</v>
      </c>
      <c r="D523" s="176" t="s">
        <v>297</v>
      </c>
      <c r="E523" s="176" t="s">
        <v>297</v>
      </c>
      <c r="F523" s="176" t="s">
        <v>297</v>
      </c>
    </row>
    <row r="524" spans="2:6" ht="13.2">
      <c r="B524" s="174">
        <v>608</v>
      </c>
      <c r="D524" s="176" t="s">
        <v>596</v>
      </c>
      <c r="E524" s="176" t="s">
        <v>1295</v>
      </c>
      <c r="F524" s="176" t="s">
        <v>1295</v>
      </c>
    </row>
    <row r="525" spans="2:6" ht="13.2">
      <c r="B525" s="174">
        <v>609</v>
      </c>
      <c r="D525" s="176" t="s">
        <v>595</v>
      </c>
      <c r="E525" s="176" t="s">
        <v>1296</v>
      </c>
      <c r="F525" s="176" t="s">
        <v>1296</v>
      </c>
    </row>
    <row r="526" spans="2:6">
      <c r="B526" s="174">
        <v>610</v>
      </c>
      <c r="D526" s="176" t="s">
        <v>407</v>
      </c>
      <c r="F526" s="176"/>
    </row>
    <row r="527" spans="2:6" ht="13.2">
      <c r="B527" s="174">
        <v>611</v>
      </c>
      <c r="D527" s="176" t="s">
        <v>298</v>
      </c>
      <c r="E527" s="176" t="s">
        <v>1297</v>
      </c>
      <c r="F527" s="176" t="s">
        <v>1297</v>
      </c>
    </row>
    <row r="528" spans="2:6" ht="13.2">
      <c r="B528" s="174">
        <v>612</v>
      </c>
      <c r="C528" s="175" t="s">
        <v>485</v>
      </c>
      <c r="D528" s="176" t="s">
        <v>487</v>
      </c>
      <c r="E528" s="176" t="s">
        <v>1298</v>
      </c>
      <c r="F528" s="176" t="s">
        <v>1298</v>
      </c>
    </row>
    <row r="529" spans="2:6" ht="13.2">
      <c r="B529" s="174">
        <v>613</v>
      </c>
      <c r="D529" s="176" t="s">
        <v>408</v>
      </c>
      <c r="E529" s="176" t="s">
        <v>1299</v>
      </c>
      <c r="F529" s="176" t="s">
        <v>1299</v>
      </c>
    </row>
    <row r="530" spans="2:6" ht="13.2">
      <c r="B530" s="174">
        <v>614</v>
      </c>
      <c r="D530" s="176" t="s">
        <v>409</v>
      </c>
      <c r="E530" s="176" t="s">
        <v>1300</v>
      </c>
      <c r="F530" s="176" t="s">
        <v>1300</v>
      </c>
    </row>
    <row r="531" spans="2:6" ht="13.2">
      <c r="B531" s="174">
        <v>615</v>
      </c>
      <c r="D531" s="176" t="s">
        <v>410</v>
      </c>
      <c r="E531" s="176" t="s">
        <v>1299</v>
      </c>
      <c r="F531" s="176" t="s">
        <v>1299</v>
      </c>
    </row>
    <row r="532" spans="2:6" ht="13.2">
      <c r="B532" s="174">
        <v>616</v>
      </c>
      <c r="D532" s="176" t="s">
        <v>299</v>
      </c>
      <c r="E532" s="176" t="s">
        <v>1301</v>
      </c>
      <c r="F532" s="176" t="s">
        <v>1301</v>
      </c>
    </row>
    <row r="533" spans="2:6" ht="13.2">
      <c r="B533" s="174">
        <v>617</v>
      </c>
      <c r="D533" s="176" t="s">
        <v>300</v>
      </c>
      <c r="E533" s="176" t="s">
        <v>1302</v>
      </c>
      <c r="F533" s="176" t="s">
        <v>1302</v>
      </c>
    </row>
    <row r="534" spans="2:6" ht="13.2">
      <c r="B534" s="174">
        <v>618</v>
      </c>
      <c r="D534" s="176" t="s">
        <v>301</v>
      </c>
      <c r="E534" s="176" t="s">
        <v>1303</v>
      </c>
      <c r="F534" s="176" t="s">
        <v>1303</v>
      </c>
    </row>
    <row r="535" spans="2:6" ht="13.2">
      <c r="B535" s="174">
        <v>619</v>
      </c>
      <c r="D535" s="176" t="s">
        <v>619</v>
      </c>
      <c r="E535" s="176" t="s">
        <v>1304</v>
      </c>
      <c r="F535" s="176" t="s">
        <v>1304</v>
      </c>
    </row>
    <row r="536" spans="2:6" ht="13.2">
      <c r="B536" s="174">
        <v>620</v>
      </c>
      <c r="D536" s="176" t="s">
        <v>618</v>
      </c>
      <c r="E536" s="176" t="s">
        <v>1305</v>
      </c>
      <c r="F536" s="176" t="s">
        <v>1305</v>
      </c>
    </row>
    <row r="537" spans="2:6" ht="24">
      <c r="B537" s="174">
        <v>621</v>
      </c>
      <c r="C537" s="175" t="s">
        <v>544</v>
      </c>
      <c r="D537" s="176" t="s">
        <v>554</v>
      </c>
      <c r="E537" s="176" t="s">
        <v>1306</v>
      </c>
      <c r="F537" s="176" t="s">
        <v>1306</v>
      </c>
    </row>
    <row r="538" spans="2:6" ht="36">
      <c r="B538" s="174">
        <v>622</v>
      </c>
      <c r="C538" s="175" t="s">
        <v>544</v>
      </c>
      <c r="D538" s="176" t="s">
        <v>569</v>
      </c>
      <c r="E538" s="176" t="s">
        <v>1307</v>
      </c>
      <c r="F538" s="176" t="s">
        <v>1307</v>
      </c>
    </row>
    <row r="539" spans="2:6" ht="13.2">
      <c r="B539" s="174">
        <v>623</v>
      </c>
      <c r="D539" s="176" t="s">
        <v>302</v>
      </c>
      <c r="E539" s="176" t="s">
        <v>1308</v>
      </c>
      <c r="F539" s="176" t="s">
        <v>1308</v>
      </c>
    </row>
    <row r="540" spans="2:6" ht="13.2">
      <c r="B540" s="174">
        <v>624</v>
      </c>
      <c r="D540" s="176" t="s">
        <v>597</v>
      </c>
      <c r="E540" s="176" t="s">
        <v>1309</v>
      </c>
      <c r="F540" s="176" t="s">
        <v>1309</v>
      </c>
    </row>
    <row r="541" spans="2:6">
      <c r="B541" s="174">
        <v>625</v>
      </c>
      <c r="D541" s="176" t="s">
        <v>539</v>
      </c>
      <c r="E541" s="176" t="s">
        <v>539</v>
      </c>
      <c r="F541" s="176" t="s">
        <v>539</v>
      </c>
    </row>
    <row r="542" spans="2:6">
      <c r="B542" s="174">
        <v>626</v>
      </c>
      <c r="D542" s="176" t="s">
        <v>303</v>
      </c>
      <c r="F542" s="176"/>
    </row>
    <row r="543" spans="2:6">
      <c r="B543" s="174">
        <v>627</v>
      </c>
      <c r="D543" s="176" t="s">
        <v>304</v>
      </c>
      <c r="F543" s="176"/>
    </row>
    <row r="544" spans="2:6">
      <c r="B544" s="174">
        <v>628</v>
      </c>
      <c r="D544" s="176" t="s">
        <v>537</v>
      </c>
      <c r="E544" s="176" t="s">
        <v>538</v>
      </c>
      <c r="F544" s="176" t="s">
        <v>538</v>
      </c>
    </row>
    <row r="545" spans="1:6" ht="13.2">
      <c r="B545" s="174">
        <v>629</v>
      </c>
      <c r="D545" s="176" t="s">
        <v>305</v>
      </c>
      <c r="E545" s="176" t="s">
        <v>1310</v>
      </c>
      <c r="F545" s="176" t="s">
        <v>1310</v>
      </c>
    </row>
    <row r="546" spans="1:6" ht="13.2">
      <c r="B546" s="174">
        <v>630</v>
      </c>
      <c r="D546" s="176" t="s">
        <v>411</v>
      </c>
      <c r="E546" s="176" t="s">
        <v>1311</v>
      </c>
      <c r="F546" s="176" t="s">
        <v>1311</v>
      </c>
    </row>
    <row r="547" spans="1:6" ht="13.2">
      <c r="B547" s="174">
        <v>631</v>
      </c>
      <c r="D547" s="176" t="s">
        <v>306</v>
      </c>
      <c r="E547" s="176" t="s">
        <v>1312</v>
      </c>
      <c r="F547" s="176" t="s">
        <v>1312</v>
      </c>
    </row>
    <row r="548" spans="1:6" ht="13.2">
      <c r="B548" s="174">
        <v>632</v>
      </c>
      <c r="D548" s="176" t="s">
        <v>340</v>
      </c>
      <c r="E548" s="176" t="s">
        <v>1313</v>
      </c>
      <c r="F548" s="176" t="s">
        <v>1313</v>
      </c>
    </row>
    <row r="549" spans="1:6" ht="13.2">
      <c r="B549" s="174">
        <v>633</v>
      </c>
      <c r="D549" s="176" t="s">
        <v>307</v>
      </c>
      <c r="E549" s="176" t="s">
        <v>1312</v>
      </c>
      <c r="F549" s="176" t="s">
        <v>1312</v>
      </c>
    </row>
    <row r="550" spans="1:6" ht="26.4">
      <c r="A550" s="177"/>
      <c r="B550" s="174">
        <v>634</v>
      </c>
      <c r="C550" s="177"/>
      <c r="D550" s="177" t="s">
        <v>447</v>
      </c>
      <c r="E550" s="177" t="s">
        <v>1314</v>
      </c>
      <c r="F550" s="177" t="s">
        <v>1314</v>
      </c>
    </row>
    <row r="551" spans="1:6" ht="13.2">
      <c r="B551" s="174">
        <v>635</v>
      </c>
      <c r="C551" s="175" t="s">
        <v>544</v>
      </c>
      <c r="D551" s="176" t="s">
        <v>551</v>
      </c>
      <c r="E551" s="176" t="s">
        <v>1315</v>
      </c>
      <c r="F551" s="176" t="s">
        <v>1315</v>
      </c>
    </row>
    <row r="552" spans="1:6" ht="13.2">
      <c r="B552" s="174">
        <v>636</v>
      </c>
      <c r="C552" s="175" t="s">
        <v>544</v>
      </c>
      <c r="D552" s="176" t="s">
        <v>645</v>
      </c>
      <c r="E552" s="176" t="s">
        <v>1316</v>
      </c>
      <c r="F552" s="176" t="s">
        <v>1316</v>
      </c>
    </row>
    <row r="553" spans="1:6">
      <c r="B553" s="174">
        <v>637</v>
      </c>
      <c r="D553" s="176" t="s">
        <v>308</v>
      </c>
      <c r="E553" s="176" t="s">
        <v>308</v>
      </c>
      <c r="F553" s="176" t="s">
        <v>308</v>
      </c>
    </row>
    <row r="554" spans="1:6" ht="13.2">
      <c r="B554" s="174">
        <v>638</v>
      </c>
      <c r="D554" s="176" t="s">
        <v>309</v>
      </c>
      <c r="E554" s="176" t="s">
        <v>1317</v>
      </c>
      <c r="F554" s="176" t="s">
        <v>1317</v>
      </c>
    </row>
    <row r="555" spans="1:6" ht="13.2">
      <c r="B555" s="174">
        <v>639</v>
      </c>
      <c r="D555" s="176" t="s">
        <v>310</v>
      </c>
      <c r="E555" s="176" t="s">
        <v>1318</v>
      </c>
      <c r="F555" s="176" t="s">
        <v>1318</v>
      </c>
    </row>
    <row r="556" spans="1:6" ht="13.2">
      <c r="B556" s="174">
        <v>640</v>
      </c>
      <c r="D556" s="176" t="s">
        <v>412</v>
      </c>
      <c r="E556" s="176" t="s">
        <v>1319</v>
      </c>
      <c r="F556" s="176" t="s">
        <v>1319</v>
      </c>
    </row>
    <row r="557" spans="1:6" ht="24">
      <c r="B557" s="174">
        <v>641</v>
      </c>
      <c r="C557" s="175" t="s">
        <v>544</v>
      </c>
      <c r="D557" s="176" t="s">
        <v>570</v>
      </c>
      <c r="E557" s="176" t="s">
        <v>1320</v>
      </c>
      <c r="F557" s="176" t="s">
        <v>1320</v>
      </c>
    </row>
    <row r="558" spans="1:6" ht="13.2">
      <c r="B558" s="174">
        <v>642</v>
      </c>
      <c r="D558" s="176" t="s">
        <v>311</v>
      </c>
      <c r="E558" s="176" t="s">
        <v>1321</v>
      </c>
      <c r="F558" s="176" t="s">
        <v>1321</v>
      </c>
    </row>
    <row r="559" spans="1:6" ht="39.6">
      <c r="B559" s="174">
        <v>643</v>
      </c>
      <c r="C559" s="175" t="s">
        <v>544</v>
      </c>
      <c r="D559" s="176" t="s">
        <v>577</v>
      </c>
      <c r="E559" s="176" t="s">
        <v>1322</v>
      </c>
      <c r="F559" s="176" t="s">
        <v>1322</v>
      </c>
    </row>
    <row r="560" spans="1:6" ht="13.2">
      <c r="B560" s="174">
        <v>644</v>
      </c>
      <c r="D560" s="176" t="s">
        <v>312</v>
      </c>
      <c r="E560" s="176" t="s">
        <v>1323</v>
      </c>
      <c r="F560" s="176" t="s">
        <v>1323</v>
      </c>
    </row>
    <row r="561" spans="2:27" ht="13.2">
      <c r="B561" s="174">
        <v>645</v>
      </c>
      <c r="D561" s="176" t="s">
        <v>313</v>
      </c>
      <c r="E561" s="176" t="s">
        <v>1324</v>
      </c>
      <c r="F561" s="176" t="s">
        <v>1324</v>
      </c>
    </row>
    <row r="562" spans="2:27" ht="13.2">
      <c r="B562" s="174">
        <v>646</v>
      </c>
      <c r="D562" s="176" t="s">
        <v>413</v>
      </c>
      <c r="E562" s="176" t="s">
        <v>1325</v>
      </c>
      <c r="F562" s="176" t="s">
        <v>1325</v>
      </c>
    </row>
    <row r="563" spans="2:27" ht="26.4">
      <c r="B563" s="174">
        <v>647</v>
      </c>
      <c r="D563" s="176" t="s">
        <v>314</v>
      </c>
      <c r="E563" s="176" t="s">
        <v>1326</v>
      </c>
      <c r="F563" s="176" t="s">
        <v>1326</v>
      </c>
    </row>
    <row r="564" spans="2:27" ht="13.2">
      <c r="B564" s="174">
        <v>648</v>
      </c>
      <c r="D564" s="176" t="s">
        <v>315</v>
      </c>
      <c r="E564" s="176" t="s">
        <v>1324</v>
      </c>
      <c r="F564" s="176" t="s">
        <v>1324</v>
      </c>
    </row>
    <row r="565" spans="2:27" ht="13.2">
      <c r="B565" s="174">
        <v>649</v>
      </c>
      <c r="D565" s="176" t="s">
        <v>316</v>
      </c>
      <c r="E565" s="176" t="s">
        <v>1327</v>
      </c>
      <c r="F565" s="176" t="s">
        <v>1327</v>
      </c>
    </row>
    <row r="566" spans="2:27" ht="13.2">
      <c r="B566" s="174">
        <v>650</v>
      </c>
      <c r="D566" s="176" t="s">
        <v>317</v>
      </c>
      <c r="E566" s="176" t="s">
        <v>1328</v>
      </c>
      <c r="F566" s="176" t="s">
        <v>1328</v>
      </c>
    </row>
    <row r="567" spans="2:27" ht="13.2">
      <c r="B567" s="174">
        <v>651</v>
      </c>
      <c r="D567" s="176" t="s">
        <v>318</v>
      </c>
      <c r="E567" s="176" t="s">
        <v>1329</v>
      </c>
      <c r="F567" s="176" t="s">
        <v>1329</v>
      </c>
    </row>
    <row r="568" spans="2:27" ht="13.2">
      <c r="B568" s="174">
        <v>652</v>
      </c>
      <c r="D568" s="176" t="s">
        <v>319</v>
      </c>
      <c r="E568" s="176" t="s">
        <v>1330</v>
      </c>
      <c r="F568" s="176" t="s">
        <v>1330</v>
      </c>
      <c r="G568" s="177"/>
      <c r="H568" s="177"/>
      <c r="I568" s="177"/>
      <c r="J568" s="177"/>
      <c r="K568" s="177"/>
      <c r="L568" s="177"/>
      <c r="M568" s="177"/>
      <c r="N568" s="177"/>
      <c r="O568" s="177"/>
      <c r="P568" s="177"/>
      <c r="Q568" s="177"/>
      <c r="R568" s="177"/>
      <c r="S568" s="177"/>
      <c r="T568" s="177"/>
      <c r="U568" s="177"/>
      <c r="V568" s="177"/>
      <c r="W568" s="177"/>
      <c r="X568" s="177"/>
      <c r="Y568" s="177"/>
      <c r="Z568" s="177"/>
      <c r="AA568" s="177"/>
    </row>
    <row r="569" spans="2:27" ht="13.2">
      <c r="B569" s="174">
        <v>653</v>
      </c>
      <c r="D569" s="176" t="s">
        <v>320</v>
      </c>
      <c r="E569" s="176" t="s">
        <v>1331</v>
      </c>
      <c r="F569" s="176" t="s">
        <v>1331</v>
      </c>
      <c r="G569" s="177"/>
      <c r="H569" s="177"/>
      <c r="I569" s="177"/>
      <c r="J569" s="177"/>
      <c r="K569" s="177"/>
      <c r="L569" s="177"/>
      <c r="M569" s="177"/>
      <c r="N569" s="177"/>
      <c r="O569" s="177"/>
      <c r="P569" s="177"/>
      <c r="Q569" s="177"/>
      <c r="R569" s="177"/>
      <c r="S569" s="177"/>
      <c r="T569" s="177"/>
      <c r="U569" s="177"/>
      <c r="V569" s="177"/>
      <c r="W569" s="177"/>
      <c r="X569" s="177"/>
      <c r="Y569" s="177"/>
      <c r="Z569" s="177"/>
      <c r="AA569" s="177"/>
    </row>
    <row r="570" spans="2:27" ht="13.2">
      <c r="B570" s="174">
        <v>654</v>
      </c>
      <c r="D570" s="176" t="s">
        <v>321</v>
      </c>
      <c r="E570" s="176" t="s">
        <v>1323</v>
      </c>
      <c r="F570" s="176" t="s">
        <v>1323</v>
      </c>
      <c r="G570" s="178"/>
      <c r="H570" s="178"/>
      <c r="I570" s="178"/>
      <c r="J570" s="178"/>
      <c r="K570" s="178"/>
      <c r="L570" s="178"/>
      <c r="M570" s="178"/>
      <c r="N570" s="178"/>
      <c r="O570" s="178"/>
      <c r="P570" s="178"/>
      <c r="Q570" s="178"/>
      <c r="R570" s="178"/>
      <c r="S570" s="178"/>
      <c r="T570" s="178"/>
      <c r="U570" s="178"/>
      <c r="V570" s="178"/>
      <c r="W570" s="178"/>
      <c r="X570" s="178"/>
      <c r="Y570" s="178"/>
      <c r="Z570" s="178"/>
      <c r="AA570" s="178"/>
    </row>
    <row r="571" spans="2:27" ht="13.2">
      <c r="B571" s="174">
        <v>655</v>
      </c>
      <c r="C571" s="175" t="s">
        <v>544</v>
      </c>
      <c r="D571" s="176" t="s">
        <v>571</v>
      </c>
      <c r="E571" s="176" t="s">
        <v>1332</v>
      </c>
      <c r="F571" s="176" t="s">
        <v>1332</v>
      </c>
    </row>
    <row r="572" spans="2:27" ht="26.4">
      <c r="B572" s="174">
        <v>656</v>
      </c>
      <c r="D572" s="176" t="s">
        <v>322</v>
      </c>
      <c r="E572" s="176" t="s">
        <v>1333</v>
      </c>
      <c r="F572" s="176" t="s">
        <v>1333</v>
      </c>
      <c r="G572" s="178"/>
      <c r="H572" s="178"/>
      <c r="I572" s="178"/>
      <c r="J572" s="178"/>
      <c r="K572" s="178"/>
      <c r="L572" s="178"/>
      <c r="M572" s="178"/>
      <c r="N572" s="178"/>
      <c r="O572" s="178"/>
      <c r="P572" s="178"/>
      <c r="Q572" s="178"/>
      <c r="R572" s="178"/>
      <c r="S572" s="178"/>
      <c r="T572" s="178"/>
      <c r="U572" s="178"/>
      <c r="V572" s="178"/>
      <c r="W572" s="178"/>
      <c r="X572" s="178"/>
      <c r="Y572" s="178"/>
      <c r="Z572" s="178"/>
      <c r="AA572" s="178"/>
    </row>
    <row r="573" spans="2:27" ht="39.6">
      <c r="B573" s="174">
        <v>657</v>
      </c>
      <c r="D573" s="176" t="s">
        <v>323</v>
      </c>
      <c r="E573" s="176" t="s">
        <v>1334</v>
      </c>
      <c r="F573" s="176" t="s">
        <v>1334</v>
      </c>
      <c r="G573" s="178"/>
      <c r="H573" s="178"/>
      <c r="I573" s="178"/>
      <c r="J573" s="178"/>
      <c r="K573" s="178"/>
      <c r="L573" s="178"/>
      <c r="M573" s="178"/>
      <c r="N573" s="178"/>
      <c r="O573" s="178"/>
      <c r="P573" s="178"/>
      <c r="Q573" s="178"/>
      <c r="R573" s="178"/>
      <c r="S573" s="178"/>
      <c r="T573" s="178"/>
      <c r="U573" s="178"/>
      <c r="V573" s="178"/>
      <c r="W573" s="178"/>
      <c r="X573" s="178"/>
      <c r="Y573" s="178"/>
      <c r="Z573" s="178"/>
      <c r="AA573" s="178"/>
    </row>
    <row r="574" spans="2:27" ht="13.2">
      <c r="B574" s="174">
        <v>658</v>
      </c>
      <c r="D574" s="176" t="s">
        <v>324</v>
      </c>
      <c r="E574" s="176" t="s">
        <v>1335</v>
      </c>
      <c r="F574" s="176" t="s">
        <v>1335</v>
      </c>
      <c r="G574" s="178"/>
      <c r="H574" s="178"/>
      <c r="I574" s="178"/>
      <c r="J574" s="178"/>
      <c r="K574" s="178"/>
      <c r="L574" s="178"/>
      <c r="M574" s="178"/>
      <c r="N574" s="178"/>
      <c r="O574" s="178"/>
      <c r="P574" s="178"/>
      <c r="Q574" s="178"/>
      <c r="R574" s="178"/>
      <c r="S574" s="178"/>
      <c r="T574" s="178"/>
      <c r="U574" s="178"/>
      <c r="V574" s="178"/>
      <c r="W574" s="178"/>
      <c r="X574" s="178"/>
      <c r="Y574" s="178"/>
      <c r="Z574" s="178"/>
      <c r="AA574" s="178"/>
    </row>
    <row r="575" spans="2:27" ht="39.6">
      <c r="B575" s="174">
        <v>659</v>
      </c>
      <c r="D575" s="176" t="s">
        <v>325</v>
      </c>
      <c r="E575" s="176" t="s">
        <v>1336</v>
      </c>
      <c r="F575" s="176" t="s">
        <v>1336</v>
      </c>
      <c r="G575" s="178"/>
      <c r="H575" s="178"/>
      <c r="I575" s="178"/>
      <c r="J575" s="178"/>
      <c r="K575" s="178"/>
      <c r="L575" s="178"/>
      <c r="M575" s="178"/>
      <c r="N575" s="178"/>
      <c r="O575" s="178"/>
      <c r="P575" s="178"/>
      <c r="Q575" s="178"/>
      <c r="R575" s="178"/>
      <c r="S575" s="178"/>
      <c r="T575" s="178"/>
      <c r="U575" s="178"/>
      <c r="V575" s="178"/>
      <c r="W575" s="178"/>
      <c r="X575" s="178"/>
      <c r="Y575" s="178"/>
      <c r="Z575" s="178"/>
      <c r="AA575" s="178"/>
    </row>
    <row r="576" spans="2:27" ht="13.2">
      <c r="B576" s="174">
        <v>660</v>
      </c>
      <c r="D576" s="176" t="s">
        <v>326</v>
      </c>
      <c r="E576" s="176" t="s">
        <v>1337</v>
      </c>
      <c r="F576" s="176" t="s">
        <v>1337</v>
      </c>
      <c r="G576" s="178"/>
      <c r="H576" s="178"/>
      <c r="I576" s="178"/>
      <c r="J576" s="178"/>
      <c r="K576" s="178"/>
      <c r="L576" s="178"/>
      <c r="M576" s="178"/>
      <c r="N576" s="178"/>
      <c r="O576" s="178"/>
      <c r="P576" s="178"/>
      <c r="Q576" s="178"/>
      <c r="R576" s="178"/>
      <c r="S576" s="178"/>
      <c r="T576" s="178"/>
      <c r="U576" s="178"/>
      <c r="V576" s="178"/>
      <c r="W576" s="178"/>
      <c r="X576" s="178"/>
      <c r="Y576" s="178"/>
      <c r="Z576" s="178"/>
      <c r="AA576" s="178"/>
    </row>
    <row r="577" spans="2:27" ht="13.2">
      <c r="B577" s="174">
        <v>661</v>
      </c>
      <c r="D577" s="176" t="s">
        <v>327</v>
      </c>
      <c r="E577" s="176" t="s">
        <v>1338</v>
      </c>
      <c r="F577" s="176" t="s">
        <v>1338</v>
      </c>
      <c r="G577" s="178"/>
      <c r="H577" s="178"/>
      <c r="I577" s="178"/>
      <c r="J577" s="178"/>
      <c r="K577" s="178"/>
      <c r="L577" s="178"/>
      <c r="M577" s="178"/>
      <c r="N577" s="178"/>
      <c r="O577" s="178"/>
      <c r="P577" s="178"/>
      <c r="Q577" s="178"/>
      <c r="R577" s="178"/>
      <c r="S577" s="178"/>
      <c r="T577" s="178"/>
      <c r="U577" s="178"/>
      <c r="V577" s="178"/>
      <c r="W577" s="178"/>
      <c r="X577" s="178"/>
      <c r="Y577" s="178"/>
      <c r="Z577" s="178"/>
      <c r="AA577" s="178"/>
    </row>
    <row r="578" spans="2:27" ht="13.2">
      <c r="B578" s="174">
        <v>662</v>
      </c>
      <c r="D578" s="176" t="s">
        <v>328</v>
      </c>
      <c r="E578" s="176" t="s">
        <v>1339</v>
      </c>
      <c r="F578" s="176" t="s">
        <v>1339</v>
      </c>
      <c r="G578" s="178"/>
      <c r="H578" s="178"/>
      <c r="I578" s="178"/>
      <c r="J578" s="178"/>
      <c r="K578" s="178"/>
      <c r="L578" s="178"/>
      <c r="M578" s="178"/>
      <c r="N578" s="178"/>
      <c r="O578" s="178"/>
      <c r="P578" s="178"/>
      <c r="Q578" s="178"/>
      <c r="R578" s="178"/>
      <c r="S578" s="178"/>
      <c r="T578" s="178"/>
      <c r="U578" s="178"/>
      <c r="V578" s="178"/>
      <c r="W578" s="178"/>
      <c r="X578" s="178"/>
      <c r="Y578" s="178"/>
      <c r="Z578" s="178"/>
      <c r="AA578" s="178"/>
    </row>
    <row r="579" spans="2:27" ht="13.2">
      <c r="B579" s="174">
        <v>663</v>
      </c>
      <c r="D579" s="176" t="s">
        <v>329</v>
      </c>
      <c r="E579" s="176" t="s">
        <v>1340</v>
      </c>
      <c r="F579" s="176" t="s">
        <v>1340</v>
      </c>
      <c r="G579" s="178"/>
      <c r="H579" s="178"/>
      <c r="I579" s="178"/>
      <c r="J579" s="178"/>
      <c r="K579" s="178"/>
      <c r="L579" s="178"/>
      <c r="M579" s="178"/>
      <c r="N579" s="178"/>
      <c r="O579" s="178"/>
      <c r="P579" s="178"/>
      <c r="Q579" s="178"/>
      <c r="R579" s="178"/>
      <c r="S579" s="178"/>
      <c r="T579" s="178"/>
      <c r="U579" s="178"/>
      <c r="V579" s="178"/>
      <c r="W579" s="178"/>
      <c r="X579" s="178"/>
      <c r="Y579" s="178"/>
      <c r="Z579" s="178"/>
      <c r="AA579" s="178"/>
    </row>
    <row r="580" spans="2:27" ht="13.2">
      <c r="B580" s="174">
        <v>664</v>
      </c>
      <c r="D580" s="176" t="s">
        <v>330</v>
      </c>
      <c r="E580" s="176" t="s">
        <v>1341</v>
      </c>
      <c r="F580" s="176" t="s">
        <v>1341</v>
      </c>
      <c r="G580" s="178"/>
      <c r="H580" s="178"/>
      <c r="I580" s="178"/>
      <c r="J580" s="178"/>
      <c r="K580" s="178"/>
      <c r="L580" s="178"/>
      <c r="M580" s="178"/>
      <c r="N580" s="178"/>
      <c r="O580" s="178"/>
      <c r="P580" s="178"/>
      <c r="Q580" s="178"/>
      <c r="R580" s="178"/>
      <c r="S580" s="178"/>
      <c r="T580" s="178"/>
      <c r="U580" s="178"/>
      <c r="V580" s="178"/>
      <c r="W580" s="178"/>
      <c r="X580" s="178"/>
      <c r="Y580" s="178"/>
      <c r="Z580" s="178"/>
      <c r="AA580" s="178"/>
    </row>
    <row r="581" spans="2:27" ht="13.2">
      <c r="B581" s="174">
        <v>665</v>
      </c>
      <c r="D581" s="176" t="s">
        <v>331</v>
      </c>
      <c r="E581" s="176" t="s">
        <v>1342</v>
      </c>
      <c r="F581" s="176" t="s">
        <v>1342</v>
      </c>
      <c r="G581" s="178"/>
      <c r="H581" s="178"/>
      <c r="I581" s="178"/>
      <c r="J581" s="178"/>
      <c r="K581" s="178"/>
      <c r="L581" s="178"/>
      <c r="M581" s="178"/>
      <c r="N581" s="178"/>
      <c r="O581" s="178"/>
      <c r="P581" s="178"/>
      <c r="Q581" s="178"/>
      <c r="R581" s="178"/>
      <c r="S581" s="178"/>
      <c r="T581" s="178"/>
      <c r="U581" s="178"/>
      <c r="V581" s="178"/>
      <c r="W581" s="178"/>
      <c r="X581" s="178"/>
      <c r="Y581" s="178"/>
      <c r="Z581" s="178"/>
      <c r="AA581" s="178"/>
    </row>
    <row r="582" spans="2:27" ht="13.2">
      <c r="B582" s="174">
        <v>666</v>
      </c>
      <c r="D582" s="176" t="s">
        <v>653</v>
      </c>
      <c r="E582" s="176" t="s">
        <v>1343</v>
      </c>
      <c r="F582" s="176" t="s">
        <v>1343</v>
      </c>
    </row>
    <row r="583" spans="2:27" ht="13.2">
      <c r="B583" s="174">
        <v>667</v>
      </c>
      <c r="D583" s="176" t="s">
        <v>654</v>
      </c>
      <c r="E583" s="176" t="s">
        <v>1344</v>
      </c>
      <c r="F583" s="176" t="s">
        <v>1344</v>
      </c>
    </row>
    <row r="584" spans="2:27" ht="13.2">
      <c r="B584" s="174">
        <v>668</v>
      </c>
      <c r="D584" s="176" t="s">
        <v>646</v>
      </c>
      <c r="E584" s="176" t="s">
        <v>1345</v>
      </c>
      <c r="F584" s="176" t="s">
        <v>1345</v>
      </c>
    </row>
    <row r="585" spans="2:27" ht="13.2">
      <c r="B585" s="174">
        <v>669</v>
      </c>
      <c r="D585" s="176" t="s">
        <v>652</v>
      </c>
      <c r="E585" s="176" t="s">
        <v>1346</v>
      </c>
      <c r="F585" s="176" t="s">
        <v>1346</v>
      </c>
    </row>
    <row r="586" spans="2:27" ht="13.2">
      <c r="B586" s="174">
        <v>670</v>
      </c>
      <c r="D586" s="176" t="s">
        <v>649</v>
      </c>
      <c r="E586" s="176" t="s">
        <v>1347</v>
      </c>
      <c r="F586" s="176" t="s">
        <v>1347</v>
      </c>
    </row>
    <row r="587" spans="2:27" ht="13.2">
      <c r="B587" s="174">
        <v>671</v>
      </c>
      <c r="D587" s="176" t="s">
        <v>650</v>
      </c>
      <c r="E587" s="176" t="s">
        <v>1348</v>
      </c>
      <c r="F587" s="176" t="s">
        <v>1348</v>
      </c>
    </row>
    <row r="588" spans="2:27" ht="13.2">
      <c r="B588" s="174">
        <v>672</v>
      </c>
      <c r="D588" s="176" t="s">
        <v>651</v>
      </c>
      <c r="E588" s="176" t="s">
        <v>1349</v>
      </c>
      <c r="F588" s="176" t="s">
        <v>1349</v>
      </c>
    </row>
    <row r="589" spans="2:27" ht="13.2">
      <c r="B589" s="174">
        <v>673</v>
      </c>
      <c r="D589" s="176" t="s">
        <v>655</v>
      </c>
      <c r="E589" s="176" t="s">
        <v>1350</v>
      </c>
      <c r="F589" s="176" t="s">
        <v>1350</v>
      </c>
    </row>
    <row r="590" spans="2:27" ht="13.2">
      <c r="B590" s="174">
        <v>674</v>
      </c>
      <c r="D590" s="176" t="s">
        <v>739</v>
      </c>
      <c r="E590" s="176" t="s">
        <v>1351</v>
      </c>
      <c r="F590" s="176" t="s">
        <v>1351</v>
      </c>
    </row>
    <row r="591" spans="2:27" ht="13.2">
      <c r="B591" s="174">
        <v>675</v>
      </c>
      <c r="D591" s="176" t="s">
        <v>743</v>
      </c>
      <c r="E591" s="176" t="s">
        <v>1352</v>
      </c>
      <c r="F591" s="176" t="s">
        <v>1352</v>
      </c>
    </row>
    <row r="592" spans="2:27" ht="13.2">
      <c r="B592" s="174">
        <v>676</v>
      </c>
      <c r="D592" s="176" t="s">
        <v>744</v>
      </c>
      <c r="E592" s="176" t="s">
        <v>1353</v>
      </c>
      <c r="F592" s="176" t="s">
        <v>1353</v>
      </c>
    </row>
    <row r="593" spans="2:6" ht="13.2">
      <c r="B593" s="174">
        <v>677</v>
      </c>
      <c r="D593" s="176" t="s">
        <v>745</v>
      </c>
      <c r="E593" s="176" t="s">
        <v>1354</v>
      </c>
      <c r="F593" s="173" t="s">
        <v>1354</v>
      </c>
    </row>
    <row r="594" spans="2:6" ht="13.2">
      <c r="B594" s="174">
        <v>678</v>
      </c>
      <c r="D594" s="176" t="s">
        <v>746</v>
      </c>
      <c r="E594" s="176" t="s">
        <v>1355</v>
      </c>
      <c r="F594" s="176" t="s">
        <v>1355</v>
      </c>
    </row>
    <row r="595" spans="2:6" ht="13.2">
      <c r="B595" s="174">
        <v>679</v>
      </c>
      <c r="D595" s="176" t="s">
        <v>1356</v>
      </c>
      <c r="E595" s="176" t="s">
        <v>1357</v>
      </c>
      <c r="F595" s="176" t="s">
        <v>1357</v>
      </c>
    </row>
    <row r="596" spans="2:6" ht="13.2">
      <c r="B596" s="174">
        <v>680</v>
      </c>
      <c r="D596" s="176" t="s">
        <v>1358</v>
      </c>
      <c r="E596" s="191" t="s">
        <v>1360</v>
      </c>
      <c r="F596" s="191" t="s">
        <v>1360</v>
      </c>
    </row>
    <row r="597" spans="2:6" ht="13.2">
      <c r="B597" s="174">
        <v>681</v>
      </c>
      <c r="D597" s="176" t="s">
        <v>1359</v>
      </c>
      <c r="E597" s="191" t="s">
        <v>1361</v>
      </c>
      <c r="F597" s="191" t="s">
        <v>1361</v>
      </c>
    </row>
    <row r="598" spans="2:6" ht="13.2">
      <c r="B598" s="174">
        <v>682</v>
      </c>
      <c r="D598" s="176" t="s">
        <v>1372</v>
      </c>
      <c r="E598" s="197" t="s">
        <v>1373</v>
      </c>
      <c r="F598" s="197" t="s">
        <v>1373</v>
      </c>
    </row>
    <row r="599" spans="2:6" ht="13.2">
      <c r="B599" s="174">
        <v>683</v>
      </c>
      <c r="D599" s="176" t="s">
        <v>1374</v>
      </c>
      <c r="E599" s="197" t="s">
        <v>1377</v>
      </c>
      <c r="F599" s="197" t="s">
        <v>1377</v>
      </c>
    </row>
    <row r="600" spans="2:6">
      <c r="B600" s="174">
        <v>684</v>
      </c>
      <c r="D600" s="176" t="s">
        <v>1375</v>
      </c>
      <c r="E600" s="176" t="s">
        <v>1376</v>
      </c>
      <c r="F600" s="176" t="s">
        <v>1376</v>
      </c>
    </row>
  </sheetData>
  <sortState ref="A17:AA581">
    <sortCondition ref="D17:D581"/>
  </sortState>
  <phoneticPr fontId="2" type="noConversion"/>
  <hyperlinks>
    <hyperlink ref="E600" r:id="rId1"/>
    <hyperlink ref="F600" r:id="rId2"/>
  </hyperlinks>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536</v>
      </c>
      <c r="B1" s="106" t="s">
        <v>333</v>
      </c>
      <c r="C1" s="106" t="s">
        <v>525</v>
      </c>
      <c r="D1" s="106" t="s">
        <v>526</v>
      </c>
      <c r="E1" s="106" t="s">
        <v>527</v>
      </c>
      <c r="F1" s="106" t="s">
        <v>528</v>
      </c>
      <c r="G1" s="106" t="s">
        <v>529</v>
      </c>
      <c r="H1" s="106" t="s">
        <v>530</v>
      </c>
      <c r="I1" s="106" t="s">
        <v>531</v>
      </c>
      <c r="J1" s="106" t="s">
        <v>532</v>
      </c>
      <c r="K1" s="106" t="s">
        <v>533</v>
      </c>
      <c r="L1" s="106" t="s">
        <v>534</v>
      </c>
      <c r="M1" s="106" t="s">
        <v>334</v>
      </c>
      <c r="N1" s="106" t="s">
        <v>335</v>
      </c>
      <c r="O1" s="106" t="s">
        <v>336</v>
      </c>
      <c r="P1" s="106" t="s">
        <v>337</v>
      </c>
      <c r="Q1" s="106" t="s">
        <v>502</v>
      </c>
      <c r="R1" s="106" t="s">
        <v>503</v>
      </c>
      <c r="S1" s="106" t="s">
        <v>535</v>
      </c>
      <c r="T1" s="106" t="s">
        <v>612</v>
      </c>
      <c r="U1" s="106" t="s">
        <v>489</v>
      </c>
      <c r="V1" s="106" t="s">
        <v>490</v>
      </c>
      <c r="W1" s="106" t="s">
        <v>492</v>
      </c>
      <c r="X1" s="107" t="s">
        <v>603</v>
      </c>
      <c r="Y1" s="107" t="s">
        <v>493</v>
      </c>
      <c r="Z1" s="107" t="s">
        <v>494</v>
      </c>
      <c r="AA1" s="106" t="s">
        <v>504</v>
      </c>
      <c r="AB1" s="106" t="s">
        <v>505</v>
      </c>
      <c r="AC1" s="106" t="s">
        <v>523</v>
      </c>
      <c r="AD1" s="106" t="s">
        <v>491</v>
      </c>
    </row>
    <row r="2" spans="1:30">
      <c r="A2" s="105" t="s">
        <v>1554</v>
      </c>
      <c r="B2" s="105" t="s">
        <v>1458</v>
      </c>
      <c r="C2" s="105" t="s">
        <v>496</v>
      </c>
      <c r="D2" s="105" t="s">
        <v>542</v>
      </c>
      <c r="E2" s="105" t="s">
        <v>1458</v>
      </c>
      <c r="M2" s="105" t="s">
        <v>1472</v>
      </c>
      <c r="N2" s="105" t="s">
        <v>1460</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1554</v>
      </c>
      <c r="B3" s="105" t="s">
        <v>1458</v>
      </c>
      <c r="C3" s="105" t="s">
        <v>496</v>
      </c>
      <c r="D3" s="105" t="s">
        <v>542</v>
      </c>
      <c r="E3" s="105" t="s">
        <v>1458</v>
      </c>
      <c r="M3" s="105" t="s">
        <v>1472</v>
      </c>
      <c r="N3" s="105" t="s">
        <v>1555</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1556</v>
      </c>
      <c r="B4" s="105" t="s">
        <v>1478</v>
      </c>
      <c r="C4" s="105" t="s">
        <v>496</v>
      </c>
      <c r="D4" s="105" t="s">
        <v>542</v>
      </c>
      <c r="E4" s="105" t="s">
        <v>1459</v>
      </c>
      <c r="F4" s="105" t="s">
        <v>1478</v>
      </c>
      <c r="M4" s="105" t="s">
        <v>1479</v>
      </c>
      <c r="N4" s="105" t="s">
        <v>1460</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1556</v>
      </c>
      <c r="B5" s="105" t="s">
        <v>1478</v>
      </c>
      <c r="C5" s="105" t="s">
        <v>496</v>
      </c>
      <c r="D5" s="105" t="s">
        <v>542</v>
      </c>
      <c r="E5" s="105" t="s">
        <v>1459</v>
      </c>
      <c r="F5" s="105" t="s">
        <v>1478</v>
      </c>
      <c r="M5" s="105" t="s">
        <v>1479</v>
      </c>
      <c r="N5" s="105" t="s">
        <v>1460</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1556</v>
      </c>
      <c r="B6" s="105" t="s">
        <v>1480</v>
      </c>
      <c r="C6" s="105" t="s">
        <v>496</v>
      </c>
      <c r="D6" s="105" t="s">
        <v>542</v>
      </c>
      <c r="E6" s="105" t="s">
        <v>1459</v>
      </c>
      <c r="F6" s="105" t="s">
        <v>1480</v>
      </c>
      <c r="M6" s="105" t="s">
        <v>1481</v>
      </c>
      <c r="N6" s="105" t="s">
        <v>1460</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1554</v>
      </c>
      <c r="B7" s="105" t="s">
        <v>1462</v>
      </c>
      <c r="C7" s="105" t="s">
        <v>496</v>
      </c>
      <c r="D7" s="105" t="s">
        <v>1468</v>
      </c>
      <c r="E7" s="105" t="s">
        <v>1462</v>
      </c>
      <c r="M7" s="105" t="s">
        <v>1483</v>
      </c>
      <c r="N7" s="105" t="s">
        <v>1557</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1554</v>
      </c>
      <c r="B8" s="105" t="s">
        <v>1462</v>
      </c>
      <c r="C8" s="105" t="s">
        <v>496</v>
      </c>
      <c r="D8" s="105" t="s">
        <v>1468</v>
      </c>
      <c r="E8" s="105" t="s">
        <v>1462</v>
      </c>
      <c r="M8" s="105" t="s">
        <v>1483</v>
      </c>
      <c r="N8" s="105" t="s">
        <v>1557</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1554</v>
      </c>
      <c r="B9" s="105" t="s">
        <v>1463</v>
      </c>
      <c r="C9" s="105" t="s">
        <v>496</v>
      </c>
      <c r="D9" s="105" t="s">
        <v>1468</v>
      </c>
      <c r="E9" s="105" t="s">
        <v>1463</v>
      </c>
      <c r="M9" s="105" t="s">
        <v>1484</v>
      </c>
      <c r="N9" s="105" t="s">
        <v>1557</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1554</v>
      </c>
      <c r="B10" s="105" t="s">
        <v>1485</v>
      </c>
      <c r="C10" s="105" t="s">
        <v>496</v>
      </c>
      <c r="D10" s="105" t="s">
        <v>1468</v>
      </c>
      <c r="E10" s="105" t="s">
        <v>1485</v>
      </c>
      <c r="M10" s="105" t="s">
        <v>1486</v>
      </c>
      <c r="N10" s="105" t="s">
        <v>1557</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1554</v>
      </c>
      <c r="B11" s="105" t="s">
        <v>1485</v>
      </c>
      <c r="C11" s="105" t="s">
        <v>496</v>
      </c>
      <c r="D11" s="105" t="s">
        <v>1468</v>
      </c>
      <c r="E11" s="105" t="s">
        <v>1485</v>
      </c>
      <c r="M11" s="105" t="s">
        <v>1486</v>
      </c>
      <c r="N11" s="105" t="s">
        <v>1557</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1554</v>
      </c>
      <c r="B12" s="105" t="s">
        <v>1485</v>
      </c>
      <c r="C12" s="105" t="s">
        <v>496</v>
      </c>
      <c r="D12" s="105" t="s">
        <v>1468</v>
      </c>
      <c r="E12" s="105" t="s">
        <v>1485</v>
      </c>
      <c r="M12" s="105" t="s">
        <v>1486</v>
      </c>
      <c r="N12" s="105" t="s">
        <v>1557</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1554</v>
      </c>
      <c r="B13" s="105" t="s">
        <v>1485</v>
      </c>
      <c r="C13" s="105" t="s">
        <v>496</v>
      </c>
      <c r="D13" s="105" t="s">
        <v>1468</v>
      </c>
      <c r="E13" s="105" t="s">
        <v>1485</v>
      </c>
      <c r="M13" s="105" t="s">
        <v>1486</v>
      </c>
      <c r="N13" s="105" t="s">
        <v>1557</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1554</v>
      </c>
      <c r="B14" s="105" t="s">
        <v>1487</v>
      </c>
      <c r="C14" s="105" t="s">
        <v>496</v>
      </c>
      <c r="D14" s="105" t="s">
        <v>1468</v>
      </c>
      <c r="E14" s="105" t="s">
        <v>1487</v>
      </c>
      <c r="M14" s="105" t="s">
        <v>1488</v>
      </c>
      <c r="N14" s="105" t="s">
        <v>1448</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1554</v>
      </c>
      <c r="B15" s="105" t="s">
        <v>1464</v>
      </c>
      <c r="C15" s="105" t="s">
        <v>496</v>
      </c>
      <c r="D15" s="105" t="s">
        <v>1469</v>
      </c>
      <c r="E15" s="105" t="s">
        <v>1464</v>
      </c>
      <c r="M15" s="105" t="s">
        <v>1489</v>
      </c>
      <c r="N15" s="105" t="s">
        <v>1555</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1554</v>
      </c>
      <c r="B16" s="105" t="s">
        <v>1464</v>
      </c>
      <c r="C16" s="105" t="s">
        <v>496</v>
      </c>
      <c r="D16" s="105" t="s">
        <v>1469</v>
      </c>
      <c r="E16" s="105" t="s">
        <v>1464</v>
      </c>
      <c r="M16" s="105" t="s">
        <v>1489</v>
      </c>
      <c r="N16" s="105" t="s">
        <v>1460</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1554</v>
      </c>
      <c r="B17" s="105" t="s">
        <v>1464</v>
      </c>
      <c r="C17" s="105" t="s">
        <v>496</v>
      </c>
      <c r="D17" s="105" t="s">
        <v>1469</v>
      </c>
      <c r="E17" s="105" t="s">
        <v>1464</v>
      </c>
      <c r="M17" s="105" t="s">
        <v>1489</v>
      </c>
      <c r="N17" s="105" t="s">
        <v>1555</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1554</v>
      </c>
      <c r="B18" s="105" t="s">
        <v>1464</v>
      </c>
      <c r="C18" s="105" t="s">
        <v>496</v>
      </c>
      <c r="D18" s="105" t="s">
        <v>1469</v>
      </c>
      <c r="E18" s="105" t="s">
        <v>1464</v>
      </c>
      <c r="M18" s="105" t="s">
        <v>1489</v>
      </c>
      <c r="N18" s="105" t="s">
        <v>1460</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1554</v>
      </c>
      <c r="B19" s="105" t="s">
        <v>1465</v>
      </c>
      <c r="C19" s="105" t="s">
        <v>496</v>
      </c>
      <c r="D19" s="105" t="s">
        <v>1469</v>
      </c>
      <c r="E19" s="105" t="s">
        <v>1465</v>
      </c>
      <c r="M19" s="105" t="s">
        <v>1490</v>
      </c>
      <c r="N19" s="105" t="s">
        <v>1466</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1554</v>
      </c>
      <c r="B20" s="105" t="s">
        <v>1465</v>
      </c>
      <c r="C20" s="105" t="s">
        <v>496</v>
      </c>
      <c r="D20" s="105" t="s">
        <v>1469</v>
      </c>
      <c r="E20" s="105" t="s">
        <v>1465</v>
      </c>
      <c r="M20" s="105" t="s">
        <v>1490</v>
      </c>
      <c r="N20" s="105" t="s">
        <v>1466</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1554</v>
      </c>
      <c r="B21" s="105" t="s">
        <v>1491</v>
      </c>
      <c r="C21" s="105" t="s">
        <v>496</v>
      </c>
      <c r="D21" s="105" t="s">
        <v>1469</v>
      </c>
      <c r="E21" s="105" t="s">
        <v>1491</v>
      </c>
      <c r="M21" s="105" t="s">
        <v>1492</v>
      </c>
      <c r="N21" s="105" t="s">
        <v>1558</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1554</v>
      </c>
      <c r="B22" s="105" t="s">
        <v>1491</v>
      </c>
      <c r="C22" s="105" t="s">
        <v>496</v>
      </c>
      <c r="D22" s="105" t="s">
        <v>1469</v>
      </c>
      <c r="E22" s="105" t="s">
        <v>1491</v>
      </c>
      <c r="M22" s="105" t="s">
        <v>1492</v>
      </c>
      <c r="N22" s="105" t="s">
        <v>1559</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1554</v>
      </c>
      <c r="B23" s="105" t="s">
        <v>1493</v>
      </c>
      <c r="C23" s="105" t="s">
        <v>496</v>
      </c>
      <c r="D23" s="105" t="s">
        <v>1469</v>
      </c>
      <c r="E23" s="105" t="s">
        <v>1493</v>
      </c>
      <c r="M23" s="105" t="s">
        <v>1494</v>
      </c>
      <c r="N23" s="105" t="s">
        <v>1448</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1554</v>
      </c>
      <c r="B24" s="105" t="s">
        <v>1474</v>
      </c>
      <c r="C24" s="105" t="s">
        <v>790</v>
      </c>
      <c r="D24" s="105" t="s">
        <v>1473</v>
      </c>
      <c r="E24" s="105" t="s">
        <v>1474</v>
      </c>
      <c r="M24" s="105" t="s">
        <v>1495</v>
      </c>
      <c r="N24" s="105" t="s">
        <v>1448</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1554</v>
      </c>
      <c r="B25" s="105" t="s">
        <v>1474</v>
      </c>
      <c r="C25" s="105" t="s">
        <v>790</v>
      </c>
      <c r="D25" s="105" t="s">
        <v>1473</v>
      </c>
      <c r="E25" s="105" t="s">
        <v>1474</v>
      </c>
      <c r="M25" s="105" t="s">
        <v>1495</v>
      </c>
      <c r="N25" s="105" t="s">
        <v>1448</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1554</v>
      </c>
      <c r="B26" s="105" t="s">
        <v>1474</v>
      </c>
      <c r="C26" s="105" t="s">
        <v>790</v>
      </c>
      <c r="D26" s="105" t="s">
        <v>1473</v>
      </c>
      <c r="E26" s="105" t="s">
        <v>1474</v>
      </c>
      <c r="M26" s="105" t="s">
        <v>1495</v>
      </c>
      <c r="N26" s="105" t="s">
        <v>1448</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1556</v>
      </c>
      <c r="B27" s="105" t="s">
        <v>1476</v>
      </c>
      <c r="C27" s="105" t="s">
        <v>790</v>
      </c>
      <c r="D27" s="105" t="s">
        <v>1473</v>
      </c>
      <c r="E27" s="105" t="s">
        <v>1475</v>
      </c>
      <c r="F27" s="105" t="s">
        <v>1476</v>
      </c>
      <c r="M27" s="105" t="s">
        <v>1496</v>
      </c>
      <c r="N27" s="105" t="s">
        <v>1448</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1556</v>
      </c>
      <c r="B28" s="105" t="s">
        <v>1476</v>
      </c>
      <c r="C28" s="105" t="s">
        <v>790</v>
      </c>
      <c r="D28" s="105" t="s">
        <v>1473</v>
      </c>
      <c r="E28" s="105" t="s">
        <v>1475</v>
      </c>
      <c r="F28" s="105" t="s">
        <v>1476</v>
      </c>
      <c r="M28" s="105" t="s">
        <v>1496</v>
      </c>
      <c r="N28" s="105" t="s">
        <v>1448</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1556</v>
      </c>
      <c r="B29" s="105" t="s">
        <v>1477</v>
      </c>
      <c r="C29" s="105" t="s">
        <v>790</v>
      </c>
      <c r="D29" s="105" t="s">
        <v>1473</v>
      </c>
      <c r="E29" s="105" t="s">
        <v>1475</v>
      </c>
      <c r="F29" s="105" t="s">
        <v>1477</v>
      </c>
      <c r="M29" s="105" t="s">
        <v>1497</v>
      </c>
      <c r="N29" s="105" t="s">
        <v>1560</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1556</v>
      </c>
      <c r="B30" s="105" t="s">
        <v>1477</v>
      </c>
      <c r="C30" s="105" t="s">
        <v>790</v>
      </c>
      <c r="D30" s="105" t="s">
        <v>1473</v>
      </c>
      <c r="E30" s="105" t="s">
        <v>1475</v>
      </c>
      <c r="F30" s="105" t="s">
        <v>1477</v>
      </c>
      <c r="M30" s="105" t="s">
        <v>1497</v>
      </c>
      <c r="N30" s="105" t="s">
        <v>1460</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1556</v>
      </c>
      <c r="B31" s="105" t="s">
        <v>1477</v>
      </c>
      <c r="C31" s="105" t="s">
        <v>790</v>
      </c>
      <c r="D31" s="105" t="s">
        <v>1473</v>
      </c>
      <c r="E31" s="105" t="s">
        <v>1475</v>
      </c>
      <c r="F31" s="105" t="s">
        <v>1477</v>
      </c>
      <c r="M31" s="105" t="s">
        <v>1497</v>
      </c>
      <c r="N31" s="105" t="s">
        <v>1560</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1556</v>
      </c>
      <c r="B32" s="105" t="s">
        <v>1477</v>
      </c>
      <c r="C32" s="105" t="s">
        <v>790</v>
      </c>
      <c r="D32" s="105" t="s">
        <v>1473</v>
      </c>
      <c r="E32" s="105" t="s">
        <v>1475</v>
      </c>
      <c r="F32" s="105" t="s">
        <v>1477</v>
      </c>
      <c r="M32" s="105" t="s">
        <v>1497</v>
      </c>
      <c r="N32" s="105" t="s">
        <v>1460</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1554</v>
      </c>
      <c r="B33" s="105" t="s">
        <v>1498</v>
      </c>
      <c r="C33" s="105" t="s">
        <v>790</v>
      </c>
      <c r="D33" s="105" t="s">
        <v>1544</v>
      </c>
      <c r="E33" s="105" t="s">
        <v>1498</v>
      </c>
      <c r="M33" s="105" t="s">
        <v>1499</v>
      </c>
      <c r="N33" s="105" t="s">
        <v>1448</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1554</v>
      </c>
      <c r="B34" s="105" t="s">
        <v>1498</v>
      </c>
      <c r="C34" s="105" t="s">
        <v>790</v>
      </c>
      <c r="D34" s="105" t="s">
        <v>1544</v>
      </c>
      <c r="E34" s="105" t="s">
        <v>1498</v>
      </c>
      <c r="M34" s="105" t="s">
        <v>1499</v>
      </c>
      <c r="N34" s="105" t="s">
        <v>1448</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1554</v>
      </c>
      <c r="B35" s="105" t="s">
        <v>1498</v>
      </c>
      <c r="C35" s="105" t="s">
        <v>790</v>
      </c>
      <c r="D35" s="105" t="s">
        <v>1544</v>
      </c>
      <c r="E35" s="105" t="s">
        <v>1498</v>
      </c>
      <c r="M35" s="105" t="s">
        <v>1499</v>
      </c>
      <c r="N35" s="105" t="s">
        <v>1448</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1556</v>
      </c>
      <c r="B36" s="105" t="s">
        <v>1501</v>
      </c>
      <c r="C36" s="105" t="s">
        <v>790</v>
      </c>
      <c r="D36" s="105" t="s">
        <v>1544</v>
      </c>
      <c r="E36" s="105" t="s">
        <v>1500</v>
      </c>
      <c r="F36" s="105" t="s">
        <v>1501</v>
      </c>
      <c r="M36" s="105" t="s">
        <v>1502</v>
      </c>
      <c r="N36" s="105" t="s">
        <v>1448</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1556</v>
      </c>
      <c r="B37" s="105" t="s">
        <v>1501</v>
      </c>
      <c r="C37" s="105" t="s">
        <v>790</v>
      </c>
      <c r="D37" s="105" t="s">
        <v>1544</v>
      </c>
      <c r="E37" s="105" t="s">
        <v>1500</v>
      </c>
      <c r="F37" s="105" t="s">
        <v>1501</v>
      </c>
      <c r="M37" s="105" t="s">
        <v>1502</v>
      </c>
      <c r="N37" s="105" t="s">
        <v>1448</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1556</v>
      </c>
      <c r="B38" s="105" t="s">
        <v>1503</v>
      </c>
      <c r="C38" s="105" t="s">
        <v>790</v>
      </c>
      <c r="D38" s="105" t="s">
        <v>1544</v>
      </c>
      <c r="E38" s="105" t="s">
        <v>1500</v>
      </c>
      <c r="F38" s="105" t="s">
        <v>1503</v>
      </c>
      <c r="M38" s="105" t="s">
        <v>1504</v>
      </c>
      <c r="N38" s="105" t="s">
        <v>1448</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1556</v>
      </c>
      <c r="B39" s="105" t="s">
        <v>1503</v>
      </c>
      <c r="C39" s="105" t="s">
        <v>790</v>
      </c>
      <c r="D39" s="105" t="s">
        <v>1544</v>
      </c>
      <c r="E39" s="105" t="s">
        <v>1500</v>
      </c>
      <c r="F39" s="105" t="s">
        <v>1503</v>
      </c>
      <c r="M39" s="105" t="s">
        <v>1504</v>
      </c>
      <c r="N39" s="105" t="s">
        <v>1448</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1556</v>
      </c>
      <c r="B40" s="105" t="s">
        <v>1505</v>
      </c>
      <c r="C40" s="105" t="s">
        <v>790</v>
      </c>
      <c r="D40" s="105" t="s">
        <v>1544</v>
      </c>
      <c r="E40" s="105" t="s">
        <v>1500</v>
      </c>
      <c r="F40" s="105" t="s">
        <v>1505</v>
      </c>
      <c r="M40" s="105" t="s">
        <v>1506</v>
      </c>
      <c r="N40" s="105" t="s">
        <v>1448</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1556</v>
      </c>
      <c r="B41" s="105" t="s">
        <v>1505</v>
      </c>
      <c r="C41" s="105" t="s">
        <v>790</v>
      </c>
      <c r="D41" s="105" t="s">
        <v>1544</v>
      </c>
      <c r="E41" s="105" t="s">
        <v>1500</v>
      </c>
      <c r="F41" s="105" t="s">
        <v>1505</v>
      </c>
      <c r="M41" s="105" t="s">
        <v>1506</v>
      </c>
      <c r="N41" s="105" t="s">
        <v>1448</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1556</v>
      </c>
      <c r="B42" s="105" t="s">
        <v>1505</v>
      </c>
      <c r="C42" s="105" t="s">
        <v>790</v>
      </c>
      <c r="D42" s="105" t="s">
        <v>1544</v>
      </c>
      <c r="E42" s="105" t="s">
        <v>1500</v>
      </c>
      <c r="F42" s="105" t="s">
        <v>1505</v>
      </c>
      <c r="M42" s="105" t="s">
        <v>1506</v>
      </c>
      <c r="N42" s="105" t="s">
        <v>1448</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1554</v>
      </c>
      <c r="B43" s="105" t="s">
        <v>1507</v>
      </c>
      <c r="C43" s="105" t="s">
        <v>790</v>
      </c>
      <c r="D43" s="105" t="s">
        <v>1544</v>
      </c>
      <c r="E43" s="105" t="s">
        <v>1507</v>
      </c>
      <c r="M43" s="105" t="s">
        <v>1508</v>
      </c>
      <c r="N43" s="105" t="s">
        <v>1448</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1556</v>
      </c>
      <c r="B44" s="105" t="s">
        <v>1510</v>
      </c>
      <c r="C44" s="105" t="s">
        <v>790</v>
      </c>
      <c r="D44" s="105" t="s">
        <v>1545</v>
      </c>
      <c r="E44" s="105" t="s">
        <v>1509</v>
      </c>
      <c r="F44" s="105" t="s">
        <v>1510</v>
      </c>
      <c r="M44" s="105" t="s">
        <v>1511</v>
      </c>
      <c r="N44" s="105" t="s">
        <v>1448</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1561</v>
      </c>
      <c r="B45" s="105" t="s">
        <v>1514</v>
      </c>
      <c r="C45" s="105" t="s">
        <v>790</v>
      </c>
      <c r="D45" s="105" t="s">
        <v>1545</v>
      </c>
      <c r="E45" s="105" t="s">
        <v>1509</v>
      </c>
      <c r="F45" s="105" t="s">
        <v>1512</v>
      </c>
      <c r="G45" s="105" t="s">
        <v>1513</v>
      </c>
      <c r="H45" s="105" t="s">
        <v>1514</v>
      </c>
      <c r="M45" s="105" t="s">
        <v>1515</v>
      </c>
      <c r="N45" s="105" t="s">
        <v>1448</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1561</v>
      </c>
      <c r="B46" s="105" t="s">
        <v>1514</v>
      </c>
      <c r="C46" s="105" t="s">
        <v>790</v>
      </c>
      <c r="D46" s="105" t="s">
        <v>1545</v>
      </c>
      <c r="E46" s="105" t="s">
        <v>1509</v>
      </c>
      <c r="F46" s="105" t="s">
        <v>1512</v>
      </c>
      <c r="G46" s="105" t="s">
        <v>1513</v>
      </c>
      <c r="H46" s="105" t="s">
        <v>1514</v>
      </c>
      <c r="M46" s="105" t="s">
        <v>1515</v>
      </c>
      <c r="N46" s="105" t="s">
        <v>1448</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1561</v>
      </c>
      <c r="B47" s="105" t="s">
        <v>1516</v>
      </c>
      <c r="C47" s="105" t="s">
        <v>790</v>
      </c>
      <c r="D47" s="105" t="s">
        <v>1545</v>
      </c>
      <c r="E47" s="105" t="s">
        <v>1509</v>
      </c>
      <c r="F47" s="105" t="s">
        <v>1512</v>
      </c>
      <c r="G47" s="105" t="s">
        <v>1513</v>
      </c>
      <c r="H47" s="105" t="s">
        <v>1516</v>
      </c>
      <c r="M47" s="105" t="s">
        <v>1517</v>
      </c>
      <c r="N47" s="105" t="s">
        <v>1448</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1561</v>
      </c>
      <c r="B48" s="105" t="s">
        <v>1516</v>
      </c>
      <c r="C48" s="105" t="s">
        <v>790</v>
      </c>
      <c r="D48" s="105" t="s">
        <v>1545</v>
      </c>
      <c r="E48" s="105" t="s">
        <v>1509</v>
      </c>
      <c r="F48" s="105" t="s">
        <v>1512</v>
      </c>
      <c r="G48" s="105" t="s">
        <v>1513</v>
      </c>
      <c r="H48" s="105" t="s">
        <v>1516</v>
      </c>
      <c r="M48" s="105" t="s">
        <v>1517</v>
      </c>
      <c r="N48" s="105" t="s">
        <v>1448</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1561</v>
      </c>
      <c r="B49" s="105" t="s">
        <v>1516</v>
      </c>
      <c r="C49" s="105" t="s">
        <v>790</v>
      </c>
      <c r="D49" s="105" t="s">
        <v>1545</v>
      </c>
      <c r="E49" s="105" t="s">
        <v>1509</v>
      </c>
      <c r="F49" s="105" t="s">
        <v>1512</v>
      </c>
      <c r="G49" s="105" t="s">
        <v>1513</v>
      </c>
      <c r="H49" s="105" t="s">
        <v>1516</v>
      </c>
      <c r="M49" s="105" t="s">
        <v>1517</v>
      </c>
      <c r="N49" s="105" t="s">
        <v>1448</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1561</v>
      </c>
      <c r="B50" s="105" t="s">
        <v>1516</v>
      </c>
      <c r="C50" s="105" t="s">
        <v>790</v>
      </c>
      <c r="D50" s="105" t="s">
        <v>1545</v>
      </c>
      <c r="E50" s="105" t="s">
        <v>1509</v>
      </c>
      <c r="F50" s="105" t="s">
        <v>1512</v>
      </c>
      <c r="G50" s="105" t="s">
        <v>1513</v>
      </c>
      <c r="H50" s="105" t="s">
        <v>1516</v>
      </c>
      <c r="M50" s="105" t="s">
        <v>1517</v>
      </c>
      <c r="N50" s="105" t="s">
        <v>1448</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1561</v>
      </c>
      <c r="B51" s="105" t="s">
        <v>1518</v>
      </c>
      <c r="C51" s="105" t="s">
        <v>790</v>
      </c>
      <c r="D51" s="105" t="s">
        <v>1545</v>
      </c>
      <c r="E51" s="105" t="s">
        <v>1509</v>
      </c>
      <c r="F51" s="105" t="s">
        <v>1512</v>
      </c>
      <c r="G51" s="105" t="s">
        <v>1513</v>
      </c>
      <c r="H51" s="105" t="s">
        <v>1518</v>
      </c>
      <c r="M51" s="105" t="s">
        <v>1519</v>
      </c>
      <c r="N51" s="105" t="s">
        <v>1448</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1561</v>
      </c>
      <c r="B52" s="105" t="s">
        <v>1518</v>
      </c>
      <c r="C52" s="105" t="s">
        <v>790</v>
      </c>
      <c r="D52" s="105" t="s">
        <v>1545</v>
      </c>
      <c r="E52" s="105" t="s">
        <v>1509</v>
      </c>
      <c r="F52" s="105" t="s">
        <v>1512</v>
      </c>
      <c r="G52" s="105" t="s">
        <v>1513</v>
      </c>
      <c r="H52" s="105" t="s">
        <v>1518</v>
      </c>
      <c r="M52" s="105" t="s">
        <v>1519</v>
      </c>
      <c r="N52" s="105" t="s">
        <v>1448</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1561</v>
      </c>
      <c r="B53" s="105" t="s">
        <v>1518</v>
      </c>
      <c r="C53" s="105" t="s">
        <v>790</v>
      </c>
      <c r="D53" s="105" t="s">
        <v>1545</v>
      </c>
      <c r="E53" s="105" t="s">
        <v>1509</v>
      </c>
      <c r="F53" s="105" t="s">
        <v>1512</v>
      </c>
      <c r="G53" s="105" t="s">
        <v>1513</v>
      </c>
      <c r="H53" s="105" t="s">
        <v>1518</v>
      </c>
      <c r="M53" s="105" t="s">
        <v>1519</v>
      </c>
      <c r="N53" s="105" t="s">
        <v>1448</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1562</v>
      </c>
      <c r="B54" s="105" t="s">
        <v>1520</v>
      </c>
      <c r="C54" s="105" t="s">
        <v>790</v>
      </c>
      <c r="D54" s="105" t="s">
        <v>1545</v>
      </c>
      <c r="E54" s="105" t="s">
        <v>1509</v>
      </c>
      <c r="F54" s="105" t="s">
        <v>1512</v>
      </c>
      <c r="G54" s="105" t="s">
        <v>1520</v>
      </c>
      <c r="M54" s="105" t="s">
        <v>1521</v>
      </c>
      <c r="N54" s="105" t="s">
        <v>1448</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1562</v>
      </c>
      <c r="B55" s="105" t="s">
        <v>1520</v>
      </c>
      <c r="C55" s="105" t="s">
        <v>790</v>
      </c>
      <c r="D55" s="105" t="s">
        <v>1545</v>
      </c>
      <c r="E55" s="105" t="s">
        <v>1509</v>
      </c>
      <c r="F55" s="105" t="s">
        <v>1512</v>
      </c>
      <c r="G55" s="105" t="s">
        <v>1520</v>
      </c>
      <c r="M55" s="105" t="s">
        <v>1521</v>
      </c>
      <c r="N55" s="105" t="s">
        <v>1448</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1562</v>
      </c>
      <c r="B56" s="105" t="s">
        <v>1520</v>
      </c>
      <c r="C56" s="105" t="s">
        <v>790</v>
      </c>
      <c r="D56" s="105" t="s">
        <v>1545</v>
      </c>
      <c r="E56" s="105" t="s">
        <v>1509</v>
      </c>
      <c r="F56" s="105" t="s">
        <v>1512</v>
      </c>
      <c r="G56" s="105" t="s">
        <v>1520</v>
      </c>
      <c r="M56" s="105" t="s">
        <v>1521</v>
      </c>
      <c r="N56" s="105" t="s">
        <v>1448</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1562</v>
      </c>
      <c r="B57" s="105" t="s">
        <v>1520</v>
      </c>
      <c r="C57" s="105" t="s">
        <v>790</v>
      </c>
      <c r="D57" s="105" t="s">
        <v>1545</v>
      </c>
      <c r="E57" s="105" t="s">
        <v>1509</v>
      </c>
      <c r="F57" s="105" t="s">
        <v>1512</v>
      </c>
      <c r="G57" s="105" t="s">
        <v>1520</v>
      </c>
      <c r="M57" s="105" t="s">
        <v>1521</v>
      </c>
      <c r="N57" s="105" t="s">
        <v>1448</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1562</v>
      </c>
      <c r="B58" s="105" t="s">
        <v>1520</v>
      </c>
      <c r="C58" s="105" t="s">
        <v>790</v>
      </c>
      <c r="D58" s="105" t="s">
        <v>1545</v>
      </c>
      <c r="E58" s="105" t="s">
        <v>1509</v>
      </c>
      <c r="F58" s="105" t="s">
        <v>1512</v>
      </c>
      <c r="G58" s="105" t="s">
        <v>1520</v>
      </c>
      <c r="M58" s="105" t="s">
        <v>1521</v>
      </c>
      <c r="N58" s="105" t="s">
        <v>1448</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1562</v>
      </c>
      <c r="B59" s="105" t="s">
        <v>1520</v>
      </c>
      <c r="C59" s="105" t="s">
        <v>790</v>
      </c>
      <c r="D59" s="105" t="s">
        <v>1545</v>
      </c>
      <c r="E59" s="105" t="s">
        <v>1509</v>
      </c>
      <c r="F59" s="105" t="s">
        <v>1512</v>
      </c>
      <c r="G59" s="105" t="s">
        <v>1520</v>
      </c>
      <c r="M59" s="105" t="s">
        <v>1521</v>
      </c>
      <c r="N59" s="105" t="s">
        <v>1448</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1562</v>
      </c>
      <c r="B60" s="105" t="s">
        <v>1520</v>
      </c>
      <c r="C60" s="105" t="s">
        <v>790</v>
      </c>
      <c r="D60" s="105" t="s">
        <v>1545</v>
      </c>
      <c r="E60" s="105" t="s">
        <v>1509</v>
      </c>
      <c r="F60" s="105" t="s">
        <v>1512</v>
      </c>
      <c r="G60" s="105" t="s">
        <v>1520</v>
      </c>
      <c r="M60" s="105" t="s">
        <v>1521</v>
      </c>
      <c r="N60" s="105" t="s">
        <v>1448</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1562</v>
      </c>
      <c r="B61" s="105" t="s">
        <v>1520</v>
      </c>
      <c r="C61" s="105" t="s">
        <v>790</v>
      </c>
      <c r="D61" s="105" t="s">
        <v>1545</v>
      </c>
      <c r="E61" s="105" t="s">
        <v>1509</v>
      </c>
      <c r="F61" s="105" t="s">
        <v>1512</v>
      </c>
      <c r="G61" s="105" t="s">
        <v>1520</v>
      </c>
      <c r="M61" s="105" t="s">
        <v>1521</v>
      </c>
      <c r="N61" s="105" t="s">
        <v>1448</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1562</v>
      </c>
      <c r="B62" s="105" t="s">
        <v>1520</v>
      </c>
      <c r="C62" s="105" t="s">
        <v>790</v>
      </c>
      <c r="D62" s="105" t="s">
        <v>1545</v>
      </c>
      <c r="E62" s="105" t="s">
        <v>1509</v>
      </c>
      <c r="F62" s="105" t="s">
        <v>1512</v>
      </c>
      <c r="G62" s="105" t="s">
        <v>1520</v>
      </c>
      <c r="M62" s="105" t="s">
        <v>1521</v>
      </c>
      <c r="N62" s="105" t="s">
        <v>1448</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1562</v>
      </c>
      <c r="B63" s="105" t="s">
        <v>1522</v>
      </c>
      <c r="C63" s="105" t="s">
        <v>790</v>
      </c>
      <c r="D63" s="105" t="s">
        <v>1545</v>
      </c>
      <c r="E63" s="105" t="s">
        <v>1509</v>
      </c>
      <c r="F63" s="105" t="s">
        <v>1512</v>
      </c>
      <c r="G63" s="105" t="s">
        <v>1522</v>
      </c>
      <c r="M63" s="105" t="s">
        <v>1523</v>
      </c>
      <c r="N63" s="105" t="s">
        <v>1448</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1562</v>
      </c>
      <c r="B64" s="105" t="s">
        <v>1522</v>
      </c>
      <c r="C64" s="105" t="s">
        <v>790</v>
      </c>
      <c r="D64" s="105" t="s">
        <v>1545</v>
      </c>
      <c r="E64" s="105" t="s">
        <v>1509</v>
      </c>
      <c r="F64" s="105" t="s">
        <v>1512</v>
      </c>
      <c r="G64" s="105" t="s">
        <v>1522</v>
      </c>
      <c r="M64" s="105" t="s">
        <v>1523</v>
      </c>
      <c r="N64" s="105" t="s">
        <v>1448</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1562</v>
      </c>
      <c r="B65" s="105" t="s">
        <v>1522</v>
      </c>
      <c r="C65" s="105" t="s">
        <v>790</v>
      </c>
      <c r="D65" s="105" t="s">
        <v>1545</v>
      </c>
      <c r="E65" s="105" t="s">
        <v>1509</v>
      </c>
      <c r="F65" s="105" t="s">
        <v>1512</v>
      </c>
      <c r="G65" s="105" t="s">
        <v>1522</v>
      </c>
      <c r="M65" s="105" t="s">
        <v>1523</v>
      </c>
      <c r="N65" s="105" t="s">
        <v>1448</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1562</v>
      </c>
      <c r="B66" s="105" t="s">
        <v>1522</v>
      </c>
      <c r="C66" s="105" t="s">
        <v>790</v>
      </c>
      <c r="D66" s="105" t="s">
        <v>1545</v>
      </c>
      <c r="E66" s="105" t="s">
        <v>1509</v>
      </c>
      <c r="F66" s="105" t="s">
        <v>1512</v>
      </c>
      <c r="G66" s="105" t="s">
        <v>1522</v>
      </c>
      <c r="M66" s="105" t="s">
        <v>1523</v>
      </c>
      <c r="N66" s="105" t="s">
        <v>1448</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1562</v>
      </c>
      <c r="B67" s="105" t="s">
        <v>1522</v>
      </c>
      <c r="C67" s="105" t="s">
        <v>790</v>
      </c>
      <c r="D67" s="105" t="s">
        <v>1545</v>
      </c>
      <c r="E67" s="105" t="s">
        <v>1509</v>
      </c>
      <c r="F67" s="105" t="s">
        <v>1512</v>
      </c>
      <c r="G67" s="105" t="s">
        <v>1522</v>
      </c>
      <c r="M67" s="105" t="s">
        <v>1523</v>
      </c>
      <c r="N67" s="105" t="s">
        <v>1448</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1562</v>
      </c>
      <c r="B68" s="105" t="s">
        <v>1522</v>
      </c>
      <c r="C68" s="105" t="s">
        <v>790</v>
      </c>
      <c r="D68" s="105" t="s">
        <v>1545</v>
      </c>
      <c r="E68" s="105" t="s">
        <v>1509</v>
      </c>
      <c r="F68" s="105" t="s">
        <v>1512</v>
      </c>
      <c r="G68" s="105" t="s">
        <v>1522</v>
      </c>
      <c r="M68" s="105" t="s">
        <v>1523</v>
      </c>
      <c r="N68" s="105" t="s">
        <v>1448</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1562</v>
      </c>
      <c r="B69" s="105" t="s">
        <v>1522</v>
      </c>
      <c r="C69" s="105" t="s">
        <v>790</v>
      </c>
      <c r="D69" s="105" t="s">
        <v>1545</v>
      </c>
      <c r="E69" s="105" t="s">
        <v>1509</v>
      </c>
      <c r="F69" s="105" t="s">
        <v>1512</v>
      </c>
      <c r="G69" s="105" t="s">
        <v>1522</v>
      </c>
      <c r="M69" s="105" t="s">
        <v>1523</v>
      </c>
      <c r="N69" s="105" t="s">
        <v>1448</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1562</v>
      </c>
      <c r="B70" s="105" t="s">
        <v>1522</v>
      </c>
      <c r="C70" s="105" t="s">
        <v>790</v>
      </c>
      <c r="D70" s="105" t="s">
        <v>1545</v>
      </c>
      <c r="E70" s="105" t="s">
        <v>1509</v>
      </c>
      <c r="F70" s="105" t="s">
        <v>1512</v>
      </c>
      <c r="G70" s="105" t="s">
        <v>1522</v>
      </c>
      <c r="M70" s="105" t="s">
        <v>1523</v>
      </c>
      <c r="N70" s="105" t="s">
        <v>1448</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1562</v>
      </c>
      <c r="B71" s="105" t="s">
        <v>1522</v>
      </c>
      <c r="C71" s="105" t="s">
        <v>790</v>
      </c>
      <c r="D71" s="105" t="s">
        <v>1545</v>
      </c>
      <c r="E71" s="105" t="s">
        <v>1509</v>
      </c>
      <c r="F71" s="105" t="s">
        <v>1512</v>
      </c>
      <c r="G71" s="105" t="s">
        <v>1522</v>
      </c>
      <c r="M71" s="105" t="s">
        <v>1523</v>
      </c>
      <c r="N71" s="105" t="s">
        <v>1448</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1562</v>
      </c>
      <c r="B72" s="105" t="s">
        <v>1524</v>
      </c>
      <c r="C72" s="105" t="s">
        <v>790</v>
      </c>
      <c r="D72" s="105" t="s">
        <v>1545</v>
      </c>
      <c r="E72" s="105" t="s">
        <v>1509</v>
      </c>
      <c r="F72" s="105" t="s">
        <v>1512</v>
      </c>
      <c r="G72" s="105" t="s">
        <v>1524</v>
      </c>
      <c r="M72" s="105" t="s">
        <v>1525</v>
      </c>
      <c r="N72" s="105" t="s">
        <v>1448</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1562</v>
      </c>
      <c r="B73" s="105" t="s">
        <v>1524</v>
      </c>
      <c r="C73" s="105" t="s">
        <v>790</v>
      </c>
      <c r="D73" s="105" t="s">
        <v>1545</v>
      </c>
      <c r="E73" s="105" t="s">
        <v>1509</v>
      </c>
      <c r="F73" s="105" t="s">
        <v>1512</v>
      </c>
      <c r="G73" s="105" t="s">
        <v>1524</v>
      </c>
      <c r="M73" s="105" t="s">
        <v>1525</v>
      </c>
      <c r="N73" s="105" t="s">
        <v>1448</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1562</v>
      </c>
      <c r="B74" s="105" t="s">
        <v>1524</v>
      </c>
      <c r="C74" s="105" t="s">
        <v>790</v>
      </c>
      <c r="D74" s="105" t="s">
        <v>1545</v>
      </c>
      <c r="E74" s="105" t="s">
        <v>1509</v>
      </c>
      <c r="F74" s="105" t="s">
        <v>1512</v>
      </c>
      <c r="G74" s="105" t="s">
        <v>1524</v>
      </c>
      <c r="M74" s="105" t="s">
        <v>1525</v>
      </c>
      <c r="N74" s="105" t="s">
        <v>1448</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1562</v>
      </c>
      <c r="B75" s="105" t="s">
        <v>1524</v>
      </c>
      <c r="C75" s="105" t="s">
        <v>790</v>
      </c>
      <c r="D75" s="105" t="s">
        <v>1545</v>
      </c>
      <c r="E75" s="105" t="s">
        <v>1509</v>
      </c>
      <c r="F75" s="105" t="s">
        <v>1512</v>
      </c>
      <c r="G75" s="105" t="s">
        <v>1524</v>
      </c>
      <c r="M75" s="105" t="s">
        <v>1525</v>
      </c>
      <c r="N75" s="105" t="s">
        <v>1448</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1562</v>
      </c>
      <c r="B76" s="105" t="s">
        <v>1524</v>
      </c>
      <c r="C76" s="105" t="s">
        <v>790</v>
      </c>
      <c r="D76" s="105" t="s">
        <v>1545</v>
      </c>
      <c r="E76" s="105" t="s">
        <v>1509</v>
      </c>
      <c r="F76" s="105" t="s">
        <v>1512</v>
      </c>
      <c r="G76" s="105" t="s">
        <v>1524</v>
      </c>
      <c r="M76" s="105" t="s">
        <v>1525</v>
      </c>
      <c r="N76" s="105" t="s">
        <v>1448</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1562</v>
      </c>
      <c r="B77" s="105" t="s">
        <v>1524</v>
      </c>
      <c r="C77" s="105" t="s">
        <v>790</v>
      </c>
      <c r="D77" s="105" t="s">
        <v>1545</v>
      </c>
      <c r="E77" s="105" t="s">
        <v>1509</v>
      </c>
      <c r="F77" s="105" t="s">
        <v>1512</v>
      </c>
      <c r="G77" s="105" t="s">
        <v>1524</v>
      </c>
      <c r="M77" s="105" t="s">
        <v>1525</v>
      </c>
      <c r="N77" s="105" t="s">
        <v>1448</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1562</v>
      </c>
      <c r="B78" s="105" t="s">
        <v>1524</v>
      </c>
      <c r="C78" s="105" t="s">
        <v>790</v>
      </c>
      <c r="D78" s="105" t="s">
        <v>1545</v>
      </c>
      <c r="E78" s="105" t="s">
        <v>1509</v>
      </c>
      <c r="F78" s="105" t="s">
        <v>1512</v>
      </c>
      <c r="G78" s="105" t="s">
        <v>1524</v>
      </c>
      <c r="M78" s="105" t="s">
        <v>1525</v>
      </c>
      <c r="N78" s="105" t="s">
        <v>1448</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1556</v>
      </c>
      <c r="B79" s="105" t="s">
        <v>1527</v>
      </c>
      <c r="C79" s="105" t="s">
        <v>790</v>
      </c>
      <c r="D79" s="105" t="s">
        <v>1545</v>
      </c>
      <c r="E79" s="105" t="s">
        <v>1526</v>
      </c>
      <c r="F79" s="105" t="s">
        <v>1527</v>
      </c>
      <c r="M79" s="105" t="s">
        <v>1528</v>
      </c>
      <c r="N79" s="105" t="s">
        <v>1448</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1556</v>
      </c>
      <c r="B80" s="105" t="s">
        <v>1527</v>
      </c>
      <c r="C80" s="105" t="s">
        <v>790</v>
      </c>
      <c r="D80" s="105" t="s">
        <v>1545</v>
      </c>
      <c r="E80" s="105" t="s">
        <v>1526</v>
      </c>
      <c r="F80" s="105" t="s">
        <v>1527</v>
      </c>
      <c r="M80" s="105" t="s">
        <v>1528</v>
      </c>
      <c r="N80" s="105" t="s">
        <v>1448</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1556</v>
      </c>
      <c r="B81" s="105" t="s">
        <v>1527</v>
      </c>
      <c r="C81" s="105" t="s">
        <v>790</v>
      </c>
      <c r="D81" s="105" t="s">
        <v>1545</v>
      </c>
      <c r="E81" s="105" t="s">
        <v>1526</v>
      </c>
      <c r="F81" s="105" t="s">
        <v>1527</v>
      </c>
      <c r="M81" s="105" t="s">
        <v>1528</v>
      </c>
      <c r="N81" s="105" t="s">
        <v>1448</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1556</v>
      </c>
      <c r="B82" s="105" t="s">
        <v>1529</v>
      </c>
      <c r="C82" s="105" t="s">
        <v>790</v>
      </c>
      <c r="D82" s="105" t="s">
        <v>1545</v>
      </c>
      <c r="E82" s="105" t="s">
        <v>1526</v>
      </c>
      <c r="F82" s="105" t="s">
        <v>1529</v>
      </c>
      <c r="M82" s="105" t="s">
        <v>1530</v>
      </c>
      <c r="N82" s="105" t="s">
        <v>1448</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1556</v>
      </c>
      <c r="B83" s="105" t="s">
        <v>1533</v>
      </c>
      <c r="C83" s="105" t="s">
        <v>790</v>
      </c>
      <c r="D83" s="105" t="s">
        <v>1546</v>
      </c>
      <c r="E83" s="105" t="s">
        <v>1532</v>
      </c>
      <c r="F83" s="105" t="s">
        <v>1533</v>
      </c>
      <c r="M83" s="105" t="s">
        <v>1534</v>
      </c>
      <c r="N83" s="105" t="s">
        <v>1448</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1556</v>
      </c>
      <c r="B84" s="105" t="s">
        <v>1536</v>
      </c>
      <c r="C84" s="105" t="s">
        <v>790</v>
      </c>
      <c r="D84" s="105" t="s">
        <v>1546</v>
      </c>
      <c r="E84" s="105" t="s">
        <v>1535</v>
      </c>
      <c r="F84" s="105" t="s">
        <v>1536</v>
      </c>
      <c r="M84" s="105" t="s">
        <v>1537</v>
      </c>
      <c r="N84" s="105" t="s">
        <v>1448</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1556</v>
      </c>
      <c r="B85" s="105" t="s">
        <v>1536</v>
      </c>
      <c r="C85" s="105" t="s">
        <v>790</v>
      </c>
      <c r="D85" s="105" t="s">
        <v>1546</v>
      </c>
      <c r="E85" s="105" t="s">
        <v>1535</v>
      </c>
      <c r="F85" s="105" t="s">
        <v>1536</v>
      </c>
      <c r="M85" s="105" t="s">
        <v>1537</v>
      </c>
      <c r="N85" s="105" t="s">
        <v>1448</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1556</v>
      </c>
      <c r="B86" s="105" t="s">
        <v>1538</v>
      </c>
      <c r="C86" s="105" t="s">
        <v>790</v>
      </c>
      <c r="D86" s="105" t="s">
        <v>1546</v>
      </c>
      <c r="E86" s="105" t="s">
        <v>1535</v>
      </c>
      <c r="F86" s="105" t="s">
        <v>1538</v>
      </c>
      <c r="M86" s="105" t="s">
        <v>1539</v>
      </c>
      <c r="N86" s="105" t="s">
        <v>1448</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1556</v>
      </c>
      <c r="B87" s="105" t="s">
        <v>1540</v>
      </c>
      <c r="C87" s="105" t="s">
        <v>790</v>
      </c>
      <c r="D87" s="105" t="s">
        <v>1546</v>
      </c>
      <c r="E87" s="105" t="s">
        <v>1535</v>
      </c>
      <c r="F87" s="105" t="s">
        <v>1540</v>
      </c>
      <c r="M87" s="105" t="s">
        <v>1541</v>
      </c>
      <c r="N87" s="105" t="s">
        <v>1448</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1556</v>
      </c>
      <c r="B88" s="105" t="s">
        <v>1540</v>
      </c>
      <c r="C88" s="105" t="s">
        <v>790</v>
      </c>
      <c r="D88" s="105" t="s">
        <v>1546</v>
      </c>
      <c r="E88" s="105" t="s">
        <v>1535</v>
      </c>
      <c r="F88" s="105" t="s">
        <v>1540</v>
      </c>
      <c r="M88" s="105" t="s">
        <v>1541</v>
      </c>
      <c r="N88" s="105" t="s">
        <v>1448</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1556</v>
      </c>
      <c r="B89" s="105" t="s">
        <v>1542</v>
      </c>
      <c r="C89" s="105" t="s">
        <v>790</v>
      </c>
      <c r="D89" s="105" t="s">
        <v>1546</v>
      </c>
      <c r="E89" s="105" t="s">
        <v>1535</v>
      </c>
      <c r="F89" s="105" t="s">
        <v>1542</v>
      </c>
      <c r="M89" s="105" t="s">
        <v>1543</v>
      </c>
      <c r="N89" s="105" t="s">
        <v>1448</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301" t="s">
        <v>1394</v>
      </c>
      <c r="B1" s="302"/>
      <c r="C1" s="302"/>
      <c r="D1" s="302"/>
      <c r="E1" s="302"/>
      <c r="F1" s="302"/>
      <c r="G1" s="302"/>
      <c r="H1" s="113"/>
      <c r="I1" s="113"/>
      <c r="J1" s="305" t="s">
        <v>741</v>
      </c>
      <c r="K1" s="306"/>
      <c r="L1" s="306"/>
    </row>
    <row r="2" spans="1:12" s="32" customFormat="1" ht="33.75" customHeight="1">
      <c r="A2" s="303"/>
      <c r="B2" s="304"/>
      <c r="C2" s="304"/>
      <c r="D2" s="304"/>
      <c r="E2" s="304"/>
      <c r="F2" s="304"/>
      <c r="G2" s="304"/>
      <c r="H2" s="299" t="s">
        <v>1395</v>
      </c>
      <c r="I2" s="300"/>
      <c r="J2" s="300"/>
      <c r="K2" s="300"/>
      <c r="L2" s="300"/>
    </row>
    <row r="4" spans="1:12" ht="17.25" customHeight="1">
      <c r="B4" s="307" t="s">
        <v>1396</v>
      </c>
      <c r="C4" s="308"/>
      <c r="D4" s="308"/>
      <c r="E4" s="308"/>
      <c r="F4" s="308"/>
      <c r="G4" s="308"/>
      <c r="H4" s="308"/>
      <c r="I4" s="308"/>
      <c r="J4" s="308"/>
      <c r="K4" s="308"/>
      <c r="L4" s="308"/>
    </row>
    <row r="5" spans="1:12" ht="27.75" customHeight="1">
      <c r="B5" s="308"/>
      <c r="C5" s="308"/>
      <c r="D5" s="308"/>
      <c r="E5" s="308"/>
      <c r="F5" s="308"/>
      <c r="G5" s="308"/>
      <c r="H5" s="308"/>
      <c r="I5" s="308"/>
      <c r="J5" s="308"/>
      <c r="K5" s="308"/>
      <c r="L5" s="308"/>
    </row>
    <row r="6" spans="1:12" s="32" customFormat="1" ht="13.8">
      <c r="B6" s="80"/>
    </row>
    <row r="7" spans="1:12" s="32" customFormat="1" ht="18">
      <c r="B7" s="81" t="s">
        <v>1397</v>
      </c>
      <c r="D7" s="82"/>
    </row>
    <row r="8" spans="1:12" s="32" customFormat="1" ht="7.5" customHeight="1">
      <c r="B8" s="80"/>
    </row>
    <row r="9" spans="1:12" s="32" customFormat="1" ht="29.25" customHeight="1" thickBot="1">
      <c r="A9" s="83"/>
      <c r="B9" s="84" t="s">
        <v>449</v>
      </c>
      <c r="C9" s="83"/>
      <c r="D9" s="309" t="s">
        <v>1398</v>
      </c>
      <c r="E9" s="309"/>
      <c r="F9" s="309"/>
      <c r="G9" s="309"/>
      <c r="H9" s="309"/>
      <c r="I9" s="309"/>
      <c r="J9" s="309"/>
      <c r="K9" s="309"/>
      <c r="L9" s="309"/>
    </row>
    <row r="10" spans="1:12" s="32" customFormat="1" ht="29.25" customHeight="1" thickTop="1" thickBot="1">
      <c r="A10" s="83"/>
      <c r="B10" s="85" t="s">
        <v>450</v>
      </c>
      <c r="C10" s="83"/>
      <c r="D10" s="309" t="s">
        <v>1399</v>
      </c>
      <c r="E10" s="309"/>
      <c r="F10" s="309"/>
      <c r="G10" s="309"/>
      <c r="H10" s="309"/>
      <c r="I10" s="309"/>
      <c r="J10" s="309"/>
      <c r="K10" s="309"/>
      <c r="L10" s="309"/>
    </row>
    <row r="11" spans="1:12" s="32" customFormat="1" ht="29.25" customHeight="1" thickTop="1" thickBot="1">
      <c r="A11" s="83"/>
      <c r="B11" s="86" t="s">
        <v>451</v>
      </c>
      <c r="C11" s="83"/>
      <c r="D11" s="309" t="s">
        <v>1400</v>
      </c>
      <c r="E11" s="309"/>
      <c r="F11" s="309"/>
      <c r="G11" s="309"/>
      <c r="H11" s="309"/>
      <c r="I11" s="309"/>
      <c r="J11" s="309"/>
      <c r="K11" s="309"/>
      <c r="L11" s="309"/>
    </row>
    <row r="12" spans="1:12" s="32" customFormat="1" ht="29.25" customHeight="1" thickTop="1" thickBot="1">
      <c r="A12" s="83"/>
      <c r="B12" s="87" t="s">
        <v>452</v>
      </c>
      <c r="C12" s="83"/>
      <c r="D12" s="309" t="s">
        <v>1401</v>
      </c>
      <c r="E12" s="309"/>
      <c r="F12" s="309"/>
      <c r="G12" s="309"/>
      <c r="H12" s="309"/>
      <c r="I12" s="309"/>
      <c r="J12" s="309"/>
      <c r="K12" s="309"/>
      <c r="L12" s="309"/>
    </row>
    <row r="13" spans="1:12" s="32" customFormat="1" ht="29.25" customHeight="1" thickTop="1" thickBot="1">
      <c r="A13" s="83"/>
      <c r="B13" s="88" t="s">
        <v>538</v>
      </c>
      <c r="C13" s="83"/>
      <c r="D13" s="309" t="s">
        <v>1402</v>
      </c>
      <c r="E13" s="309"/>
      <c r="F13" s="309"/>
      <c r="G13" s="309"/>
      <c r="H13" s="309"/>
      <c r="I13" s="309"/>
      <c r="J13" s="309"/>
      <c r="K13" s="309"/>
      <c r="L13" s="309"/>
    </row>
    <row r="14" spans="1:12" s="32" customFormat="1" ht="29.25" customHeight="1" thickTop="1" thickBot="1">
      <c r="A14" s="83"/>
      <c r="B14" s="89" t="s">
        <v>453</v>
      </c>
      <c r="C14" s="83"/>
      <c r="D14" s="309" t="s">
        <v>1403</v>
      </c>
      <c r="E14" s="309"/>
      <c r="F14" s="309"/>
      <c r="G14" s="309"/>
      <c r="H14" s="309"/>
      <c r="I14" s="309"/>
      <c r="J14" s="309"/>
      <c r="K14" s="309"/>
      <c r="L14" s="309"/>
    </row>
    <row r="15" spans="1:12" ht="16.2" thickTop="1">
      <c r="A15" s="90"/>
      <c r="B15" s="91"/>
      <c r="C15" s="90"/>
      <c r="D15" s="92"/>
      <c r="E15" s="92"/>
      <c r="F15" s="92"/>
      <c r="G15" s="92"/>
      <c r="H15" s="92"/>
      <c r="I15" s="92"/>
      <c r="J15" s="92"/>
      <c r="K15" s="92"/>
      <c r="L15" s="92"/>
    </row>
    <row r="16" spans="1:12" s="32" customFormat="1" ht="18">
      <c r="B16" s="81" t="s">
        <v>1404</v>
      </c>
      <c r="D16" s="82"/>
    </row>
    <row r="17" spans="2:12" s="32" customFormat="1" ht="5.25" customHeight="1">
      <c r="B17" s="93"/>
      <c r="D17" s="82"/>
    </row>
    <row r="18" spans="2:12" s="32" customFormat="1" ht="26.25" customHeight="1" thickBot="1">
      <c r="B18" s="94" t="s">
        <v>1405</v>
      </c>
      <c r="D18" s="297" t="s">
        <v>1417</v>
      </c>
      <c r="E18" s="297"/>
      <c r="F18" s="297"/>
      <c r="G18" s="297"/>
      <c r="H18" s="297"/>
      <c r="I18" s="297"/>
      <c r="J18" s="297"/>
      <c r="K18" s="297"/>
      <c r="L18" s="101" t="s">
        <v>1429</v>
      </c>
    </row>
    <row r="19" spans="2:12" s="32" customFormat="1" ht="53.25" customHeight="1" thickTop="1" thickBot="1">
      <c r="B19" s="94" t="s">
        <v>560</v>
      </c>
      <c r="D19" s="297" t="s">
        <v>1418</v>
      </c>
      <c r="E19" s="297"/>
      <c r="F19" s="297"/>
      <c r="G19" s="297"/>
      <c r="H19" s="297"/>
      <c r="I19" s="297"/>
      <c r="J19" s="297"/>
      <c r="K19" s="297"/>
      <c r="L19" s="101" t="s">
        <v>1429</v>
      </c>
    </row>
    <row r="20" spans="2:12" s="32" customFormat="1" ht="26.25" customHeight="1" thickTop="1" thickBot="1">
      <c r="B20" s="94" t="s">
        <v>1406</v>
      </c>
      <c r="D20" s="297" t="s">
        <v>1419</v>
      </c>
      <c r="E20" s="297"/>
      <c r="F20" s="297"/>
      <c r="G20" s="297"/>
      <c r="H20" s="297"/>
      <c r="I20" s="297"/>
      <c r="J20" s="297"/>
      <c r="K20" s="297"/>
      <c r="L20" s="101" t="s">
        <v>1429</v>
      </c>
    </row>
    <row r="21" spans="2:12" s="32" customFormat="1" ht="26.25" customHeight="1" thickTop="1" thickBot="1">
      <c r="B21" s="94" t="s">
        <v>1407</v>
      </c>
      <c r="D21" s="297" t="s">
        <v>1420</v>
      </c>
      <c r="E21" s="297"/>
      <c r="F21" s="297"/>
      <c r="G21" s="297"/>
      <c r="H21" s="297"/>
      <c r="I21" s="297"/>
      <c r="J21" s="297"/>
      <c r="K21" s="297"/>
      <c r="L21" s="101" t="s">
        <v>1429</v>
      </c>
    </row>
    <row r="22" spans="2:12" s="32" customFormat="1" ht="33.75" customHeight="1" thickTop="1" thickBot="1">
      <c r="B22" s="94" t="s">
        <v>1408</v>
      </c>
      <c r="D22" s="297" t="s">
        <v>1421</v>
      </c>
      <c r="E22" s="297"/>
      <c r="F22" s="297"/>
      <c r="G22" s="297"/>
      <c r="H22" s="297"/>
      <c r="I22" s="297"/>
      <c r="J22" s="297"/>
      <c r="K22" s="297"/>
      <c r="L22" s="101" t="s">
        <v>1429</v>
      </c>
    </row>
    <row r="23" spans="2:12" s="32" customFormat="1" ht="52.5" customHeight="1" thickTop="1" thickBot="1">
      <c r="B23" s="94" t="s">
        <v>1409</v>
      </c>
      <c r="D23" s="297" t="s">
        <v>1422</v>
      </c>
      <c r="E23" s="297"/>
      <c r="F23" s="297"/>
      <c r="G23" s="297"/>
      <c r="H23" s="297"/>
      <c r="I23" s="297"/>
      <c r="J23" s="297"/>
      <c r="K23" s="297"/>
      <c r="L23" s="101" t="s">
        <v>1429</v>
      </c>
    </row>
    <row r="24" spans="2:12" s="32" customFormat="1" ht="47.25" customHeight="1" thickTop="1" thickBot="1">
      <c r="B24" s="94" t="s">
        <v>1410</v>
      </c>
      <c r="D24" s="297" t="s">
        <v>1423</v>
      </c>
      <c r="E24" s="297"/>
      <c r="F24" s="297"/>
      <c r="G24" s="297"/>
      <c r="H24" s="297"/>
      <c r="I24" s="297"/>
      <c r="J24" s="297"/>
      <c r="K24" s="297"/>
      <c r="L24" s="101" t="s">
        <v>1429</v>
      </c>
    </row>
    <row r="25" spans="2:12" s="32" customFormat="1" ht="33.75" customHeight="1" thickTop="1" thickBot="1">
      <c r="B25" s="94" t="s">
        <v>1411</v>
      </c>
      <c r="D25" s="297" t="s">
        <v>1424</v>
      </c>
      <c r="E25" s="297"/>
      <c r="F25" s="297"/>
      <c r="G25" s="297"/>
      <c r="H25" s="297"/>
      <c r="I25" s="297"/>
      <c r="J25" s="297"/>
      <c r="K25" s="297"/>
      <c r="L25" s="101" t="s">
        <v>1429</v>
      </c>
    </row>
    <row r="26" spans="2:12" s="32" customFormat="1" ht="53.25" customHeight="1" thickTop="1" thickBot="1">
      <c r="B26" s="94" t="s">
        <v>1412</v>
      </c>
      <c r="D26" s="297" t="s">
        <v>1425</v>
      </c>
      <c r="E26" s="297"/>
      <c r="F26" s="297"/>
      <c r="G26" s="297"/>
      <c r="H26" s="297"/>
      <c r="I26" s="297"/>
      <c r="J26" s="297"/>
      <c r="K26" s="297"/>
      <c r="L26" s="101" t="s">
        <v>1429</v>
      </c>
    </row>
    <row r="27" spans="2:12" s="32" customFormat="1" ht="35.25" customHeight="1" thickTop="1" thickBot="1">
      <c r="B27" s="94" t="s">
        <v>1413</v>
      </c>
      <c r="D27" s="297" t="s">
        <v>1426</v>
      </c>
      <c r="E27" s="297"/>
      <c r="F27" s="297"/>
      <c r="G27" s="297"/>
      <c r="H27" s="297"/>
      <c r="I27" s="297"/>
      <c r="J27" s="297"/>
      <c r="K27" s="297"/>
      <c r="L27" s="101" t="s">
        <v>1429</v>
      </c>
    </row>
    <row r="28" spans="2:12" s="32" customFormat="1" ht="43.5" customHeight="1" thickTop="1" thickBot="1">
      <c r="B28" s="94" t="s">
        <v>452</v>
      </c>
      <c r="D28" s="297" t="s">
        <v>1427</v>
      </c>
      <c r="E28" s="297"/>
      <c r="F28" s="297"/>
      <c r="G28" s="297"/>
      <c r="H28" s="297"/>
      <c r="I28" s="297"/>
      <c r="J28" s="297"/>
      <c r="K28" s="297"/>
      <c r="L28" s="101" t="s">
        <v>1429</v>
      </c>
    </row>
    <row r="29" spans="2:12" s="32" customFormat="1" ht="49.5" customHeight="1" thickTop="1" thickBot="1">
      <c r="B29" s="94" t="s">
        <v>1414</v>
      </c>
      <c r="D29" s="297" t="s">
        <v>1428</v>
      </c>
      <c r="E29" s="297"/>
      <c r="F29" s="297"/>
      <c r="G29" s="297"/>
      <c r="H29" s="297"/>
      <c r="I29" s="297"/>
      <c r="J29" s="297"/>
      <c r="K29" s="297"/>
      <c r="L29" s="101" t="s">
        <v>1429</v>
      </c>
    </row>
    <row r="30" spans="2:12" s="32" customFormat="1" ht="24.75" customHeight="1" thickTop="1" thickBot="1">
      <c r="B30" s="184" t="s">
        <v>1415</v>
      </c>
      <c r="D30" s="297" t="s">
        <v>1360</v>
      </c>
      <c r="E30" s="297"/>
      <c r="F30" s="297"/>
      <c r="G30" s="297"/>
      <c r="H30" s="297"/>
      <c r="I30" s="297"/>
      <c r="J30" s="297"/>
      <c r="K30" s="297"/>
      <c r="L30" s="101" t="s">
        <v>1429</v>
      </c>
    </row>
    <row r="31" spans="2:12" s="32" customFormat="1" ht="24.75" customHeight="1" thickTop="1" thickBot="1">
      <c r="B31" s="94" t="s">
        <v>1416</v>
      </c>
      <c r="D31" s="297" t="s">
        <v>1361</v>
      </c>
      <c r="E31" s="297"/>
      <c r="F31" s="297"/>
      <c r="G31" s="297"/>
      <c r="H31" s="297"/>
      <c r="I31" s="297"/>
      <c r="J31" s="297"/>
      <c r="K31" s="297"/>
      <c r="L31" s="101" t="s">
        <v>1429</v>
      </c>
    </row>
    <row r="32" spans="2:12" s="32" customFormat="1" ht="24.75" customHeight="1" thickTop="1" thickBot="1">
      <c r="B32" s="94" t="s">
        <v>1373</v>
      </c>
      <c r="D32" s="297" t="s">
        <v>1377</v>
      </c>
      <c r="E32" s="297"/>
      <c r="F32" s="297"/>
      <c r="G32" s="297"/>
      <c r="H32" s="297"/>
      <c r="I32" s="297"/>
      <c r="J32" s="297"/>
      <c r="K32" s="297"/>
      <c r="L32" s="101" t="s">
        <v>1429</v>
      </c>
    </row>
    <row r="33" spans="2:12" s="32" customFormat="1" ht="15" thickTop="1">
      <c r="B33" s="95"/>
      <c r="D33" s="82"/>
      <c r="L33" s="83"/>
    </row>
    <row r="34" spans="2:12" s="32" customFormat="1" ht="18.75" customHeight="1">
      <c r="B34" s="96" t="s">
        <v>1430</v>
      </c>
      <c r="C34" s="97"/>
      <c r="D34" s="98"/>
      <c r="E34" s="97"/>
      <c r="F34" s="97"/>
      <c r="G34" s="97"/>
      <c r="H34" s="97"/>
      <c r="I34" s="97"/>
      <c r="J34" s="97"/>
      <c r="K34" s="97"/>
      <c r="L34" s="99"/>
    </row>
    <row r="35" spans="2:12" s="32" customFormat="1" ht="59.25" customHeight="1">
      <c r="B35" s="298" t="s">
        <v>1431</v>
      </c>
      <c r="C35" s="298"/>
      <c r="D35" s="298"/>
      <c r="E35" s="298"/>
      <c r="F35" s="298"/>
      <c r="G35" s="298"/>
      <c r="H35" s="298"/>
      <c r="I35" s="298"/>
      <c r="J35" s="298"/>
      <c r="K35" s="298"/>
      <c r="L35" s="298"/>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662</v>
      </c>
      <c r="B1" s="67" t="s">
        <v>659</v>
      </c>
      <c r="C1" s="67" t="s">
        <v>660</v>
      </c>
      <c r="D1" s="67" t="s">
        <v>661</v>
      </c>
      <c r="E1" s="67" t="s">
        <v>3</v>
      </c>
      <c r="F1" s="67" t="s">
        <v>4</v>
      </c>
      <c r="G1" s="67" t="s">
        <v>5</v>
      </c>
      <c r="H1" s="67" t="s">
        <v>663</v>
      </c>
    </row>
    <row r="2" spans="1:8">
      <c r="A2" s="169" t="s">
        <v>658</v>
      </c>
      <c r="B2" s="169" t="s">
        <v>6</v>
      </c>
      <c r="C2" s="170" t="s">
        <v>7</v>
      </c>
      <c r="D2" s="170"/>
      <c r="E2" s="170"/>
      <c r="F2" s="170"/>
      <c r="G2" s="170"/>
      <c r="H2" s="170" t="s">
        <v>8</v>
      </c>
    </row>
    <row r="3" spans="1:8">
      <c r="A3" s="169" t="s">
        <v>658</v>
      </c>
      <c r="B3" s="169" t="s">
        <v>338</v>
      </c>
      <c r="C3" s="170" t="s">
        <v>7</v>
      </c>
      <c r="D3" s="170"/>
      <c r="E3" s="170"/>
      <c r="F3" s="170"/>
      <c r="G3" s="170"/>
      <c r="H3" s="170" t="s">
        <v>8</v>
      </c>
    </row>
    <row r="4" spans="1:8">
      <c r="A4" s="169" t="s">
        <v>658</v>
      </c>
      <c r="B4" s="169" t="s">
        <v>9</v>
      </c>
      <c r="C4" s="185" t="s">
        <v>339</v>
      </c>
      <c r="D4" s="170"/>
      <c r="E4" s="170"/>
      <c r="F4" s="170"/>
      <c r="G4" s="170"/>
      <c r="H4" s="170" t="s">
        <v>8</v>
      </c>
    </row>
    <row r="5" spans="1:8">
      <c r="A5" s="169" t="s">
        <v>658</v>
      </c>
      <c r="B5" s="169" t="s">
        <v>10</v>
      </c>
      <c r="C5" s="170" t="s">
        <v>11</v>
      </c>
      <c r="D5" s="170"/>
      <c r="E5" s="170"/>
      <c r="F5" s="170"/>
      <c r="G5" s="170"/>
      <c r="H5" s="170" t="s">
        <v>8</v>
      </c>
    </row>
    <row r="6" spans="1:8" ht="14.4">
      <c r="A6" s="169" t="s">
        <v>658</v>
      </c>
      <c r="B6" s="169" t="s">
        <v>12</v>
      </c>
      <c r="C6" s="186" t="s">
        <v>796</v>
      </c>
      <c r="D6" s="170"/>
      <c r="E6" s="170"/>
      <c r="F6" s="170"/>
      <c r="G6" s="170"/>
      <c r="H6" s="170" t="s">
        <v>8</v>
      </c>
    </row>
    <row r="7" spans="1:8">
      <c r="A7" s="169" t="s">
        <v>658</v>
      </c>
      <c r="B7" s="169" t="s">
        <v>13</v>
      </c>
      <c r="C7" s="169" t="s">
        <v>7</v>
      </c>
      <c r="D7" s="170"/>
      <c r="E7" s="170"/>
      <c r="F7" s="170"/>
      <c r="G7" s="170"/>
      <c r="H7" s="170" t="s">
        <v>8</v>
      </c>
    </row>
    <row r="8" spans="1:8">
      <c r="A8" s="188" t="s">
        <v>658</v>
      </c>
      <c r="B8" s="188" t="s">
        <v>14</v>
      </c>
      <c r="C8" s="189" t="s">
        <v>740</v>
      </c>
      <c r="D8" s="190" t="s">
        <v>1730</v>
      </c>
      <c r="E8" s="190">
        <v>82</v>
      </c>
      <c r="F8" s="190"/>
      <c r="G8" s="188"/>
      <c r="H8" s="190" t="s">
        <v>750</v>
      </c>
    </row>
    <row r="9" spans="1:8">
      <c r="A9" s="169" t="s">
        <v>658</v>
      </c>
      <c r="B9" s="169" t="s">
        <v>15</v>
      </c>
      <c r="C9" s="187">
        <v>44717</v>
      </c>
      <c r="D9" s="170"/>
      <c r="E9" s="170"/>
      <c r="F9" s="170"/>
      <c r="G9" s="170"/>
      <c r="H9" s="170" t="s">
        <v>8</v>
      </c>
    </row>
    <row r="10" spans="1:8">
      <c r="A10" s="169" t="s">
        <v>658</v>
      </c>
      <c r="B10" s="169" t="s">
        <v>16</v>
      </c>
      <c r="C10" s="170" t="s">
        <v>17</v>
      </c>
      <c r="D10" s="170"/>
      <c r="E10" s="170"/>
      <c r="F10" s="170"/>
      <c r="G10" s="170"/>
      <c r="H10" s="170" t="s">
        <v>8</v>
      </c>
    </row>
    <row r="11" spans="1:8">
      <c r="A11" s="69" t="s">
        <v>791</v>
      </c>
      <c r="B11" s="69" t="s">
        <v>765</v>
      </c>
      <c r="C11" s="68">
        <v>1</v>
      </c>
      <c r="G11" s="71">
        <v>45705.543379629627</v>
      </c>
    </row>
    <row r="12" spans="1:8">
      <c r="A12" s="69" t="s">
        <v>791</v>
      </c>
      <c r="B12" s="69" t="s">
        <v>764</v>
      </c>
      <c r="C12" s="68">
        <v>1</v>
      </c>
    </row>
    <row r="13" spans="1:8">
      <c r="A13" s="69" t="s">
        <v>791</v>
      </c>
      <c r="B13" s="69" t="s">
        <v>700</v>
      </c>
      <c r="C13" s="68">
        <v>1</v>
      </c>
      <c r="G13" s="71">
        <v>45705.543379629627</v>
      </c>
    </row>
    <row r="14" spans="1:8">
      <c r="A14" s="69" t="s">
        <v>791</v>
      </c>
      <c r="B14" s="69" t="s">
        <v>701</v>
      </c>
      <c r="C14" s="68">
        <v>0</v>
      </c>
      <c r="G14" s="71">
        <v>45705.543379629627</v>
      </c>
    </row>
    <row r="15" spans="1:8">
      <c r="A15" s="69" t="s">
        <v>791</v>
      </c>
      <c r="B15" s="69" t="s">
        <v>699</v>
      </c>
      <c r="C15" s="68">
        <v>1</v>
      </c>
      <c r="G15" s="71">
        <v>45705.543379629627</v>
      </c>
    </row>
    <row r="16" spans="1:8">
      <c r="A16" s="69" t="s">
        <v>791</v>
      </c>
      <c r="B16" s="69" t="s">
        <v>752</v>
      </c>
      <c r="C16" s="68">
        <v>1</v>
      </c>
      <c r="G16" s="71">
        <v>45705.543379629627</v>
      </c>
    </row>
    <row r="17" spans="1:7">
      <c r="A17" s="69" t="s">
        <v>791</v>
      </c>
      <c r="B17" s="69" t="s">
        <v>759</v>
      </c>
      <c r="C17" s="68">
        <v>1</v>
      </c>
      <c r="G17" s="71">
        <v>45705.543379629627</v>
      </c>
    </row>
    <row r="18" spans="1:7">
      <c r="A18" s="69" t="s">
        <v>791</v>
      </c>
      <c r="B18" s="69" t="s">
        <v>760</v>
      </c>
      <c r="C18" s="68">
        <v>1</v>
      </c>
      <c r="G18" s="71">
        <v>45705.543379629627</v>
      </c>
    </row>
    <row r="19" spans="1:7">
      <c r="A19" s="69" t="s">
        <v>791</v>
      </c>
      <c r="B19" s="69" t="s">
        <v>758</v>
      </c>
      <c r="C19" s="68" t="s">
        <v>633</v>
      </c>
      <c r="G19" s="71">
        <v>45705.535497685189</v>
      </c>
    </row>
    <row r="20" spans="1:7">
      <c r="A20" s="69" t="s">
        <v>791</v>
      </c>
      <c r="B20" s="69" t="s">
        <v>702</v>
      </c>
      <c r="C20" s="68">
        <v>0</v>
      </c>
      <c r="G20" s="71">
        <v>45705.543379629627</v>
      </c>
    </row>
    <row r="21" spans="1:7">
      <c r="A21" s="69" t="s">
        <v>791</v>
      </c>
      <c r="B21" s="69" t="s">
        <v>757</v>
      </c>
      <c r="C21" s="68">
        <v>0</v>
      </c>
      <c r="G21" s="71">
        <v>45705.543379629627</v>
      </c>
    </row>
    <row r="22" spans="1:7">
      <c r="A22" s="69" t="s">
        <v>791</v>
      </c>
      <c r="B22" s="69" t="s">
        <v>761</v>
      </c>
      <c r="C22" s="68">
        <v>1</v>
      </c>
      <c r="G22" s="71">
        <v>45705.543379629627</v>
      </c>
    </row>
    <row r="23" spans="1:7">
      <c r="A23" s="69" t="s">
        <v>791</v>
      </c>
      <c r="B23" s="69" t="s">
        <v>704</v>
      </c>
      <c r="C23" s="68">
        <v>0</v>
      </c>
      <c r="G23" s="71">
        <v>45705.543379629627</v>
      </c>
    </row>
    <row r="24" spans="1:7">
      <c r="A24" s="69" t="s">
        <v>791</v>
      </c>
      <c r="B24" s="69" t="s">
        <v>754</v>
      </c>
      <c r="C24" s="70">
        <v>46069</v>
      </c>
      <c r="G24" s="71">
        <v>45705.543379629627</v>
      </c>
    </row>
    <row r="25" spans="1:7">
      <c r="A25" s="69" t="s">
        <v>791</v>
      </c>
      <c r="B25" s="69" t="s">
        <v>751</v>
      </c>
      <c r="C25" s="68" t="s">
        <v>1568</v>
      </c>
      <c r="G25" s="71">
        <v>45705.543379629627</v>
      </c>
    </row>
    <row r="26" spans="1:7">
      <c r="A26" s="69" t="s">
        <v>791</v>
      </c>
      <c r="B26" s="69" t="s">
        <v>753</v>
      </c>
      <c r="C26" s="70">
        <v>45705</v>
      </c>
      <c r="G26" s="71">
        <v>45705.543379629627</v>
      </c>
    </row>
    <row r="27" spans="1:7">
      <c r="A27" s="69" t="s">
        <v>791</v>
      </c>
      <c r="B27" s="69" t="s">
        <v>755</v>
      </c>
      <c r="C27" s="68" t="s">
        <v>1731</v>
      </c>
      <c r="G27" s="71">
        <v>45720.636307870373</v>
      </c>
    </row>
    <row r="28" spans="1:7">
      <c r="A28" s="69" t="s">
        <v>791</v>
      </c>
      <c r="B28" s="69" t="s">
        <v>756</v>
      </c>
      <c r="C28" s="68">
        <v>0</v>
      </c>
      <c r="G28" s="71">
        <v>45705.543379629627</v>
      </c>
    </row>
    <row r="29" spans="1:7">
      <c r="A29" s="69" t="s">
        <v>791</v>
      </c>
      <c r="B29" s="69" t="s">
        <v>762</v>
      </c>
      <c r="C29" s="68">
        <v>20</v>
      </c>
      <c r="G29" s="71">
        <v>45705.543379629627</v>
      </c>
    </row>
    <row r="30" spans="1:7">
      <c r="A30" s="69" t="s">
        <v>791</v>
      </c>
      <c r="B30" s="69" t="s">
        <v>763</v>
      </c>
      <c r="C30" s="68">
        <v>10</v>
      </c>
      <c r="G30" s="71">
        <v>45705.543379629627</v>
      </c>
    </row>
    <row r="31" spans="1:7">
      <c r="A31" s="69" t="s">
        <v>1367</v>
      </c>
      <c r="B31" s="69" t="s">
        <v>1368</v>
      </c>
      <c r="C31" s="68">
        <v>-4105</v>
      </c>
      <c r="F31" s="71"/>
      <c r="G31" s="71">
        <v>45720.764675925922</v>
      </c>
    </row>
    <row r="32" spans="1:7">
      <c r="A32" s="69" t="s">
        <v>792</v>
      </c>
      <c r="B32" s="69" t="s">
        <v>773</v>
      </c>
      <c r="C32" s="68">
        <v>1</v>
      </c>
      <c r="G32" s="71">
        <v>45705.543379629627</v>
      </c>
    </row>
    <row r="33" spans="1:7">
      <c r="A33" s="69" t="s">
        <v>792</v>
      </c>
      <c r="B33" s="69" t="s">
        <v>776</v>
      </c>
      <c r="C33" s="68">
        <v>0</v>
      </c>
    </row>
    <row r="34" spans="1:7">
      <c r="A34" s="69" t="s">
        <v>792</v>
      </c>
      <c r="B34" s="69" t="s">
        <v>705</v>
      </c>
      <c r="C34" s="68">
        <v>1</v>
      </c>
      <c r="G34" s="71">
        <v>45705.543379629627</v>
      </c>
    </row>
    <row r="35" spans="1:7">
      <c r="A35" s="69" t="s">
        <v>792</v>
      </c>
      <c r="B35" s="69" t="s">
        <v>707</v>
      </c>
      <c r="C35" s="68">
        <v>1</v>
      </c>
      <c r="G35" s="71">
        <v>45705.543379629627</v>
      </c>
    </row>
    <row r="36" spans="1:7">
      <c r="A36" s="69" t="s">
        <v>792</v>
      </c>
      <c r="B36" s="69" t="s">
        <v>706</v>
      </c>
      <c r="C36" s="68">
        <v>1</v>
      </c>
      <c r="G36" s="71">
        <v>45705.543379629627</v>
      </c>
    </row>
    <row r="37" spans="1:7">
      <c r="A37" s="69" t="s">
        <v>792</v>
      </c>
      <c r="B37" s="69" t="s">
        <v>767</v>
      </c>
      <c r="C37" s="68">
        <v>0</v>
      </c>
      <c r="G37" s="71">
        <v>45705.543379629627</v>
      </c>
    </row>
    <row r="38" spans="1:7">
      <c r="A38" s="69" t="s">
        <v>792</v>
      </c>
      <c r="B38" s="69" t="s">
        <v>770</v>
      </c>
      <c r="C38" s="68">
        <v>1</v>
      </c>
      <c r="G38" s="71">
        <v>45705.543379629627</v>
      </c>
    </row>
    <row r="39" spans="1:7">
      <c r="A39" s="69" t="s">
        <v>792</v>
      </c>
      <c r="B39" s="69" t="s">
        <v>781</v>
      </c>
      <c r="C39" s="68">
        <v>2</v>
      </c>
      <c r="G39" s="71">
        <v>45705.543379629627</v>
      </c>
    </row>
    <row r="40" spans="1:7">
      <c r="A40" s="69" t="s">
        <v>792</v>
      </c>
      <c r="B40" s="69" t="s">
        <v>771</v>
      </c>
      <c r="C40" s="68">
        <v>0.7</v>
      </c>
    </row>
    <row r="41" spans="1:7">
      <c r="A41" s="69" t="s">
        <v>792</v>
      </c>
      <c r="B41" s="69" t="s">
        <v>780</v>
      </c>
      <c r="C41" s="68">
        <v>1</v>
      </c>
      <c r="G41" s="71">
        <v>45705.543379629627</v>
      </c>
    </row>
    <row r="42" spans="1:7">
      <c r="A42" s="69" t="s">
        <v>792</v>
      </c>
      <c r="B42" s="69" t="s">
        <v>774</v>
      </c>
      <c r="C42" s="68">
        <v>1</v>
      </c>
      <c r="G42" s="71">
        <v>45705.543379629627</v>
      </c>
    </row>
    <row r="43" spans="1:7">
      <c r="A43" s="69" t="s">
        <v>792</v>
      </c>
      <c r="B43" s="69" t="s">
        <v>784</v>
      </c>
      <c r="C43" s="68">
        <v>-4131</v>
      </c>
      <c r="G43" s="71">
        <v>45705.543379629627</v>
      </c>
    </row>
    <row r="44" spans="1:7">
      <c r="A44" s="69" t="s">
        <v>792</v>
      </c>
      <c r="B44" s="69" t="s">
        <v>775</v>
      </c>
      <c r="C44" s="68">
        <v>7</v>
      </c>
      <c r="G44" s="71">
        <v>45705.543379629627</v>
      </c>
    </row>
    <row r="45" spans="1:7">
      <c r="A45" s="69" t="s">
        <v>792</v>
      </c>
      <c r="B45" s="69" t="s">
        <v>777</v>
      </c>
      <c r="C45" s="68">
        <v>0</v>
      </c>
      <c r="G45" s="71">
        <v>45705.543379629627</v>
      </c>
    </row>
    <row r="46" spans="1:7">
      <c r="A46" s="69" t="s">
        <v>792</v>
      </c>
      <c r="B46" s="69" t="s">
        <v>778</v>
      </c>
      <c r="C46" s="68">
        <v>1</v>
      </c>
      <c r="G46" s="71">
        <v>45705.543379629627</v>
      </c>
    </row>
    <row r="47" spans="1:7">
      <c r="A47" s="69" t="s">
        <v>792</v>
      </c>
      <c r="B47" s="69" t="s">
        <v>779</v>
      </c>
      <c r="C47" s="68">
        <v>1</v>
      </c>
      <c r="G47" s="71">
        <v>45705.543379629627</v>
      </c>
    </row>
    <row r="48" spans="1:7">
      <c r="A48" s="69" t="s">
        <v>792</v>
      </c>
      <c r="B48" s="69" t="s">
        <v>768</v>
      </c>
      <c r="C48" s="68">
        <v>1</v>
      </c>
    </row>
    <row r="49" spans="1:7">
      <c r="A49" s="69" t="s">
        <v>792</v>
      </c>
      <c r="B49" s="69" t="s">
        <v>769</v>
      </c>
      <c r="C49" s="68">
        <v>0</v>
      </c>
    </row>
    <row r="50" spans="1:7">
      <c r="A50" s="69" t="s">
        <v>792</v>
      </c>
      <c r="B50" s="69" t="s">
        <v>772</v>
      </c>
      <c r="C50" s="68">
        <v>2</v>
      </c>
      <c r="G50" s="71">
        <v>45705.543379629627</v>
      </c>
    </row>
    <row r="51" spans="1:7">
      <c r="A51" s="69" t="s">
        <v>792</v>
      </c>
      <c r="B51" s="69" t="s">
        <v>783</v>
      </c>
      <c r="C51" s="68" t="s">
        <v>766</v>
      </c>
    </row>
    <row r="52" spans="1:7">
      <c r="A52" s="69" t="s">
        <v>792</v>
      </c>
      <c r="B52" s="69" t="s">
        <v>703</v>
      </c>
      <c r="C52" s="68">
        <v>100</v>
      </c>
      <c r="G52" s="71">
        <v>45705.543379629627</v>
      </c>
    </row>
    <row r="53" spans="1:7">
      <c r="A53" s="69" t="s">
        <v>792</v>
      </c>
      <c r="B53" s="69" t="s">
        <v>782</v>
      </c>
      <c r="C53" s="68">
        <v>9</v>
      </c>
    </row>
    <row r="54" spans="1:7">
      <c r="A54" s="69" t="s">
        <v>793</v>
      </c>
      <c r="B54" s="69" t="s">
        <v>666</v>
      </c>
      <c r="C54" s="68">
        <v>1</v>
      </c>
      <c r="G54" s="71">
        <v>45705.535497685189</v>
      </c>
    </row>
    <row r="55" spans="1:7">
      <c r="A55" s="69" t="s">
        <v>793</v>
      </c>
      <c r="B55" s="69" t="s">
        <v>785</v>
      </c>
      <c r="C55" s="68" t="s">
        <v>1552</v>
      </c>
      <c r="G55" s="71">
        <v>45705.535497685189</v>
      </c>
    </row>
    <row r="56" spans="1:7">
      <c r="A56" s="69" t="s">
        <v>793</v>
      </c>
      <c r="B56" s="69" t="s">
        <v>665</v>
      </c>
      <c r="C56" s="68" t="s">
        <v>708</v>
      </c>
      <c r="G56" s="71">
        <v>44717.947500000002</v>
      </c>
    </row>
    <row r="57" spans="1:7">
      <c r="A57" s="69" t="s">
        <v>793</v>
      </c>
      <c r="B57" s="69" t="s">
        <v>664</v>
      </c>
      <c r="C57" s="68" t="s">
        <v>708</v>
      </c>
      <c r="G57" s="71">
        <v>45705.535497685189</v>
      </c>
    </row>
    <row r="58" spans="1:7">
      <c r="A58" s="69" t="s">
        <v>738</v>
      </c>
      <c r="B58" s="69" t="s">
        <v>788</v>
      </c>
      <c r="C58" s="68">
        <v>82</v>
      </c>
      <c r="G58" s="71">
        <v>45705.535497685189</v>
      </c>
    </row>
    <row r="59" spans="1:7">
      <c r="A59" s="69" t="s">
        <v>738</v>
      </c>
      <c r="B59" s="69" t="s">
        <v>787</v>
      </c>
      <c r="C59" s="68">
        <v>1</v>
      </c>
      <c r="G59" s="71">
        <v>45705.535497685189</v>
      </c>
    </row>
    <row r="60" spans="1:7">
      <c r="A60" s="69" t="s">
        <v>738</v>
      </c>
      <c r="B60" s="69" t="s">
        <v>786</v>
      </c>
      <c r="C60" s="68">
        <v>82</v>
      </c>
      <c r="G60" s="71">
        <v>44717.85429398148</v>
      </c>
    </row>
    <row r="61" spans="1:7">
      <c r="A61" s="69" t="s">
        <v>738</v>
      </c>
      <c r="B61" s="69" t="s">
        <v>789</v>
      </c>
      <c r="C61" s="68" t="s">
        <v>617</v>
      </c>
      <c r="G61" s="71">
        <v>45705.535497685189</v>
      </c>
    </row>
    <row r="62" spans="1:7">
      <c r="A62" s="69" t="s">
        <v>794</v>
      </c>
      <c r="B62" s="69" t="s">
        <v>693</v>
      </c>
      <c r="C62" s="68" t="b">
        <v>0</v>
      </c>
      <c r="G62" s="71">
        <v>45705.535497685189</v>
      </c>
    </row>
    <row r="63" spans="1:7">
      <c r="A63" s="69" t="s">
        <v>794</v>
      </c>
      <c r="B63" s="69" t="s">
        <v>694</v>
      </c>
      <c r="C63" s="68" t="b">
        <v>0</v>
      </c>
      <c r="G63" s="71">
        <v>45705.535497685189</v>
      </c>
    </row>
    <row r="64" spans="1:7">
      <c r="A64" s="69" t="s">
        <v>794</v>
      </c>
      <c r="B64" s="69" t="s">
        <v>695</v>
      </c>
      <c r="C64" s="68" t="b">
        <v>1</v>
      </c>
      <c r="G64" s="71">
        <v>45705.535497685189</v>
      </c>
    </row>
    <row r="65" spans="1:7">
      <c r="A65" s="69" t="s">
        <v>794</v>
      </c>
      <c r="B65" s="69" t="s">
        <v>677</v>
      </c>
      <c r="C65" s="68" t="b">
        <v>1</v>
      </c>
      <c r="G65" s="71">
        <v>45705.535497685189</v>
      </c>
    </row>
    <row r="66" spans="1:7">
      <c r="A66" s="69" t="s">
        <v>794</v>
      </c>
      <c r="B66" s="69" t="s">
        <v>678</v>
      </c>
      <c r="C66" s="68" t="b">
        <v>1</v>
      </c>
      <c r="G66" s="71">
        <v>45705.535497685189</v>
      </c>
    </row>
    <row r="67" spans="1:7">
      <c r="A67" s="69" t="s">
        <v>794</v>
      </c>
      <c r="B67" s="69" t="s">
        <v>679</v>
      </c>
      <c r="C67" s="68" t="b">
        <v>1</v>
      </c>
      <c r="G67" s="71">
        <v>45705.535497685189</v>
      </c>
    </row>
    <row r="68" spans="1:7">
      <c r="A68" s="69" t="s">
        <v>794</v>
      </c>
      <c r="B68" s="69" t="s">
        <v>680</v>
      </c>
      <c r="C68" s="68" t="b">
        <v>1</v>
      </c>
      <c r="G68" s="71">
        <v>45705.535497685189</v>
      </c>
    </row>
    <row r="69" spans="1:7">
      <c r="A69" s="69" t="s">
        <v>794</v>
      </c>
      <c r="B69" s="69" t="s">
        <v>681</v>
      </c>
      <c r="G69" s="71">
        <v>45705.535497685189</v>
      </c>
    </row>
    <row r="70" spans="1:7">
      <c r="A70" s="69" t="s">
        <v>794</v>
      </c>
      <c r="B70" s="69" t="s">
        <v>696</v>
      </c>
      <c r="C70" s="68" t="s">
        <v>718</v>
      </c>
      <c r="G70" s="71">
        <v>45705.535497685189</v>
      </c>
    </row>
    <row r="71" spans="1:7">
      <c r="A71" s="69" t="s">
        <v>794</v>
      </c>
      <c r="B71" s="69" t="s">
        <v>698</v>
      </c>
      <c r="C71" s="68" t="s">
        <v>720</v>
      </c>
      <c r="G71" s="71">
        <v>45705.535497685189</v>
      </c>
    </row>
    <row r="72" spans="1:7">
      <c r="A72" s="69" t="s">
        <v>794</v>
      </c>
      <c r="B72" s="69" t="s">
        <v>697</v>
      </c>
      <c r="C72" s="68" t="s">
        <v>719</v>
      </c>
      <c r="G72" s="71">
        <v>45705.535497685189</v>
      </c>
    </row>
    <row r="73" spans="1:7">
      <c r="A73" s="69" t="s">
        <v>794</v>
      </c>
      <c r="B73" s="69" t="s">
        <v>683</v>
      </c>
      <c r="C73" s="68" t="s">
        <v>715</v>
      </c>
      <c r="G73" s="71">
        <v>45705.535497685189</v>
      </c>
    </row>
    <row r="74" spans="1:7">
      <c r="A74" s="69" t="s">
        <v>794</v>
      </c>
      <c r="B74" s="69" t="s">
        <v>686</v>
      </c>
      <c r="C74" s="68" t="s">
        <v>717</v>
      </c>
      <c r="G74" s="71">
        <v>45705.535497685189</v>
      </c>
    </row>
    <row r="75" spans="1:7">
      <c r="A75" s="69" t="s">
        <v>794</v>
      </c>
      <c r="B75" s="69" t="s">
        <v>685</v>
      </c>
      <c r="C75" s="68" t="s">
        <v>716</v>
      </c>
      <c r="G75" s="71">
        <v>45705.535497685189</v>
      </c>
    </row>
    <row r="76" spans="1:7">
      <c r="A76" s="69" t="s">
        <v>794</v>
      </c>
      <c r="B76" s="69" t="s">
        <v>684</v>
      </c>
      <c r="C76" s="68" t="s">
        <v>1370</v>
      </c>
      <c r="G76" s="71">
        <v>45705.535497685189</v>
      </c>
    </row>
    <row r="77" spans="1:7">
      <c r="A77" s="69" t="s">
        <v>794</v>
      </c>
      <c r="B77" s="69" t="s">
        <v>682</v>
      </c>
      <c r="G77" s="71">
        <v>45705.535497685189</v>
      </c>
    </row>
    <row r="78" spans="1:7">
      <c r="A78" s="69" t="s">
        <v>794</v>
      </c>
      <c r="B78" s="69" t="s">
        <v>687</v>
      </c>
      <c r="C78" s="68" t="s">
        <v>1390</v>
      </c>
      <c r="G78" s="71">
        <v>45705.535497685189</v>
      </c>
    </row>
    <row r="79" spans="1:7">
      <c r="A79" s="69" t="s">
        <v>794</v>
      </c>
      <c r="B79" s="69" t="s">
        <v>692</v>
      </c>
      <c r="C79" s="68" t="s">
        <v>1392</v>
      </c>
      <c r="G79" s="71">
        <v>45705.535497685189</v>
      </c>
    </row>
    <row r="80" spans="1:7">
      <c r="A80" s="69" t="s">
        <v>794</v>
      </c>
      <c r="B80" s="69" t="s">
        <v>691</v>
      </c>
      <c r="C80" s="68" t="s">
        <v>1393</v>
      </c>
      <c r="G80" s="71">
        <v>45705.535497685189</v>
      </c>
    </row>
    <row r="81" spans="1:7">
      <c r="A81" s="69" t="s">
        <v>794</v>
      </c>
      <c r="B81" s="69" t="s">
        <v>672</v>
      </c>
      <c r="C81" s="68" t="s">
        <v>712</v>
      </c>
      <c r="G81" s="71">
        <v>45705.535497685189</v>
      </c>
    </row>
    <row r="82" spans="1:7">
      <c r="A82" s="69" t="s">
        <v>794</v>
      </c>
      <c r="B82" s="69" t="s">
        <v>676</v>
      </c>
      <c r="C82" s="68" t="s">
        <v>714</v>
      </c>
      <c r="G82" s="71">
        <v>45705.535497685189</v>
      </c>
    </row>
    <row r="83" spans="1:7">
      <c r="A83" s="69" t="s">
        <v>794</v>
      </c>
      <c r="B83" s="69" t="s">
        <v>675</v>
      </c>
      <c r="C83" s="68" t="s">
        <v>713</v>
      </c>
      <c r="G83" s="71">
        <v>45705.535497685189</v>
      </c>
    </row>
    <row r="84" spans="1:7">
      <c r="A84" s="69" t="s">
        <v>794</v>
      </c>
      <c r="B84" s="69" t="s">
        <v>674</v>
      </c>
      <c r="C84" s="68" t="s">
        <v>1553</v>
      </c>
      <c r="G84" s="71">
        <v>45705.535497685189</v>
      </c>
    </row>
    <row r="85" spans="1:7">
      <c r="A85" s="69" t="s">
        <v>794</v>
      </c>
      <c r="B85" s="69" t="s">
        <v>673</v>
      </c>
      <c r="G85" s="71">
        <v>45705.535497685189</v>
      </c>
    </row>
    <row r="86" spans="1:7">
      <c r="A86" s="69" t="s">
        <v>794</v>
      </c>
      <c r="B86" s="69" t="s">
        <v>688</v>
      </c>
      <c r="C86" s="68" t="s">
        <v>1391</v>
      </c>
      <c r="G86" s="71">
        <v>45705.535497685189</v>
      </c>
    </row>
    <row r="87" spans="1:7">
      <c r="A87" s="69" t="s">
        <v>794</v>
      </c>
      <c r="B87" s="69" t="s">
        <v>689</v>
      </c>
      <c r="C87" s="68" t="s">
        <v>1391</v>
      </c>
      <c r="G87" s="71">
        <v>45705.535497685189</v>
      </c>
    </row>
    <row r="88" spans="1:7">
      <c r="A88" s="69" t="s">
        <v>794</v>
      </c>
      <c r="B88" s="69" t="s">
        <v>690</v>
      </c>
      <c r="C88" s="68" t="s">
        <v>1391</v>
      </c>
      <c r="G88" s="71">
        <v>45705.535497685189</v>
      </c>
    </row>
    <row r="89" spans="1:7">
      <c r="A89" s="69" t="s">
        <v>794</v>
      </c>
      <c r="B89" s="69" t="s">
        <v>667</v>
      </c>
      <c r="C89" s="68" t="s">
        <v>709</v>
      </c>
      <c r="G89" s="71">
        <v>45705.535497685189</v>
      </c>
    </row>
    <row r="90" spans="1:7">
      <c r="A90" s="69" t="s">
        <v>794</v>
      </c>
      <c r="B90" s="69" t="s">
        <v>668</v>
      </c>
      <c r="C90" s="68" t="s">
        <v>710</v>
      </c>
      <c r="G90" s="71">
        <v>45705.535497685189</v>
      </c>
    </row>
    <row r="91" spans="1:7">
      <c r="A91" s="69" t="s">
        <v>794</v>
      </c>
      <c r="B91" s="69" t="s">
        <v>669</v>
      </c>
      <c r="C91" s="68" t="s">
        <v>711</v>
      </c>
      <c r="G91" s="71">
        <v>45705.535497685189</v>
      </c>
    </row>
    <row r="92" spans="1:7">
      <c r="A92" s="69" t="s">
        <v>794</v>
      </c>
      <c r="B92" s="69" t="s">
        <v>670</v>
      </c>
      <c r="C92" s="68" t="s">
        <v>1371</v>
      </c>
      <c r="G92" s="71">
        <v>45705.535497685189</v>
      </c>
    </row>
    <row r="93" spans="1:7">
      <c r="A93" s="69" t="s">
        <v>794</v>
      </c>
      <c r="B93" s="69" t="s">
        <v>671</v>
      </c>
      <c r="G93" s="71">
        <v>45705.535497685189</v>
      </c>
    </row>
    <row r="94" spans="1:7">
      <c r="A94" s="69" t="s">
        <v>721</v>
      </c>
      <c r="B94" s="69" t="s">
        <v>726</v>
      </c>
      <c r="C94" s="68" t="b">
        <v>1</v>
      </c>
      <c r="F94" s="71"/>
      <c r="G94" s="71">
        <v>44717.850543981483</v>
      </c>
    </row>
    <row r="95" spans="1:7">
      <c r="A95" s="69" t="s">
        <v>721</v>
      </c>
      <c r="B95" s="69" t="s">
        <v>737</v>
      </c>
      <c r="C95" s="68" t="b">
        <v>1</v>
      </c>
      <c r="F95" s="71"/>
      <c r="G95" s="71">
        <v>44717.850543981483</v>
      </c>
    </row>
    <row r="96" spans="1:7">
      <c r="A96" s="69" t="s">
        <v>721</v>
      </c>
      <c r="B96" s="69" t="s">
        <v>736</v>
      </c>
      <c r="C96" s="68" t="b">
        <v>0</v>
      </c>
      <c r="F96" s="71"/>
      <c r="G96" s="71">
        <v>44717.850543981483</v>
      </c>
    </row>
    <row r="97" spans="1:7">
      <c r="A97" s="69" t="s">
        <v>721</v>
      </c>
      <c r="B97" s="69" t="s">
        <v>725</v>
      </c>
      <c r="C97" s="68" t="b">
        <v>0</v>
      </c>
      <c r="F97" s="71"/>
      <c r="G97" s="71">
        <v>44717.850543981483</v>
      </c>
    </row>
    <row r="98" spans="1:7">
      <c r="A98" s="69" t="s">
        <v>721</v>
      </c>
      <c r="B98" s="69" t="s">
        <v>735</v>
      </c>
      <c r="C98" s="68" t="b">
        <v>0</v>
      </c>
      <c r="F98" s="71"/>
      <c r="G98" s="71">
        <v>44717.850543981483</v>
      </c>
    </row>
    <row r="99" spans="1:7">
      <c r="A99" s="69" t="s">
        <v>721</v>
      </c>
      <c r="B99" s="69" t="s">
        <v>733</v>
      </c>
      <c r="C99" s="68" t="b">
        <v>1</v>
      </c>
      <c r="F99" s="71"/>
      <c r="G99" s="71">
        <v>44717.850543981483</v>
      </c>
    </row>
    <row r="100" spans="1:7">
      <c r="A100" s="69" t="s">
        <v>721</v>
      </c>
      <c r="B100" s="69" t="s">
        <v>734</v>
      </c>
      <c r="C100" s="68" t="b">
        <v>0</v>
      </c>
      <c r="F100" s="71"/>
      <c r="G100" s="71">
        <v>44717.850543981483</v>
      </c>
    </row>
    <row r="101" spans="1:7">
      <c r="A101" s="69" t="s">
        <v>721</v>
      </c>
      <c r="B101" s="69" t="s">
        <v>729</v>
      </c>
      <c r="C101" s="68" t="b">
        <v>0</v>
      </c>
      <c r="F101" s="71"/>
      <c r="G101" s="71">
        <v>44717.850543981483</v>
      </c>
    </row>
    <row r="102" spans="1:7">
      <c r="A102" s="69" t="s">
        <v>721</v>
      </c>
      <c r="B102" s="69" t="s">
        <v>724</v>
      </c>
      <c r="C102" s="68" t="b">
        <v>0</v>
      </c>
      <c r="F102" s="71"/>
      <c r="G102" s="71">
        <v>44717.850543981483</v>
      </c>
    </row>
    <row r="103" spans="1:7">
      <c r="A103" s="69" t="s">
        <v>721</v>
      </c>
      <c r="B103" s="69" t="s">
        <v>723</v>
      </c>
      <c r="C103" s="68" t="b">
        <v>0</v>
      </c>
      <c r="F103" s="71"/>
      <c r="G103" s="71">
        <v>44717.850543981483</v>
      </c>
    </row>
    <row r="104" spans="1:7">
      <c r="A104" s="69" t="s">
        <v>721</v>
      </c>
      <c r="B104" s="69" t="s">
        <v>722</v>
      </c>
      <c r="C104" s="68" t="b">
        <v>0</v>
      </c>
      <c r="F104" s="71"/>
      <c r="G104" s="71">
        <v>44717.850543981483</v>
      </c>
    </row>
    <row r="105" spans="1:7">
      <c r="A105" s="69" t="s">
        <v>721</v>
      </c>
      <c r="B105" s="69" t="s">
        <v>731</v>
      </c>
      <c r="C105" s="68">
        <v>0</v>
      </c>
      <c r="F105" s="71"/>
      <c r="G105" s="71">
        <v>44717.850543981483</v>
      </c>
    </row>
    <row r="106" spans="1:7">
      <c r="A106" s="69" t="s">
        <v>721</v>
      </c>
      <c r="B106" s="69" t="s">
        <v>730</v>
      </c>
      <c r="C106" s="68">
        <v>80</v>
      </c>
      <c r="F106" s="71"/>
      <c r="G106" s="71">
        <v>44717.850543981483</v>
      </c>
    </row>
    <row r="107" spans="1:7">
      <c r="A107" s="69" t="s">
        <v>721</v>
      </c>
      <c r="B107" s="69" t="s">
        <v>732</v>
      </c>
      <c r="F107" s="71"/>
      <c r="G107" s="71">
        <v>44717.850543981483</v>
      </c>
    </row>
    <row r="108" spans="1:7">
      <c r="A108" s="69" t="s">
        <v>721</v>
      </c>
      <c r="B108" s="69" t="s">
        <v>727</v>
      </c>
      <c r="C108" s="70">
        <v>44562</v>
      </c>
      <c r="F108" s="71"/>
      <c r="G108" s="71">
        <v>44717.850543981483</v>
      </c>
    </row>
    <row r="109" spans="1:7">
      <c r="A109" s="69" t="s">
        <v>721</v>
      </c>
      <c r="B109" s="69" t="s">
        <v>728</v>
      </c>
      <c r="C109" s="70">
        <v>44199</v>
      </c>
      <c r="F109" s="71"/>
      <c r="G109" s="71">
        <v>44717.850543981483</v>
      </c>
    </row>
  </sheetData>
  <sortState ref="A54:AB93">
    <sortCondition ref="A54:A93"/>
    <sortCondition ref="B54:B93"/>
  </sortState>
  <phoneticPr fontId="2"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10</vt:i4>
      </vt:variant>
      <vt:variant>
        <vt:lpstr>이름 지정된 범위</vt:lpstr>
      </vt:variant>
      <vt:variant>
        <vt:i4>34</vt:i4>
      </vt:variant>
    </vt:vector>
  </HeadingPairs>
  <TitlesOfParts>
    <vt:vector size="44" baseType="lpstr">
      <vt:lpstr>표지</vt:lpstr>
      <vt:lpstr>개정이력</vt:lpstr>
      <vt:lpstr>Schedule</vt:lpstr>
      <vt:lpstr>(참조)</vt:lpstr>
      <vt:lpstr>Progress</vt:lpstr>
      <vt:lpstr>AnalysisReport</vt:lpstr>
      <vt:lpstr>Calendar</vt:lpstr>
      <vt:lpstr>TranslatedLanguages</vt:lpstr>
      <vt:lpstr>Workload</vt:lpstr>
      <vt:lpstr>Help</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2022-06-05T11:24:31Z</cp:lastPrinted>
  <dcterms:created xsi:type="dcterms:W3CDTF">2018-02-18T09:45:14Z</dcterms:created>
  <dcterms:modified xsi:type="dcterms:W3CDTF">2025-03-04T09:21:13Z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soo_Trace_ID">
    <vt:lpwstr>eyAibm9kZUNvdW50IjogNCwgIm5vZGUxIiA6IHsiZHNkIjoiMDEwMDAwMDAwMDAwMjEwMyIsImxvZ1RpbWUiOiIyMDI1LTAyLTE3VDAzOjUxOjIzWiIsInBJRCI6MSwicHJvY2Vzc0lkIjoxODQwNCwicHJvY2Vzc05hbWUiOiJFWENFTC5FWEUiLCJ0cmFjZUlkIjoiQTI4MUE2MTZGQjZENDRFRDhGQjE2RTEzNzhDRTJFOTQiLCJ1c2VyQ29</vt:lpwstr>
  </property>
  <property fmtid="{D5CDD505-2E9C-101B-9397-08002B2CF9AE}" pid="3" name="MSIP_Label_d132b298-d092-4ba9-a1be-2a4de4a74ea4_Enabled">
    <vt:lpwstr>true</vt:lpwstr>
  </property>
  <property fmtid="{D5CDD505-2E9C-101B-9397-08002B2CF9AE}" pid="4" name="MSIP_Label_d132b298-d092-4ba9-a1be-2a4de4a74ea4_SetDate">
    <vt:lpwstr>2025-02-20T01:19:32Z</vt:lpwstr>
  </property>
  <property fmtid="{D5CDD505-2E9C-101B-9397-08002B2CF9AE}" pid="5" name="MSIP_Label_d132b298-d092-4ba9-a1be-2a4de4a74ea4_Method">
    <vt:lpwstr>Privileged</vt:lpwstr>
  </property>
  <property fmtid="{D5CDD505-2E9C-101B-9397-08002B2CF9AE}" pid="6" name="MSIP_Label_d132b298-d092-4ba9-a1be-2a4de4a74ea4_Name">
    <vt:lpwstr>평문화</vt:lpwstr>
  </property>
  <property fmtid="{D5CDD505-2E9C-101B-9397-08002B2CF9AE}" pid="7" name="MSIP_Label_d132b298-d092-4ba9-a1be-2a4de4a74ea4_SiteId">
    <vt:lpwstr>ee6af5c5-684f-4539-9eb6-64793af08027</vt:lpwstr>
  </property>
  <property fmtid="{D5CDD505-2E9C-101B-9397-08002B2CF9AE}" pid="8" name="MSIP_Label_d132b298-d092-4ba9-a1be-2a4de4a74ea4_ActionId">
    <vt:lpwstr>f84862bd-7c6f-4b65-b566-7fe31e8a40d5</vt:lpwstr>
  </property>
  <property fmtid="{D5CDD505-2E9C-101B-9397-08002B2CF9AE}" pid="9" name="MSIP_Label_d132b298-d092-4ba9-a1be-2a4de4a74ea4_ContentBits">
    <vt:lpwstr>0</vt:lpwstr>
  </property>
</Properties>
</file>